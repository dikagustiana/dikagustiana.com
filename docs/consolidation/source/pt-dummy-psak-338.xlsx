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bookViews>
    <workbookView xWindow="-110" yWindow="-110" windowWidth="19420" windowHeight="11500" firstSheet="13" activeTab="16" xr2:uid="{8A569F25-D8E4-456E-B43E-9D39D85CB1F1}"/>
  </bookViews>
  <sheets>
    <sheet name="Face Report" sheetId="42" r:id="rId1"/>
    <sheet name="SOFP" sheetId="37" r:id="rId2"/>
    <sheet name="SOPL" sheetId="38" r:id="rId3"/>
    <sheet name="SOCE" sheetId="39" r:id="rId4"/>
    <sheet name="CF 24" sheetId="44" r:id="rId5"/>
    <sheet name="CF 23 as Restated" sheetId="45" r:id="rId6"/>
    <sheet name="WP Consol" sheetId="46" r:id="rId7"/>
    <sheet name="Control" sheetId="30" r:id="rId8"/>
    <sheet name="Consol SoFP 24" sheetId="1" r:id="rId9"/>
    <sheet name="Consol SoPL-OCI 24" sheetId="2" r:id="rId10"/>
    <sheet name="Consol SoFP 23 &amp; 22" sheetId="17" r:id="rId11"/>
    <sheet name="Consol SoPL-OCI 23 &amp; 22" sheetId="18" r:id="rId12"/>
    <sheet name="SoCE Consol " sheetId="19" r:id="rId13"/>
    <sheet name="CF 2024" sheetId="32" r:id="rId14"/>
    <sheet name="Supplementary CF 24" sheetId="33" r:id="rId15"/>
    <sheet name="CF 23 Restated" sheetId="34" r:id="rId16"/>
    <sheet name="Supplementary CF 23" sheetId="35" r:id="rId17"/>
    <sheet name="Proforma Adjustment" sheetId="20" r:id="rId18"/>
    <sheet name="Capital Proforma Control" sheetId="21" r:id="rId19"/>
    <sheet name="NCI Detail &amp; Movement" sheetId="22" r:id="rId20"/>
    <sheet name="Adjustment Consolaa" sheetId="23" state="hidden" r:id="rId21"/>
    <sheet name="Elimination 2024" sheetId="7" r:id="rId22"/>
    <sheet name="Elimination 23" sheetId="24" r:id="rId23"/>
    <sheet name="Elimination 22" sheetId="25" r:id="rId24"/>
    <sheet name="Interco Matrix BS" sheetId="26" r:id="rId25"/>
    <sheet name="BS RP Disclosure 2024" sheetId="15" r:id="rId26"/>
    <sheet name="-BS-RP Disclosure 2023" sheetId="27" r:id="rId27"/>
    <sheet name="Interco Matrix BS 2022" sheetId="28" r:id="rId28"/>
    <sheet name="BS RP Disclosure 2022" sheetId="29" r:id="rId29"/>
    <sheet name="Detail Elimination BS" sheetId="8" r:id="rId30"/>
    <sheet name="Adjustment Consol" sheetId="9" r:id="rId31"/>
    <sheet name="Equity &amp; Adjustment Consol" sheetId="10" r:id="rId32"/>
    <sheet name="WP Investment" sheetId="12" r:id="rId33"/>
  </sheets>
  <definedNames>
    <definedName name="_xlnm.Print_Area" localSheetId="8">'Consol SoFP 24'!$A$1:$Y$121</definedName>
    <definedName name="_xlnm.Print_Area" localSheetId="9">'Consol SoPL-OCI 24'!$A$1:$AI$63</definedName>
    <definedName name="_xlnm.Print_Titles" localSheetId="8">'Consol SoFP 24'!$1:$11</definedName>
    <definedName name="_xlnm.Print_Titles" localSheetId="9">'Consol SoPL-OCI 24'!$1:$14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5" l="1"/>
  <c r="E45" i="35"/>
  <c r="H10" i="44"/>
  <c r="F13" i="44" l="1"/>
  <c r="F34" i="45"/>
  <c r="F85" i="45"/>
  <c r="AZ29" i="45"/>
  <c r="AZ50" i="45" s="1"/>
  <c r="AZ28" i="45"/>
  <c r="H28" i="45" s="1"/>
  <c r="BB28" i="45" s="1"/>
  <c r="AY51" i="44"/>
  <c r="AY50" i="44"/>
  <c r="F50" i="44"/>
  <c r="AY29" i="44"/>
  <c r="F29" i="44" s="1"/>
  <c r="BA29" i="44" s="1"/>
  <c r="AY28" i="44"/>
  <c r="F28" i="44"/>
  <c r="H29" i="45"/>
  <c r="G29" i="45" s="1"/>
  <c r="J86" i="45"/>
  <c r="J4" i="45" s="1"/>
  <c r="G79" i="45"/>
  <c r="H70" i="45"/>
  <c r="G70" i="45" s="1"/>
  <c r="AQ69" i="45"/>
  <c r="H69" i="45" s="1"/>
  <c r="BA66" i="45"/>
  <c r="AY66" i="45"/>
  <c r="F72" i="45"/>
  <c r="H57" i="45"/>
  <c r="BB57" i="45" s="1"/>
  <c r="AE56" i="45"/>
  <c r="U56" i="45"/>
  <c r="H48" i="45"/>
  <c r="BB48" i="45" s="1"/>
  <c r="H46" i="45"/>
  <c r="G46" i="45" s="1"/>
  <c r="BB43" i="45"/>
  <c r="BB33" i="45"/>
  <c r="BB31" i="45"/>
  <c r="AQ30" i="45"/>
  <c r="H30" i="45" s="1"/>
  <c r="BA27" i="45"/>
  <c r="AY27" i="45"/>
  <c r="K26" i="45"/>
  <c r="H26" i="45" s="1"/>
  <c r="K25" i="45"/>
  <c r="H25" i="45" s="1"/>
  <c r="BB25" i="45" s="1"/>
  <c r="BA24" i="45"/>
  <c r="AY24" i="45"/>
  <c r="AX24" i="45"/>
  <c r="U23" i="45"/>
  <c r="H23" i="45" s="1"/>
  <c r="X22" i="45"/>
  <c r="H22" i="45" s="1"/>
  <c r="BB22" i="45" s="1"/>
  <c r="X21" i="45"/>
  <c r="H21" i="45" s="1"/>
  <c r="AQ20" i="45"/>
  <c r="W20" i="45"/>
  <c r="W19" i="45"/>
  <c r="H19" i="45" s="1"/>
  <c r="W18" i="45"/>
  <c r="H18" i="45" s="1"/>
  <c r="BB18" i="45" s="1"/>
  <c r="U17" i="45"/>
  <c r="H17" i="45" s="1"/>
  <c r="U16" i="45"/>
  <c r="H16" i="45" s="1"/>
  <c r="BA13" i="45"/>
  <c r="AZ13" i="45"/>
  <c r="AY13" i="45"/>
  <c r="AC13" i="45"/>
  <c r="F32" i="45"/>
  <c r="F44" i="45" s="1"/>
  <c r="F52" i="45" s="1"/>
  <c r="BA9" i="45"/>
  <c r="AZ9" i="45"/>
  <c r="AY9" i="45"/>
  <c r="AX9" i="45"/>
  <c r="AW9" i="45"/>
  <c r="AV9" i="45"/>
  <c r="AU9" i="45"/>
  <c r="AT9" i="45"/>
  <c r="AR9" i="45"/>
  <c r="AQ9" i="45"/>
  <c r="AL9" i="45"/>
  <c r="AK9" i="45"/>
  <c r="AH9" i="45"/>
  <c r="AG9" i="45"/>
  <c r="AF9" i="45"/>
  <c r="AE9" i="45"/>
  <c r="AD9" i="45"/>
  <c r="AC9" i="45"/>
  <c r="Z9" i="45"/>
  <c r="Y9" i="45"/>
  <c r="X9" i="45"/>
  <c r="W9" i="45"/>
  <c r="U9" i="45"/>
  <c r="T9" i="45"/>
  <c r="R9" i="45"/>
  <c r="Q9" i="45"/>
  <c r="P9" i="45"/>
  <c r="O9" i="45"/>
  <c r="N9" i="45"/>
  <c r="M9" i="45"/>
  <c r="L9" i="45"/>
  <c r="K9" i="45"/>
  <c r="J9" i="45"/>
  <c r="BA8" i="45"/>
  <c r="AZ8" i="45"/>
  <c r="AY8" i="45"/>
  <c r="AX8" i="45"/>
  <c r="AW8" i="45"/>
  <c r="AV8" i="45"/>
  <c r="AU8" i="45"/>
  <c r="AT8" i="45"/>
  <c r="AS8" i="45"/>
  <c r="AS10" i="45" s="1"/>
  <c r="AS86" i="45" s="1"/>
  <c r="AS4" i="45" s="1"/>
  <c r="AR8" i="45"/>
  <c r="AQ8" i="45"/>
  <c r="AP8" i="45"/>
  <c r="AP10" i="45" s="1"/>
  <c r="AP86" i="45" s="1"/>
  <c r="AP4" i="45" s="1"/>
  <c r="AO8" i="45"/>
  <c r="AO10" i="45" s="1"/>
  <c r="AN8" i="45"/>
  <c r="AN10" i="45" s="1"/>
  <c r="AM8" i="45"/>
  <c r="AM10" i="45" s="1"/>
  <c r="AM86" i="45" s="1"/>
  <c r="AM4" i="45" s="1"/>
  <c r="AL8" i="45"/>
  <c r="AK8" i="45"/>
  <c r="AJ8" i="45"/>
  <c r="AJ10" i="45" s="1"/>
  <c r="AJ86" i="45" s="1"/>
  <c r="AJ4" i="45" s="1"/>
  <c r="AI8" i="45"/>
  <c r="AI10" i="45" s="1"/>
  <c r="AH8" i="45"/>
  <c r="AG8" i="45"/>
  <c r="AF8" i="45"/>
  <c r="AE8" i="45"/>
  <c r="AD8" i="45"/>
  <c r="AC8" i="45"/>
  <c r="AB8" i="45"/>
  <c r="AB10" i="45" s="1"/>
  <c r="AA8" i="45"/>
  <c r="AA10" i="45" s="1"/>
  <c r="AA86" i="45" s="1"/>
  <c r="AA4" i="45" s="1"/>
  <c r="Z8" i="45"/>
  <c r="Y8" i="45"/>
  <c r="X8" i="45"/>
  <c r="W8" i="45"/>
  <c r="V8" i="45"/>
  <c r="V10" i="45" s="1"/>
  <c r="V86" i="45" s="1"/>
  <c r="V4" i="45" s="1"/>
  <c r="U8" i="45"/>
  <c r="T8" i="45"/>
  <c r="S8" i="45"/>
  <c r="S10" i="45" s="1"/>
  <c r="S86" i="45" s="1"/>
  <c r="S4" i="45" s="1"/>
  <c r="R8" i="45"/>
  <c r="Q8" i="45"/>
  <c r="P8" i="45"/>
  <c r="O8" i="45"/>
  <c r="N8" i="45"/>
  <c r="M8" i="45"/>
  <c r="L8" i="45"/>
  <c r="K8" i="45"/>
  <c r="J8" i="45"/>
  <c r="H85" i="45" s="1"/>
  <c r="AN97" i="44"/>
  <c r="AN4" i="44" s="1"/>
  <c r="H97" i="44"/>
  <c r="H4" i="44" s="1"/>
  <c r="F92" i="44"/>
  <c r="F81" i="44"/>
  <c r="AO80" i="44"/>
  <c r="F80" i="44"/>
  <c r="BA80" i="44" s="1"/>
  <c r="F77" i="44"/>
  <c r="BA77" i="44" s="1"/>
  <c r="AW75" i="44"/>
  <c r="F74" i="44"/>
  <c r="BA74" i="44" s="1"/>
  <c r="F67" i="44"/>
  <c r="BA67" i="44" s="1"/>
  <c r="F65" i="44"/>
  <c r="BA65" i="44" s="1"/>
  <c r="BA64" i="44"/>
  <c r="F64" i="44"/>
  <c r="F63" i="44"/>
  <c r="BA63" i="44" s="1"/>
  <c r="F62" i="44"/>
  <c r="BA62" i="44" s="1"/>
  <c r="F61" i="44"/>
  <c r="BA61" i="44" s="1"/>
  <c r="F60" i="44"/>
  <c r="BA60" i="44" s="1"/>
  <c r="AO59" i="44"/>
  <c r="U59" i="44"/>
  <c r="K59" i="44" s="1"/>
  <c r="F59" i="44" s="1"/>
  <c r="BA59" i="44" s="1"/>
  <c r="BA58" i="44"/>
  <c r="F58" i="44"/>
  <c r="AO57" i="44"/>
  <c r="AC57" i="44"/>
  <c r="T57" i="44"/>
  <c r="S57" i="44"/>
  <c r="F57" i="44"/>
  <c r="F51" i="44"/>
  <c r="BA51" i="44" s="1"/>
  <c r="BA50" i="44"/>
  <c r="BA47" i="44"/>
  <c r="F47" i="44"/>
  <c r="BA44" i="44"/>
  <c r="AE40" i="44"/>
  <c r="AC38" i="44"/>
  <c r="S38" i="44"/>
  <c r="F38" i="44"/>
  <c r="BA38" i="44" s="1"/>
  <c r="BA33" i="44"/>
  <c r="BA31" i="44"/>
  <c r="AO30" i="44"/>
  <c r="F30" i="44"/>
  <c r="BA30" i="44" s="1"/>
  <c r="BA28" i="44"/>
  <c r="F26" i="44"/>
  <c r="BA26" i="44" s="1"/>
  <c r="I25" i="44"/>
  <c r="F25" i="44"/>
  <c r="BA25" i="44" s="1"/>
  <c r="AP24" i="44"/>
  <c r="F24" i="44" s="1"/>
  <c r="BA24" i="44" s="1"/>
  <c r="S23" i="44"/>
  <c r="F23" i="44"/>
  <c r="BA23" i="44" s="1"/>
  <c r="V22" i="44"/>
  <c r="F22" i="44"/>
  <c r="BA22" i="44" s="1"/>
  <c r="V21" i="44"/>
  <c r="F21" i="44"/>
  <c r="BA21" i="44" s="1"/>
  <c r="AO20" i="44"/>
  <c r="U20" i="44"/>
  <c r="F20" i="44" s="1"/>
  <c r="BA20" i="44" s="1"/>
  <c r="U19" i="44"/>
  <c r="F19" i="44" s="1"/>
  <c r="BA19" i="44" s="1"/>
  <c r="U18" i="44"/>
  <c r="F18" i="44"/>
  <c r="BA18" i="44" s="1"/>
  <c r="S17" i="44"/>
  <c r="F17" i="44"/>
  <c r="BA17" i="44" s="1"/>
  <c r="S16" i="44"/>
  <c r="F16" i="44" s="1"/>
  <c r="BA16" i="44" s="1"/>
  <c r="AZ13" i="44"/>
  <c r="AY13" i="44"/>
  <c r="AW13" i="44"/>
  <c r="AX10" i="44"/>
  <c r="AN10" i="44"/>
  <c r="AM10" i="44"/>
  <c r="AM97" i="44" s="1"/>
  <c r="AM4" i="44" s="1"/>
  <c r="AL10" i="44"/>
  <c r="AE10" i="44"/>
  <c r="AD10" i="44"/>
  <c r="AC10" i="44"/>
  <c r="AC97" i="44" s="1"/>
  <c r="AC4" i="44" s="1"/>
  <c r="AB10" i="44"/>
  <c r="AB73" i="44" s="1"/>
  <c r="AA10" i="44"/>
  <c r="AA97" i="44" s="1"/>
  <c r="AA4" i="44" s="1"/>
  <c r="Z10" i="44"/>
  <c r="Z97" i="44" s="1"/>
  <c r="Z4" i="44" s="1"/>
  <c r="Y10" i="44"/>
  <c r="Y97" i="44" s="1"/>
  <c r="Y4" i="44" s="1"/>
  <c r="T10" i="44"/>
  <c r="T97" i="44" s="1"/>
  <c r="T4" i="44" s="1"/>
  <c r="Q10" i="44"/>
  <c r="P10" i="44"/>
  <c r="O10" i="44"/>
  <c r="N10" i="44"/>
  <c r="AZ9" i="44"/>
  <c r="AY9" i="44"/>
  <c r="AW9" i="44"/>
  <c r="AW10" i="44" s="1"/>
  <c r="AW97" i="44" s="1"/>
  <c r="AW4" i="44" s="1"/>
  <c r="AV9" i="44"/>
  <c r="AU9" i="44"/>
  <c r="AT9" i="44"/>
  <c r="AS9" i="44"/>
  <c r="AR9" i="44"/>
  <c r="AQ9" i="44"/>
  <c r="AP9" i="44"/>
  <c r="AO9" i="44"/>
  <c r="AL9" i="44"/>
  <c r="AK9" i="44"/>
  <c r="AJ9" i="44"/>
  <c r="AI9" i="44"/>
  <c r="AI10" i="44" s="1"/>
  <c r="AH9" i="44"/>
  <c r="AH10" i="44" s="1"/>
  <c r="AG9" i="44"/>
  <c r="AF9" i="44"/>
  <c r="AE9" i="44"/>
  <c r="AD9" i="44"/>
  <c r="AC9" i="44"/>
  <c r="AB9" i="44"/>
  <c r="AA9" i="44"/>
  <c r="X9" i="44"/>
  <c r="W9" i="44"/>
  <c r="V9" i="44"/>
  <c r="U9" i="44"/>
  <c r="S9" i="44"/>
  <c r="S10" i="44" s="1"/>
  <c r="S97" i="44" s="1"/>
  <c r="S4" i="44" s="1"/>
  <c r="R9" i="44"/>
  <c r="R10" i="44" s="1"/>
  <c r="P9" i="44"/>
  <c r="O9" i="44"/>
  <c r="N9" i="44"/>
  <c r="M9" i="44"/>
  <c r="L9" i="44"/>
  <c r="K9" i="44"/>
  <c r="J9" i="44"/>
  <c r="I9" i="44"/>
  <c r="H9" i="44"/>
  <c r="BA9" i="44" s="1"/>
  <c r="AZ8" i="44"/>
  <c r="AZ10" i="44" s="1"/>
  <c r="AZ97" i="44" s="1"/>
  <c r="AZ4" i="44" s="1"/>
  <c r="AY8" i="44"/>
  <c r="AY10" i="44" s="1"/>
  <c r="AX8" i="44"/>
  <c r="AV8" i="44"/>
  <c r="AV10" i="44" s="1"/>
  <c r="AV97" i="44" s="1"/>
  <c r="AV4" i="44" s="1"/>
  <c r="AU8" i="44"/>
  <c r="AU10" i="44" s="1"/>
  <c r="AT8" i="44"/>
  <c r="AT10" i="44" s="1"/>
  <c r="AS8" i="44"/>
  <c r="AS10" i="44" s="1"/>
  <c r="AR8" i="44"/>
  <c r="AR10" i="44" s="1"/>
  <c r="AQ8" i="44"/>
  <c r="AQ10" i="44" s="1"/>
  <c r="AP8" i="44"/>
  <c r="AP10" i="44" s="1"/>
  <c r="AP97" i="44" s="1"/>
  <c r="AP4" i="44" s="1"/>
  <c r="AO8" i="44"/>
  <c r="AO10" i="44" s="1"/>
  <c r="AO97" i="44" s="1"/>
  <c r="AO4" i="44" s="1"/>
  <c r="AL8" i="44"/>
  <c r="AK8" i="44"/>
  <c r="AK10" i="44" s="1"/>
  <c r="AJ8" i="44"/>
  <c r="AJ10" i="44" s="1"/>
  <c r="AI8" i="44"/>
  <c r="AH8" i="44"/>
  <c r="AG8" i="44"/>
  <c r="AG10" i="44" s="1"/>
  <c r="AF8" i="44"/>
  <c r="AF10" i="44" s="1"/>
  <c r="AE8" i="44"/>
  <c r="AD8" i="44"/>
  <c r="AC8" i="44"/>
  <c r="AB8" i="44"/>
  <c r="AA8" i="44"/>
  <c r="X8" i="44"/>
  <c r="X10" i="44" s="1"/>
  <c r="W8" i="44"/>
  <c r="W10" i="44" s="1"/>
  <c r="V8" i="44"/>
  <c r="V10" i="44" s="1"/>
  <c r="V97" i="44" s="1"/>
  <c r="V4" i="44" s="1"/>
  <c r="U8" i="44"/>
  <c r="U10" i="44" s="1"/>
  <c r="U97" i="44" s="1"/>
  <c r="U4" i="44" s="1"/>
  <c r="S8" i="44"/>
  <c r="R8" i="44"/>
  <c r="P8" i="44"/>
  <c r="O8" i="44"/>
  <c r="N8" i="44"/>
  <c r="M8" i="44"/>
  <c r="M10" i="44" s="1"/>
  <c r="L8" i="44"/>
  <c r="L10" i="44" s="1"/>
  <c r="K8" i="44"/>
  <c r="K10" i="44" s="1"/>
  <c r="J8" i="44"/>
  <c r="J10" i="44" s="1"/>
  <c r="I8" i="44"/>
  <c r="I10" i="44" s="1"/>
  <c r="H8" i="44"/>
  <c r="BA8" i="44" s="1"/>
  <c r="AK40" i="32"/>
  <c r="AE40" i="32"/>
  <c r="F40" i="32"/>
  <c r="BA40" i="32" s="1"/>
  <c r="F29" i="32"/>
  <c r="F28" i="32"/>
  <c r="F26" i="32"/>
  <c r="F51" i="32"/>
  <c r="F50" i="32"/>
  <c r="F47" i="32"/>
  <c r="F67" i="32"/>
  <c r="F65" i="32"/>
  <c r="F64" i="32"/>
  <c r="F63" i="32"/>
  <c r="F62" i="32"/>
  <c r="F61" i="32"/>
  <c r="F60" i="32"/>
  <c r="F58" i="32"/>
  <c r="F81" i="32"/>
  <c r="F74" i="32"/>
  <c r="G85" i="45" l="1"/>
  <c r="H66" i="45"/>
  <c r="K10" i="45"/>
  <c r="K34" i="45" s="1"/>
  <c r="H34" i="45" s="1"/>
  <c r="L10" i="45"/>
  <c r="L47" i="45" s="1"/>
  <c r="M10" i="45"/>
  <c r="M65" i="45" s="1"/>
  <c r="AZ49" i="45"/>
  <c r="H13" i="45"/>
  <c r="G13" i="45" s="1"/>
  <c r="AE10" i="45"/>
  <c r="AE38" i="45" s="1"/>
  <c r="H38" i="45" s="1"/>
  <c r="AF10" i="45"/>
  <c r="AF65" i="45" s="1"/>
  <c r="AF86" i="45" s="1"/>
  <c r="AF4" i="45" s="1"/>
  <c r="H20" i="45"/>
  <c r="BB20" i="45" s="1"/>
  <c r="BB69" i="45"/>
  <c r="G69" i="45"/>
  <c r="N10" i="45"/>
  <c r="N35" i="45" s="1"/>
  <c r="H35" i="45" s="1"/>
  <c r="BB35" i="45" s="1"/>
  <c r="Z10" i="45"/>
  <c r="Z37" i="45" s="1"/>
  <c r="Z86" i="45" s="1"/>
  <c r="Z4" i="45" s="1"/>
  <c r="AH10" i="45"/>
  <c r="AH64" i="45" s="1"/>
  <c r="H64" i="45" s="1"/>
  <c r="G64" i="45" s="1"/>
  <c r="J10" i="45"/>
  <c r="P10" i="45"/>
  <c r="P68" i="45" s="1"/>
  <c r="H68" i="45" s="1"/>
  <c r="G68" i="45" s="1"/>
  <c r="U10" i="45"/>
  <c r="U86" i="45" s="1"/>
  <c r="U4" i="45" s="1"/>
  <c r="O10" i="45"/>
  <c r="O36" i="45" s="1"/>
  <c r="H36" i="45" s="1"/>
  <c r="Q10" i="45"/>
  <c r="Q41" i="45" s="1"/>
  <c r="AC10" i="45"/>
  <c r="AC86" i="45" s="1"/>
  <c r="AC4" i="45" s="1"/>
  <c r="W10" i="45"/>
  <c r="W86" i="45" s="1"/>
  <c r="W4" i="45" s="1"/>
  <c r="H56" i="45"/>
  <c r="G56" i="45" s="1"/>
  <c r="AD10" i="45"/>
  <c r="AD63" i="45" s="1"/>
  <c r="AD86" i="45" s="1"/>
  <c r="AD4" i="45" s="1"/>
  <c r="X10" i="45"/>
  <c r="X86" i="45" s="1"/>
  <c r="X4" i="45" s="1"/>
  <c r="Y10" i="45"/>
  <c r="Y65" i="45" s="1"/>
  <c r="BB29" i="45"/>
  <c r="H50" i="45"/>
  <c r="G50" i="45" s="1"/>
  <c r="G28" i="45"/>
  <c r="H49" i="45"/>
  <c r="G49" i="45" s="1"/>
  <c r="AY97" i="44"/>
  <c r="AY4" i="44" s="1"/>
  <c r="AT10" i="45"/>
  <c r="AQ10" i="45"/>
  <c r="AQ86" i="45" s="1"/>
  <c r="AQ4" i="45" s="1"/>
  <c r="AR10" i="45"/>
  <c r="AR24" i="45" s="1"/>
  <c r="H24" i="45" s="1"/>
  <c r="G24" i="45" s="1"/>
  <c r="AK10" i="45"/>
  <c r="AK41" i="45" s="1"/>
  <c r="AK86" i="45" s="1"/>
  <c r="AK4" i="45" s="1"/>
  <c r="AG10" i="45"/>
  <c r="AG39" i="45" s="1"/>
  <c r="H39" i="45" s="1"/>
  <c r="BB39" i="45" s="1"/>
  <c r="G48" i="45"/>
  <c r="BB17" i="45"/>
  <c r="G17" i="45"/>
  <c r="AB63" i="45"/>
  <c r="AB86" i="45" s="1"/>
  <c r="AB4" i="45" s="1"/>
  <c r="BB21" i="45"/>
  <c r="G21" i="45"/>
  <c r="BA10" i="45"/>
  <c r="BA86" i="45" s="1"/>
  <c r="BA4" i="45" s="1"/>
  <c r="BB9" i="45"/>
  <c r="AU10" i="45"/>
  <c r="AU67" i="45" s="1"/>
  <c r="AV67" i="45" s="1"/>
  <c r="AL10" i="45"/>
  <c r="AL40" i="45" s="1"/>
  <c r="BB8" i="45"/>
  <c r="R10" i="45"/>
  <c r="R37" i="45" s="1"/>
  <c r="AW10" i="45"/>
  <c r="AW27" i="45" s="1"/>
  <c r="H27" i="45" s="1"/>
  <c r="G22" i="45"/>
  <c r="G57" i="45"/>
  <c r="BB46" i="45"/>
  <c r="AV10" i="45"/>
  <c r="AX10" i="45"/>
  <c r="AX86" i="45" s="1"/>
  <c r="AX4" i="45" s="1"/>
  <c r="AZ10" i="45"/>
  <c r="AZ86" i="45" s="1"/>
  <c r="AZ4" i="45" s="1"/>
  <c r="T10" i="45"/>
  <c r="T47" i="45" s="1"/>
  <c r="H47" i="45" s="1"/>
  <c r="L86" i="45"/>
  <c r="L4" i="45" s="1"/>
  <c r="AY10" i="45"/>
  <c r="AY86" i="45" s="1"/>
  <c r="AY4" i="45" s="1"/>
  <c r="BB30" i="45"/>
  <c r="G30" i="45"/>
  <c r="G19" i="45"/>
  <c r="BB19" i="45"/>
  <c r="G16" i="45"/>
  <c r="BB16" i="45"/>
  <c r="G26" i="45"/>
  <c r="BB26" i="45"/>
  <c r="AN42" i="45"/>
  <c r="AN86" i="45" s="1"/>
  <c r="AN4" i="45" s="1"/>
  <c r="AO67" i="45"/>
  <c r="BB23" i="45"/>
  <c r="G23" i="45"/>
  <c r="H81" i="45"/>
  <c r="G81" i="45" s="1"/>
  <c r="M86" i="45"/>
  <c r="M4" i="45" s="1"/>
  <c r="G18" i="45"/>
  <c r="G25" i="45"/>
  <c r="AI63" i="45"/>
  <c r="AI86" i="45" s="1"/>
  <c r="AI4" i="45" s="1"/>
  <c r="F59" i="45"/>
  <c r="F75" i="45" s="1"/>
  <c r="F83" i="45" s="1"/>
  <c r="AL97" i="44"/>
  <c r="AL4" i="44" s="1"/>
  <c r="M97" i="44"/>
  <c r="M4" i="44" s="1"/>
  <c r="M36" i="44"/>
  <c r="P97" i="44"/>
  <c r="P4" i="44" s="1"/>
  <c r="L35" i="44"/>
  <c r="F35" i="44" s="1"/>
  <c r="BA35" i="44" s="1"/>
  <c r="F73" i="44"/>
  <c r="N97" i="44"/>
  <c r="N4" i="44" s="1"/>
  <c r="AR43" i="44"/>
  <c r="AR97" i="44" s="1"/>
  <c r="AR4" i="44" s="1"/>
  <c r="AS78" i="44"/>
  <c r="AS97" i="44" s="1"/>
  <c r="AS4" i="44" s="1"/>
  <c r="AF76" i="44"/>
  <c r="AF97" i="44"/>
  <c r="AF4" i="44" s="1"/>
  <c r="AU27" i="44"/>
  <c r="F27" i="44" s="1"/>
  <c r="BA27" i="44" s="1"/>
  <c r="AU97" i="44"/>
  <c r="AU4" i="44" s="1"/>
  <c r="R48" i="44"/>
  <c r="R97" i="44" s="1"/>
  <c r="R4" i="44" s="1"/>
  <c r="AJ41" i="44"/>
  <c r="F41" i="44" s="1"/>
  <c r="BA41" i="44" s="1"/>
  <c r="I34" i="44"/>
  <c r="F34" i="44" s="1"/>
  <c r="BA34" i="44" s="1"/>
  <c r="W35" i="44"/>
  <c r="W97" i="44" s="1"/>
  <c r="W4" i="44" s="1"/>
  <c r="AK40" i="44"/>
  <c r="F40" i="44" s="1"/>
  <c r="BA40" i="44" s="1"/>
  <c r="AK97" i="44"/>
  <c r="AK4" i="44" s="1"/>
  <c r="AI42" i="44"/>
  <c r="F42" i="44" s="1"/>
  <c r="BA42" i="44" s="1"/>
  <c r="AI97" i="44"/>
  <c r="AI4" i="44" s="1"/>
  <c r="J48" i="44"/>
  <c r="F48" i="44" s="1"/>
  <c r="BA48" i="44" s="1"/>
  <c r="X37" i="44"/>
  <c r="F37" i="44" s="1"/>
  <c r="BA37" i="44" s="1"/>
  <c r="K76" i="44"/>
  <c r="F76" i="44" s="1"/>
  <c r="BA76" i="44" s="1"/>
  <c r="Q66" i="44"/>
  <c r="F66" i="44" s="1"/>
  <c r="BA66" i="44" s="1"/>
  <c r="AE39" i="44"/>
  <c r="F39" i="44" s="1"/>
  <c r="BA39" i="44" s="1"/>
  <c r="AD43" i="44"/>
  <c r="O49" i="44"/>
  <c r="F49" i="44" s="1"/>
  <c r="BA49" i="44" s="1"/>
  <c r="BA57" i="44"/>
  <c r="N79" i="44"/>
  <c r="F79" i="44" s="1"/>
  <c r="BA79" i="44" s="1"/>
  <c r="P36" i="44"/>
  <c r="AX75" i="44"/>
  <c r="F75" i="44" s="1"/>
  <c r="BA75" i="44" s="1"/>
  <c r="F96" i="44"/>
  <c r="BA13" i="44"/>
  <c r="AB97" i="44"/>
  <c r="AB4" i="44" s="1"/>
  <c r="AL73" i="44"/>
  <c r="H59" i="45" l="1"/>
  <c r="N86" i="45"/>
  <c r="N4" i="45" s="1"/>
  <c r="BB68" i="45"/>
  <c r="G35" i="45"/>
  <c r="AR86" i="45"/>
  <c r="AR4" i="45" s="1"/>
  <c r="BB13" i="45"/>
  <c r="BB64" i="45"/>
  <c r="G20" i="45"/>
  <c r="AH86" i="45"/>
  <c r="AH4" i="45" s="1"/>
  <c r="BB56" i="45"/>
  <c r="AG86" i="45"/>
  <c r="AG4" i="45" s="1"/>
  <c r="BB24" i="45"/>
  <c r="R86" i="45"/>
  <c r="R4" i="45" s="1"/>
  <c r="H37" i="45"/>
  <c r="BB37" i="45" s="1"/>
  <c r="P86" i="45"/>
  <c r="P4" i="45" s="1"/>
  <c r="T86" i="45"/>
  <c r="T4" i="45" s="1"/>
  <c r="AT42" i="45"/>
  <c r="AT86" i="45" s="1"/>
  <c r="AT4" i="45" s="1"/>
  <c r="BB50" i="45"/>
  <c r="BB49" i="45"/>
  <c r="AL86" i="45"/>
  <c r="AL4" i="45" s="1"/>
  <c r="H40" i="45"/>
  <c r="G40" i="45" s="1"/>
  <c r="AV86" i="45"/>
  <c r="AV4" i="45" s="1"/>
  <c r="G59" i="45"/>
  <c r="H32" i="45"/>
  <c r="H65" i="45"/>
  <c r="BB65" i="45" s="1"/>
  <c r="G39" i="45"/>
  <c r="BB36" i="45"/>
  <c r="G36" i="45"/>
  <c r="O86" i="45"/>
  <c r="O4" i="45" s="1"/>
  <c r="H41" i="45"/>
  <c r="G41" i="45" s="1"/>
  <c r="K86" i="45"/>
  <c r="K4" i="45" s="1"/>
  <c r="Y86" i="45"/>
  <c r="Y4" i="45" s="1"/>
  <c r="H67" i="45"/>
  <c r="BB67" i="45" s="1"/>
  <c r="AU86" i="45"/>
  <c r="AU4" i="45" s="1"/>
  <c r="G47" i="45"/>
  <c r="BB47" i="45"/>
  <c r="BB27" i="45"/>
  <c r="G27" i="45"/>
  <c r="AW86" i="45"/>
  <c r="AW4" i="45" s="1"/>
  <c r="Q86" i="45"/>
  <c r="Q4" i="45" s="1"/>
  <c r="AO86" i="45"/>
  <c r="AO4" i="45" s="1"/>
  <c r="G38" i="45"/>
  <c r="BB38" i="45"/>
  <c r="G34" i="45"/>
  <c r="BB34" i="45"/>
  <c r="AE86" i="45"/>
  <c r="AE4" i="45" s="1"/>
  <c r="H63" i="45"/>
  <c r="F32" i="44"/>
  <c r="AJ97" i="44"/>
  <c r="AJ4" i="44" s="1"/>
  <c r="O97" i="44"/>
  <c r="O4" i="44" s="1"/>
  <c r="J97" i="44"/>
  <c r="J4" i="44" s="1"/>
  <c r="BA73" i="44"/>
  <c r="AE97" i="44"/>
  <c r="AE4" i="44" s="1"/>
  <c r="Q97" i="44"/>
  <c r="Q4" i="44" s="1"/>
  <c r="X97" i="44"/>
  <c r="X4" i="44" s="1"/>
  <c r="F43" i="44"/>
  <c r="BA43" i="44" s="1"/>
  <c r="K97" i="44"/>
  <c r="K4" i="44" s="1"/>
  <c r="L97" i="44"/>
  <c r="L4" i="44" s="1"/>
  <c r="AX97" i="44"/>
  <c r="F69" i="44"/>
  <c r="I97" i="44"/>
  <c r="I4" i="44" s="1"/>
  <c r="F36" i="44"/>
  <c r="BA36" i="44" s="1"/>
  <c r="AD97" i="44"/>
  <c r="AD4" i="44" s="1"/>
  <c r="AT78" i="44"/>
  <c r="AT97" i="44" s="1"/>
  <c r="AT4" i="44" s="1"/>
  <c r="F78" i="44"/>
  <c r="BA78" i="44" s="1"/>
  <c r="BB40" i="45" l="1"/>
  <c r="G32" i="45"/>
  <c r="G37" i="45"/>
  <c r="H42" i="45"/>
  <c r="H44" i="45" s="1"/>
  <c r="H52" i="45" s="1"/>
  <c r="BB41" i="45"/>
  <c r="F86" i="45"/>
  <c r="G65" i="45"/>
  <c r="BB63" i="45"/>
  <c r="H72" i="45"/>
  <c r="G63" i="45"/>
  <c r="F83" i="44"/>
  <c r="F45" i="44"/>
  <c r="F53" i="44" s="1"/>
  <c r="F86" i="44" s="1"/>
  <c r="F94" i="44" s="1"/>
  <c r="F97" i="44" s="1"/>
  <c r="G42" i="45" l="1"/>
  <c r="G44" i="45" s="1"/>
  <c r="G52" i="45" s="1"/>
  <c r="BB42" i="45"/>
  <c r="G72" i="45"/>
  <c r="H75" i="45"/>
  <c r="G75" i="45" l="1"/>
  <c r="H83" i="45"/>
  <c r="H86" i="45" l="1"/>
  <c r="G83" i="45"/>
  <c r="G86" i="45" s="1"/>
  <c r="BA67" i="32" l="1"/>
  <c r="BA61" i="32"/>
  <c r="BA60" i="32"/>
  <c r="BA51" i="32"/>
  <c r="AW75" i="32"/>
  <c r="AX8" i="32"/>
  <c r="AX10" i="32" s="1"/>
  <c r="AW13" i="32"/>
  <c r="M105" i="33"/>
  <c r="K105" i="33"/>
  <c r="K104" i="33"/>
  <c r="I99" i="33"/>
  <c r="H99" i="33"/>
  <c r="G99" i="33"/>
  <c r="F99" i="33"/>
  <c r="J97" i="33"/>
  <c r="I97" i="33"/>
  <c r="H97" i="33"/>
  <c r="G97" i="33"/>
  <c r="F97" i="33"/>
  <c r="V21" i="32"/>
  <c r="F21" i="32" s="1"/>
  <c r="AO30" i="32"/>
  <c r="F30" i="32" s="1"/>
  <c r="AC57" i="32"/>
  <c r="K32" i="33"/>
  <c r="M32" i="33" s="1"/>
  <c r="M33" i="33"/>
  <c r="G57" i="33"/>
  <c r="G52" i="33"/>
  <c r="AO59" i="32"/>
  <c r="AO80" i="32"/>
  <c r="U59" i="32"/>
  <c r="I22" i="33"/>
  <c r="M8" i="32"/>
  <c r="M12" i="33"/>
  <c r="M11" i="33"/>
  <c r="M10" i="33"/>
  <c r="K11" i="33"/>
  <c r="K10" i="33"/>
  <c r="K9" i="33"/>
  <c r="M9" i="33"/>
  <c r="K26" i="34"/>
  <c r="H26" i="34" s="1"/>
  <c r="BE26" i="34" s="1"/>
  <c r="K25" i="34"/>
  <c r="M12" i="35"/>
  <c r="M11" i="35"/>
  <c r="M10" i="35"/>
  <c r="M9" i="35"/>
  <c r="K12" i="35"/>
  <c r="K11" i="35"/>
  <c r="K10" i="35"/>
  <c r="K9" i="35"/>
  <c r="M77" i="33"/>
  <c r="M76" i="33"/>
  <c r="M75" i="33"/>
  <c r="K80" i="33"/>
  <c r="K77" i="33"/>
  <c r="K76" i="33"/>
  <c r="K75" i="33"/>
  <c r="E80" i="33"/>
  <c r="E75" i="33"/>
  <c r="T43" i="1"/>
  <c r="F69" i="33"/>
  <c r="E69" i="33"/>
  <c r="K67" i="33"/>
  <c r="M67" i="33" s="1"/>
  <c r="M65" i="33"/>
  <c r="K65" i="33"/>
  <c r="K64" i="33"/>
  <c r="M64" i="33" s="1"/>
  <c r="M63" i="33"/>
  <c r="K63" i="33"/>
  <c r="J63" i="33"/>
  <c r="I63" i="33"/>
  <c r="H63" i="33"/>
  <c r="G63" i="33"/>
  <c r="F63" i="33"/>
  <c r="E63" i="33"/>
  <c r="M54" i="33"/>
  <c r="F57" i="33"/>
  <c r="I57" i="33"/>
  <c r="K22" i="33"/>
  <c r="M22" i="33" s="1"/>
  <c r="F59" i="35"/>
  <c r="F52" i="33"/>
  <c r="K55" i="33"/>
  <c r="M55" i="33" s="1"/>
  <c r="K54" i="33"/>
  <c r="K53" i="33"/>
  <c r="M53" i="33" s="1"/>
  <c r="J51" i="33"/>
  <c r="H51" i="33"/>
  <c r="F51" i="33"/>
  <c r="K43" i="33"/>
  <c r="M46" i="33"/>
  <c r="K46" i="33"/>
  <c r="F46" i="33"/>
  <c r="K44" i="33"/>
  <c r="M44" i="33" s="1"/>
  <c r="M43" i="33"/>
  <c r="K42" i="33"/>
  <c r="M42" i="33" s="1"/>
  <c r="K41" i="33"/>
  <c r="K40" i="33"/>
  <c r="M40" i="33" s="1"/>
  <c r="J40" i="33"/>
  <c r="I40" i="33"/>
  <c r="H40" i="33"/>
  <c r="G40" i="33"/>
  <c r="F40" i="33"/>
  <c r="E40" i="33"/>
  <c r="K31" i="33"/>
  <c r="M31" i="33" s="1"/>
  <c r="K24" i="33"/>
  <c r="S16" i="32" s="1"/>
  <c r="F16" i="32" s="1"/>
  <c r="K23" i="33"/>
  <c r="M23" i="33" s="1"/>
  <c r="K21" i="33"/>
  <c r="L35" i="33"/>
  <c r="J35" i="33"/>
  <c r="H35" i="33"/>
  <c r="F35" i="33"/>
  <c r="M21" i="33"/>
  <c r="J31" i="33"/>
  <c r="H31" i="33"/>
  <c r="H34" i="33" s="1"/>
  <c r="G34" i="33"/>
  <c r="G35" i="33" s="1"/>
  <c r="G36" i="33" s="1"/>
  <c r="F31" i="33"/>
  <c r="F34" i="33" s="1"/>
  <c r="E31" i="33"/>
  <c r="M25" i="33"/>
  <c r="K25" i="33"/>
  <c r="J24" i="33"/>
  <c r="J27" i="33"/>
  <c r="J26" i="33"/>
  <c r="J28" i="33" s="1"/>
  <c r="H24" i="33"/>
  <c r="G24" i="33"/>
  <c r="H27" i="33"/>
  <c r="G27" i="33"/>
  <c r="F27" i="33"/>
  <c r="E27" i="33"/>
  <c r="L21" i="33"/>
  <c r="L26" i="33" s="1"/>
  <c r="L28" i="33" s="1"/>
  <c r="J21" i="33"/>
  <c r="I21" i="33"/>
  <c r="H21" i="33"/>
  <c r="H26" i="33" s="1"/>
  <c r="H28" i="33" s="1"/>
  <c r="G21" i="33"/>
  <c r="F21" i="33"/>
  <c r="F26" i="33" s="1"/>
  <c r="F28" i="33" s="1"/>
  <c r="F29" i="33" s="1"/>
  <c r="E21" i="33"/>
  <c r="L9" i="33"/>
  <c r="J9" i="33"/>
  <c r="I9" i="33"/>
  <c r="I13" i="33" s="1"/>
  <c r="H9" i="33"/>
  <c r="H13" i="33" s="1"/>
  <c r="G9" i="33"/>
  <c r="F9" i="33"/>
  <c r="F13" i="33" s="1"/>
  <c r="E9" i="33"/>
  <c r="E13" i="33" s="1"/>
  <c r="M104" i="33"/>
  <c r="L103" i="33"/>
  <c r="J103" i="33"/>
  <c r="E103" i="33"/>
  <c r="K102" i="33"/>
  <c r="K101" i="33"/>
  <c r="M101" i="33" s="1"/>
  <c r="K100" i="33"/>
  <c r="M100" i="33" s="1"/>
  <c r="K99" i="33"/>
  <c r="M99" i="33" s="1"/>
  <c r="K98" i="33"/>
  <c r="M98" i="33" s="1"/>
  <c r="K97" i="33"/>
  <c r="I103" i="33"/>
  <c r="H103" i="33"/>
  <c r="G103" i="33"/>
  <c r="F103" i="33"/>
  <c r="F92" i="33"/>
  <c r="K91" i="33"/>
  <c r="M91" i="33" s="1"/>
  <c r="F91" i="33"/>
  <c r="E91" i="33"/>
  <c r="M90" i="33"/>
  <c r="L90" i="33"/>
  <c r="L92" i="33" s="1"/>
  <c r="K90" i="33"/>
  <c r="K92" i="33" s="1"/>
  <c r="J90" i="33"/>
  <c r="J92" i="33" s="1"/>
  <c r="I90" i="33"/>
  <c r="H90" i="33"/>
  <c r="H92" i="33" s="1"/>
  <c r="G90" i="33"/>
  <c r="F90" i="33"/>
  <c r="E90" i="33"/>
  <c r="E92" i="33" s="1"/>
  <c r="M80" i="33"/>
  <c r="L79" i="33"/>
  <c r="L81" i="33" s="1"/>
  <c r="J79" i="33"/>
  <c r="J81" i="33" s="1"/>
  <c r="I79" i="33"/>
  <c r="H79" i="33"/>
  <c r="H81" i="33" s="1"/>
  <c r="G79" i="33"/>
  <c r="E79" i="33"/>
  <c r="E81" i="33" s="1"/>
  <c r="E82" i="33" s="1"/>
  <c r="K78" i="33"/>
  <c r="AD75" i="33"/>
  <c r="AC75" i="33"/>
  <c r="AB75" i="33"/>
  <c r="AA75" i="33"/>
  <c r="Z75" i="33"/>
  <c r="J69" i="33"/>
  <c r="I69" i="33"/>
  <c r="H69" i="33"/>
  <c r="G69" i="33"/>
  <c r="L68" i="33"/>
  <c r="L70" i="33" s="1"/>
  <c r="J68" i="33"/>
  <c r="J70" i="33" s="1"/>
  <c r="I68" i="33"/>
  <c r="I70" i="33" s="1"/>
  <c r="H68" i="33"/>
  <c r="H70" i="33" s="1"/>
  <c r="G68" i="33"/>
  <c r="G70" i="33" s="1"/>
  <c r="F68" i="33"/>
  <c r="F70" i="33" s="1"/>
  <c r="L56" i="33"/>
  <c r="L58" i="33" s="1"/>
  <c r="J56" i="33"/>
  <c r="J58" i="33" s="1"/>
  <c r="H56" i="33"/>
  <c r="F56" i="33"/>
  <c r="F58" i="33" s="1"/>
  <c r="E56" i="33"/>
  <c r="L47" i="33"/>
  <c r="L45" i="33"/>
  <c r="J45" i="33"/>
  <c r="J47" i="33" s="1"/>
  <c r="I45" i="33"/>
  <c r="H45" i="33"/>
  <c r="H47" i="33" s="1"/>
  <c r="G45" i="33"/>
  <c r="F45" i="33"/>
  <c r="E45" i="33"/>
  <c r="L34" i="33"/>
  <c r="J34" i="33"/>
  <c r="E34" i="33"/>
  <c r="E35" i="33" s="1"/>
  <c r="I26" i="33"/>
  <c r="G26" i="33"/>
  <c r="G28" i="33" s="1"/>
  <c r="E26" i="33"/>
  <c r="E28" i="33" s="1"/>
  <c r="L13" i="33"/>
  <c r="J13" i="33"/>
  <c r="G13" i="33"/>
  <c r="K58" i="38"/>
  <c r="K50" i="38"/>
  <c r="K48" i="38"/>
  <c r="K45" i="38"/>
  <c r="K16" i="38"/>
  <c r="K30" i="38"/>
  <c r="K40" i="38" s="1"/>
  <c r="K37" i="38"/>
  <c r="K35" i="38"/>
  <c r="K34" i="38"/>
  <c r="K33" i="38"/>
  <c r="K26" i="38"/>
  <c r="K28" i="38"/>
  <c r="K25" i="38"/>
  <c r="K24" i="38"/>
  <c r="K23" i="38"/>
  <c r="K21" i="38"/>
  <c r="K20" i="38"/>
  <c r="K14" i="38"/>
  <c r="K13" i="38"/>
  <c r="N58" i="38"/>
  <c r="Q58" i="38"/>
  <c r="Q55" i="38"/>
  <c r="N55" i="38"/>
  <c r="N48" i="38"/>
  <c r="Q48" i="38"/>
  <c r="N42" i="38"/>
  <c r="Q42" i="38"/>
  <c r="N26" i="38"/>
  <c r="N35" i="38"/>
  <c r="N34" i="38"/>
  <c r="N33" i="38"/>
  <c r="Q26" i="38"/>
  <c r="Q34" i="38"/>
  <c r="Q35" i="38"/>
  <c r="Q33" i="38"/>
  <c r="Q25" i="38"/>
  <c r="N25" i="38"/>
  <c r="Q24" i="38"/>
  <c r="N24" i="38"/>
  <c r="N23" i="38"/>
  <c r="Q23" i="38"/>
  <c r="N21" i="38"/>
  <c r="Q21" i="38"/>
  <c r="N20" i="38"/>
  <c r="Q20" i="38"/>
  <c r="N14" i="38"/>
  <c r="Q14" i="38"/>
  <c r="N13" i="38"/>
  <c r="Q13" i="38"/>
  <c r="X84" i="39"/>
  <c r="V84" i="39"/>
  <c r="T84" i="39"/>
  <c r="R84" i="39"/>
  <c r="P84" i="39"/>
  <c r="N84" i="39"/>
  <c r="J84" i="39"/>
  <c r="H84" i="39"/>
  <c r="F84" i="39"/>
  <c r="L80" i="39"/>
  <c r="T80" i="39" s="1"/>
  <c r="X80" i="39" s="1"/>
  <c r="L77" i="39"/>
  <c r="J77" i="39"/>
  <c r="T77" i="39" s="1"/>
  <c r="X77" i="39" s="1"/>
  <c r="L74" i="39"/>
  <c r="T74" i="39" s="1"/>
  <c r="X74" i="39" s="1"/>
  <c r="T71" i="39"/>
  <c r="X71" i="39" s="1"/>
  <c r="T68" i="39"/>
  <c r="X68" i="39" s="1"/>
  <c r="T66" i="39"/>
  <c r="X66" i="39" s="1"/>
  <c r="V64" i="39"/>
  <c r="T64" i="39"/>
  <c r="X64" i="39" s="1"/>
  <c r="R64" i="39"/>
  <c r="T62" i="39"/>
  <c r="X62" i="39" s="1"/>
  <c r="T59" i="39"/>
  <c r="X59" i="39" s="1"/>
  <c r="T57" i="39"/>
  <c r="X57" i="39" s="1"/>
  <c r="X54" i="39"/>
  <c r="V54" i="39"/>
  <c r="T54" i="39"/>
  <c r="R54" i="39"/>
  <c r="P54" i="39"/>
  <c r="N54" i="39"/>
  <c r="L54" i="39"/>
  <c r="J54" i="39"/>
  <c r="H54" i="39"/>
  <c r="F54" i="39"/>
  <c r="J52" i="39"/>
  <c r="J82" i="39" s="1"/>
  <c r="J85" i="39" s="1"/>
  <c r="H52" i="39"/>
  <c r="H82" i="39" s="1"/>
  <c r="H85" i="39" s="1"/>
  <c r="V50" i="39"/>
  <c r="L50" i="39"/>
  <c r="T50" i="39" s="1"/>
  <c r="X50" i="39" s="1"/>
  <c r="V47" i="39"/>
  <c r="L47" i="39"/>
  <c r="T47" i="39" s="1"/>
  <c r="X47" i="39" s="1"/>
  <c r="V44" i="39"/>
  <c r="T44" i="39"/>
  <c r="X44" i="39" s="1"/>
  <c r="L44" i="39"/>
  <c r="V41" i="39"/>
  <c r="L41" i="39"/>
  <c r="T41" i="39" s="1"/>
  <c r="X41" i="39" s="1"/>
  <c r="R38" i="39"/>
  <c r="P38" i="39"/>
  <c r="T38" i="39" s="1"/>
  <c r="X38" i="39" s="1"/>
  <c r="R36" i="39"/>
  <c r="T36" i="39" s="1"/>
  <c r="X36" i="39" s="1"/>
  <c r="N36" i="39"/>
  <c r="T34" i="39"/>
  <c r="X34" i="39" s="1"/>
  <c r="R34" i="39"/>
  <c r="T32" i="39"/>
  <c r="X32" i="39" s="1"/>
  <c r="H32" i="39"/>
  <c r="T30" i="39"/>
  <c r="X30" i="39" s="1"/>
  <c r="J28" i="39"/>
  <c r="X27" i="39"/>
  <c r="V27" i="39"/>
  <c r="T27" i="39"/>
  <c r="R27" i="39"/>
  <c r="P27" i="39"/>
  <c r="N27" i="39"/>
  <c r="L27" i="39"/>
  <c r="J27" i="39"/>
  <c r="H27" i="39"/>
  <c r="F27" i="39"/>
  <c r="R25" i="39"/>
  <c r="R28" i="39" s="1"/>
  <c r="P25" i="39"/>
  <c r="P28" i="39" s="1"/>
  <c r="N25" i="39"/>
  <c r="N28" i="39" s="1"/>
  <c r="J25" i="39"/>
  <c r="H25" i="39"/>
  <c r="H28" i="39" s="1"/>
  <c r="H29" i="39" s="1"/>
  <c r="F25" i="39"/>
  <c r="F52" i="39" s="1"/>
  <c r="V23" i="39"/>
  <c r="L23" i="39"/>
  <c r="T23" i="39" s="1"/>
  <c r="X23" i="39" s="1"/>
  <c r="V20" i="39"/>
  <c r="L20" i="39"/>
  <c r="T20" i="39" s="1"/>
  <c r="X20" i="39" s="1"/>
  <c r="V17" i="39"/>
  <c r="T17" i="39"/>
  <c r="X17" i="39" s="1"/>
  <c r="L17" i="39"/>
  <c r="V14" i="39"/>
  <c r="V25" i="39" s="1"/>
  <c r="L14" i="39"/>
  <c r="L25" i="39" s="1"/>
  <c r="X12" i="39"/>
  <c r="T12" i="39"/>
  <c r="T10" i="39"/>
  <c r="X10" i="39" s="1"/>
  <c r="R10" i="39"/>
  <c r="P10" i="39"/>
  <c r="N10" i="39"/>
  <c r="H10" i="39"/>
  <c r="J69" i="37"/>
  <c r="J68" i="37"/>
  <c r="J73" i="37"/>
  <c r="J67" i="37"/>
  <c r="J66" i="37"/>
  <c r="J65" i="37"/>
  <c r="J64" i="37"/>
  <c r="J57" i="37"/>
  <c r="J56" i="37"/>
  <c r="J55" i="37"/>
  <c r="J46" i="37"/>
  <c r="H34" i="1"/>
  <c r="H15" i="1"/>
  <c r="E15" i="1"/>
  <c r="J48" i="37"/>
  <c r="J47" i="37"/>
  <c r="J44" i="37"/>
  <c r="J43" i="37"/>
  <c r="J42" i="37"/>
  <c r="J40" i="37"/>
  <c r="J29" i="37"/>
  <c r="J27" i="37"/>
  <c r="J20" i="37"/>
  <c r="J18" i="37"/>
  <c r="J17" i="37"/>
  <c r="J15" i="37"/>
  <c r="J16" i="37"/>
  <c r="J14" i="37"/>
  <c r="J13" i="37"/>
  <c r="N40" i="37"/>
  <c r="N73" i="37"/>
  <c r="N67" i="37"/>
  <c r="N68" i="37"/>
  <c r="N70" i="37"/>
  <c r="L70" i="37"/>
  <c r="N66" i="37"/>
  <c r="L66" i="37"/>
  <c r="L68" i="37"/>
  <c r="L73" i="37"/>
  <c r="L67" i="37"/>
  <c r="N64" i="37"/>
  <c r="N65" i="37"/>
  <c r="L65" i="37"/>
  <c r="L64" i="37"/>
  <c r="L57" i="37"/>
  <c r="N56" i="37"/>
  <c r="L56" i="37"/>
  <c r="N55" i="37"/>
  <c r="L55" i="37"/>
  <c r="N53" i="37"/>
  <c r="L53" i="37"/>
  <c r="N48" i="37"/>
  <c r="L48" i="37"/>
  <c r="N47" i="37"/>
  <c r="L47" i="37"/>
  <c r="N44" i="37"/>
  <c r="L44" i="37"/>
  <c r="N43" i="37"/>
  <c r="L43" i="37"/>
  <c r="N42" i="37"/>
  <c r="L42" i="37"/>
  <c r="N41" i="37"/>
  <c r="L41" i="37"/>
  <c r="L40" i="37"/>
  <c r="N31" i="37"/>
  <c r="N29" i="37"/>
  <c r="N28" i="37"/>
  <c r="N27" i="37"/>
  <c r="N26" i="37"/>
  <c r="N25" i="37"/>
  <c r="L31" i="37"/>
  <c r="L29" i="37"/>
  <c r="L28" i="37"/>
  <c r="L27" i="37"/>
  <c r="L26" i="37"/>
  <c r="L25" i="37"/>
  <c r="N20" i="37"/>
  <c r="L20" i="37"/>
  <c r="N19" i="37"/>
  <c r="L19" i="37"/>
  <c r="N18" i="37"/>
  <c r="L18" i="37"/>
  <c r="N17" i="37"/>
  <c r="L17" i="37"/>
  <c r="N16" i="37"/>
  <c r="L16" i="37"/>
  <c r="N15" i="37"/>
  <c r="L15" i="37"/>
  <c r="N13" i="37"/>
  <c r="N14" i="37"/>
  <c r="L14" i="37"/>
  <c r="L13" i="37"/>
  <c r="N12" i="37"/>
  <c r="L12" i="37"/>
  <c r="H51" i="34"/>
  <c r="H50" i="34"/>
  <c r="BC51" i="34"/>
  <c r="BE51" i="34" s="1"/>
  <c r="BC50" i="34"/>
  <c r="BE50" i="34" s="1"/>
  <c r="H65" i="34"/>
  <c r="G65" i="34" s="1"/>
  <c r="BD28" i="34"/>
  <c r="BD24" i="34"/>
  <c r="BD75" i="34"/>
  <c r="BB28" i="34"/>
  <c r="BB75" i="34"/>
  <c r="BB24" i="34"/>
  <c r="K104" i="35"/>
  <c r="M104" i="35" s="1"/>
  <c r="F101" i="35"/>
  <c r="K102" i="35"/>
  <c r="K101" i="35"/>
  <c r="K100" i="35"/>
  <c r="K103" i="35" s="1"/>
  <c r="K99" i="35"/>
  <c r="K98" i="35"/>
  <c r="M98" i="35" s="1"/>
  <c r="K97" i="35"/>
  <c r="L103" i="35"/>
  <c r="J103" i="35"/>
  <c r="M101" i="35"/>
  <c r="M100" i="35"/>
  <c r="M99" i="35"/>
  <c r="M97" i="35"/>
  <c r="F100" i="35"/>
  <c r="I99" i="35"/>
  <c r="H99" i="35"/>
  <c r="G99" i="35"/>
  <c r="F99" i="35"/>
  <c r="H98" i="35"/>
  <c r="F98" i="35"/>
  <c r="I97" i="35"/>
  <c r="H97" i="35"/>
  <c r="H103" i="35" s="1"/>
  <c r="G97" i="35"/>
  <c r="F97" i="35"/>
  <c r="L105" i="35"/>
  <c r="I103" i="35"/>
  <c r="G103" i="35"/>
  <c r="E103" i="35"/>
  <c r="AT80" i="34"/>
  <c r="H80" i="34" s="1"/>
  <c r="BA24" i="34"/>
  <c r="K91" i="35"/>
  <c r="M91" i="35" s="1"/>
  <c r="F91" i="35"/>
  <c r="E91" i="35"/>
  <c r="H27" i="34"/>
  <c r="H47" i="34"/>
  <c r="G47" i="34" s="1"/>
  <c r="H66" i="34"/>
  <c r="H64" i="34"/>
  <c r="G64" i="34" s="1"/>
  <c r="H63" i="34"/>
  <c r="BE63" i="34" s="1"/>
  <c r="H62" i="34"/>
  <c r="BE62" i="34" s="1"/>
  <c r="H61" i="34"/>
  <c r="BE61" i="34" s="1"/>
  <c r="H60" i="34"/>
  <c r="G60" i="34" s="1"/>
  <c r="H58" i="34"/>
  <c r="BE58" i="34" s="1"/>
  <c r="H81" i="34"/>
  <c r="G81" i="34" s="1"/>
  <c r="K80" i="35"/>
  <c r="E80" i="35"/>
  <c r="AD75" i="35"/>
  <c r="AC75" i="35"/>
  <c r="AB75" i="35"/>
  <c r="AA75" i="35"/>
  <c r="Z75" i="35"/>
  <c r="X20" i="34"/>
  <c r="X18" i="34"/>
  <c r="H18" i="34" s="1"/>
  <c r="X19" i="34"/>
  <c r="H19" i="34" s="1"/>
  <c r="X59" i="34"/>
  <c r="K69" i="35"/>
  <c r="M69" i="35" s="1"/>
  <c r="J69" i="35"/>
  <c r="I69" i="35"/>
  <c r="H69" i="35"/>
  <c r="G69" i="35"/>
  <c r="F69" i="35"/>
  <c r="E69" i="35"/>
  <c r="AT31" i="34"/>
  <c r="H31" i="34" s="1"/>
  <c r="AT20" i="34"/>
  <c r="AT59" i="34"/>
  <c r="M57" i="35"/>
  <c r="K57" i="35"/>
  <c r="F57" i="35"/>
  <c r="M46" i="35"/>
  <c r="K46" i="35"/>
  <c r="F46" i="35"/>
  <c r="AH57" i="34"/>
  <c r="M32" i="35"/>
  <c r="M31" i="35"/>
  <c r="V23" i="34"/>
  <c r="H23" i="34" s="1"/>
  <c r="V17" i="34"/>
  <c r="H17" i="34" s="1"/>
  <c r="V16" i="34"/>
  <c r="H16" i="34" s="1"/>
  <c r="M27" i="35"/>
  <c r="K27" i="35"/>
  <c r="I27" i="35"/>
  <c r="H27" i="35"/>
  <c r="G27" i="35"/>
  <c r="F27" i="35"/>
  <c r="E27" i="35"/>
  <c r="BD13" i="34"/>
  <c r="BC13" i="34"/>
  <c r="BB13" i="34"/>
  <c r="AD13" i="34"/>
  <c r="AN9" i="34"/>
  <c r="AD9" i="34"/>
  <c r="AE9" i="34"/>
  <c r="BD9" i="34"/>
  <c r="BC9" i="34"/>
  <c r="BB9" i="34"/>
  <c r="BA9" i="34"/>
  <c r="AZ9" i="34"/>
  <c r="AY9" i="34"/>
  <c r="AX9" i="34"/>
  <c r="AW9" i="34"/>
  <c r="AU9" i="34"/>
  <c r="AT9" i="34"/>
  <c r="AO9" i="34"/>
  <c r="AK58" i="17"/>
  <c r="AK9" i="34"/>
  <c r="AJ9" i="34"/>
  <c r="AI9" i="34"/>
  <c r="AH9" i="34"/>
  <c r="AA9" i="34"/>
  <c r="Z9" i="34"/>
  <c r="Y9" i="34"/>
  <c r="X9" i="34"/>
  <c r="V9" i="34"/>
  <c r="U9" i="34"/>
  <c r="S9" i="34"/>
  <c r="R9" i="34"/>
  <c r="Q9" i="34"/>
  <c r="P9" i="34"/>
  <c r="O9" i="34"/>
  <c r="N9" i="34"/>
  <c r="M9" i="34"/>
  <c r="L9" i="34"/>
  <c r="K9" i="34"/>
  <c r="J9" i="34"/>
  <c r="BE66" i="34"/>
  <c r="BE44" i="34"/>
  <c r="BE34" i="34"/>
  <c r="AS8" i="34"/>
  <c r="AR8" i="34"/>
  <c r="AR10" i="34" s="1"/>
  <c r="AR78" i="34" s="1"/>
  <c r="AG8" i="34"/>
  <c r="AF8" i="34"/>
  <c r="AC8" i="34"/>
  <c r="AC10" i="34" s="1"/>
  <c r="AB8" i="34"/>
  <c r="AB10" i="34" s="1"/>
  <c r="W8" i="34"/>
  <c r="W10" i="34" s="1"/>
  <c r="T8" i="34"/>
  <c r="T10" i="34" s="1"/>
  <c r="L90" i="35"/>
  <c r="L92" i="35" s="1"/>
  <c r="J90" i="35"/>
  <c r="J92" i="35" s="1"/>
  <c r="I90" i="35"/>
  <c r="I92" i="35" s="1"/>
  <c r="H90" i="35"/>
  <c r="H92" i="35" s="1"/>
  <c r="G90" i="35"/>
  <c r="M80" i="35"/>
  <c r="L79" i="35"/>
  <c r="L81" i="35" s="1"/>
  <c r="J79" i="35"/>
  <c r="J81" i="35" s="1"/>
  <c r="I79" i="35"/>
  <c r="H79" i="35"/>
  <c r="H81" i="35" s="1"/>
  <c r="G79" i="35"/>
  <c r="F79" i="35"/>
  <c r="L68" i="35"/>
  <c r="L70" i="35" s="1"/>
  <c r="J68" i="35"/>
  <c r="J70" i="35" s="1"/>
  <c r="I68" i="35"/>
  <c r="H68" i="35"/>
  <c r="H70" i="35" s="1"/>
  <c r="G68" i="35"/>
  <c r="Y21" i="34"/>
  <c r="H21" i="34" s="1"/>
  <c r="I51" i="33"/>
  <c r="G51" i="33"/>
  <c r="L56" i="35"/>
  <c r="L58" i="35" s="1"/>
  <c r="J56" i="35"/>
  <c r="J58" i="35" s="1"/>
  <c r="I56" i="35"/>
  <c r="H56" i="35"/>
  <c r="H58" i="35" s="1"/>
  <c r="G56" i="35"/>
  <c r="E56" i="35"/>
  <c r="L45" i="35"/>
  <c r="L47" i="35" s="1"/>
  <c r="J45" i="35"/>
  <c r="J47" i="35" s="1"/>
  <c r="H45" i="35"/>
  <c r="H47" i="35" s="1"/>
  <c r="G45" i="35"/>
  <c r="G47" i="35" s="1"/>
  <c r="L34" i="35"/>
  <c r="L35" i="35" s="1"/>
  <c r="J34" i="35"/>
  <c r="J35" i="35" s="1"/>
  <c r="I34" i="35"/>
  <c r="I35" i="35" s="1"/>
  <c r="H34" i="35"/>
  <c r="H35" i="35" s="1"/>
  <c r="F34" i="35"/>
  <c r="F35" i="35" s="1"/>
  <c r="E34" i="35"/>
  <c r="E35" i="35" s="1"/>
  <c r="K33" i="35"/>
  <c r="M33" i="35" s="1"/>
  <c r="L26" i="35"/>
  <c r="L28" i="35" s="1"/>
  <c r="J26" i="35"/>
  <c r="J28" i="35" s="1"/>
  <c r="H26" i="35"/>
  <c r="H28" i="35" s="1"/>
  <c r="F26" i="35"/>
  <c r="G26" i="35"/>
  <c r="M13" i="35"/>
  <c r="L13" i="35"/>
  <c r="J13" i="35"/>
  <c r="I13" i="35"/>
  <c r="H13" i="35"/>
  <c r="G13" i="35"/>
  <c r="F13" i="35"/>
  <c r="E13" i="35"/>
  <c r="K13" i="35"/>
  <c r="K13" i="33" s="1"/>
  <c r="H25" i="34"/>
  <c r="J97" i="34"/>
  <c r="J4" i="34" s="1"/>
  <c r="G90" i="34"/>
  <c r="H77" i="34"/>
  <c r="BE77" i="34" s="1"/>
  <c r="G63" i="34"/>
  <c r="AG42" i="34"/>
  <c r="H92" i="34"/>
  <c r="AZ13" i="32"/>
  <c r="AY13" i="32"/>
  <c r="AZ9" i="32"/>
  <c r="BD8" i="34" s="1"/>
  <c r="AY9" i="32"/>
  <c r="AW9" i="32"/>
  <c r="AW10" i="32" s="1"/>
  <c r="AV9" i="32"/>
  <c r="BA8" i="34" s="1"/>
  <c r="AU9" i="32"/>
  <c r="AZ8" i="34" s="1"/>
  <c r="AT9" i="32"/>
  <c r="AY8" i="34" s="1"/>
  <c r="AS9" i="32"/>
  <c r="AX8" i="34" s="1"/>
  <c r="AP9" i="32"/>
  <c r="AU8" i="34" s="1"/>
  <c r="AR9" i="32"/>
  <c r="AW8" i="34" s="1"/>
  <c r="AQ9" i="32"/>
  <c r="AV8" i="34" s="1"/>
  <c r="AV10" i="34" s="1"/>
  <c r="AV97" i="34" s="1"/>
  <c r="AO9" i="32"/>
  <c r="AT8" i="34" s="1"/>
  <c r="K58" i="17"/>
  <c r="I58" i="17"/>
  <c r="AK9" i="32"/>
  <c r="AP8" i="34" s="1"/>
  <c r="AP10" i="34" s="1"/>
  <c r="AJ9" i="32"/>
  <c r="AO8" i="34" s="1"/>
  <c r="AI9" i="32"/>
  <c r="AN8" i="34" s="1"/>
  <c r="AH9" i="32"/>
  <c r="AM8" i="34" s="1"/>
  <c r="AM10" i="34" s="1"/>
  <c r="AM97" i="34" s="1"/>
  <c r="AM4" i="34" s="1"/>
  <c r="AG9" i="32"/>
  <c r="AL8" i="34" s="1"/>
  <c r="AL10" i="34" s="1"/>
  <c r="AF9" i="32"/>
  <c r="AK8" i="34" s="1"/>
  <c r="AE9" i="32"/>
  <c r="AJ8" i="34" s="1"/>
  <c r="AD9" i="32"/>
  <c r="AI8" i="34" s="1"/>
  <c r="AC9" i="32"/>
  <c r="AH8" i="34" s="1"/>
  <c r="AA9" i="32"/>
  <c r="AD8" i="34" s="1"/>
  <c r="X9" i="32"/>
  <c r="AA8" i="34" s="1"/>
  <c r="AA10" i="34" s="1"/>
  <c r="H67" i="34" s="1"/>
  <c r="G67" i="34" s="1"/>
  <c r="W9" i="32"/>
  <c r="Z8" i="34" s="1"/>
  <c r="Z10" i="34" s="1"/>
  <c r="Z76" i="34" s="1"/>
  <c r="V9" i="32"/>
  <c r="Y8" i="34" s="1"/>
  <c r="Y10" i="34" s="1"/>
  <c r="U9" i="32"/>
  <c r="X8" i="34" s="1"/>
  <c r="X10" i="34" s="1"/>
  <c r="S9" i="32"/>
  <c r="V8" i="34" s="1"/>
  <c r="V10" i="34" s="1"/>
  <c r="R9" i="32"/>
  <c r="U8" i="34" s="1"/>
  <c r="P9" i="32"/>
  <c r="S8" i="34" s="1"/>
  <c r="O9" i="32"/>
  <c r="R8" i="34" s="1"/>
  <c r="N9" i="32"/>
  <c r="Q8" i="34" s="1"/>
  <c r="M9" i="32"/>
  <c r="P8" i="34" s="1"/>
  <c r="O8" i="34"/>
  <c r="L9" i="32"/>
  <c r="N8" i="34" s="1"/>
  <c r="K9" i="32"/>
  <c r="M8" i="34" s="1"/>
  <c r="I9" i="32"/>
  <c r="K8" i="34" s="1"/>
  <c r="J9" i="32"/>
  <c r="L8" i="34" s="1"/>
  <c r="L10" i="34" s="1"/>
  <c r="H9" i="32"/>
  <c r="F92" i="32" s="1"/>
  <c r="AV8" i="32"/>
  <c r="AV10" i="32" s="1"/>
  <c r="F77" i="32"/>
  <c r="AZ8" i="32"/>
  <c r="AY8" i="32"/>
  <c r="AU8" i="32"/>
  <c r="AU10" i="32" s="1"/>
  <c r="AU27" i="32" s="1"/>
  <c r="F27" i="32" s="1"/>
  <c r="AT8" i="32"/>
  <c r="AS8" i="32"/>
  <c r="AK8" i="32"/>
  <c r="AR8" i="32"/>
  <c r="AA8" i="32"/>
  <c r="AP8" i="32"/>
  <c r="AD8" i="32"/>
  <c r="AF8" i="32"/>
  <c r="AF10" i="32" s="1"/>
  <c r="AE8" i="32"/>
  <c r="AJ8" i="32"/>
  <c r="AC8" i="32"/>
  <c r="AC10" i="32" s="1"/>
  <c r="AC38" i="32" s="1"/>
  <c r="AB8" i="32"/>
  <c r="U8" i="32"/>
  <c r="W8" i="32"/>
  <c r="R8" i="32"/>
  <c r="S17" i="32"/>
  <c r="F17" i="32" s="1"/>
  <c r="S23" i="32"/>
  <c r="F23" i="32" s="1"/>
  <c r="H97" i="32"/>
  <c r="H4" i="32" s="1"/>
  <c r="BA74" i="32"/>
  <c r="BA65" i="32"/>
  <c r="BA64" i="32"/>
  <c r="BA63" i="32"/>
  <c r="BA47" i="32"/>
  <c r="BA44" i="32"/>
  <c r="S38" i="32"/>
  <c r="BA33" i="32"/>
  <c r="BA29" i="32"/>
  <c r="BA28" i="32"/>
  <c r="BA26" i="32"/>
  <c r="I25" i="32"/>
  <c r="F25" i="32" s="1"/>
  <c r="AP24" i="32"/>
  <c r="V22" i="32"/>
  <c r="F22" i="32" s="1"/>
  <c r="AO20" i="32"/>
  <c r="U20" i="32"/>
  <c r="F20" i="32" s="1"/>
  <c r="U19" i="32"/>
  <c r="F19" i="32" s="1"/>
  <c r="U18" i="32"/>
  <c r="F18" i="32" s="1"/>
  <c r="AN10" i="32"/>
  <c r="AN97" i="32" s="1"/>
  <c r="AN4" i="32" s="1"/>
  <c r="AM10" i="32"/>
  <c r="AM97" i="32" s="1"/>
  <c r="AM4" i="32" s="1"/>
  <c r="Z10" i="32"/>
  <c r="Z97" i="32" s="1"/>
  <c r="Z4" i="32" s="1"/>
  <c r="Y10" i="32"/>
  <c r="Y97" i="32" s="1"/>
  <c r="Y4" i="32" s="1"/>
  <c r="T10" i="32"/>
  <c r="T57" i="32" s="1"/>
  <c r="T97" i="32" s="1"/>
  <c r="T4" i="32" s="1"/>
  <c r="Q10" i="32"/>
  <c r="F80" i="32" l="1"/>
  <c r="BA80" i="32" s="1"/>
  <c r="R10" i="32"/>
  <c r="R48" i="32" s="1"/>
  <c r="F24" i="32"/>
  <c r="F13" i="32"/>
  <c r="F38" i="32"/>
  <c r="AZ10" i="32"/>
  <c r="AZ97" i="32" s="1"/>
  <c r="AZ4" i="32" s="1"/>
  <c r="G56" i="33"/>
  <c r="G58" i="33" s="1"/>
  <c r="K51" i="33"/>
  <c r="M51" i="33" s="1"/>
  <c r="I81" i="33"/>
  <c r="I92" i="33"/>
  <c r="G47" i="33"/>
  <c r="I47" i="33"/>
  <c r="F79" i="33"/>
  <c r="F81" i="33" s="1"/>
  <c r="E58" i="33"/>
  <c r="G81" i="33"/>
  <c r="G92" i="33"/>
  <c r="E47" i="33"/>
  <c r="AP10" i="32"/>
  <c r="AS10" i="32"/>
  <c r="AS78" i="32" s="1"/>
  <c r="U10" i="32"/>
  <c r="AJ10" i="32"/>
  <c r="AX75" i="32"/>
  <c r="AX97" i="32" s="1"/>
  <c r="BA22" i="32"/>
  <c r="AY10" i="32"/>
  <c r="AY97" i="32" s="1"/>
  <c r="AY4" i="32" s="1"/>
  <c r="AT10" i="32"/>
  <c r="J8" i="34"/>
  <c r="H96" i="34" s="1"/>
  <c r="G96" i="34" s="1"/>
  <c r="AV97" i="32"/>
  <c r="AV4" i="32" s="1"/>
  <c r="BB8" i="34"/>
  <c r="BB10" i="34" s="1"/>
  <c r="BB97" i="34" s="1"/>
  <c r="BB4" i="34" s="1"/>
  <c r="BC8" i="34"/>
  <c r="BC10" i="34" s="1"/>
  <c r="BC97" i="34" s="1"/>
  <c r="BC4" i="34" s="1"/>
  <c r="AK10" i="32"/>
  <c r="AK97" i="32" s="1"/>
  <c r="AK4" i="32" s="1"/>
  <c r="AC97" i="32"/>
  <c r="AC4" i="32" s="1"/>
  <c r="AR10" i="32"/>
  <c r="AR43" i="32" s="1"/>
  <c r="M24" i="33"/>
  <c r="M26" i="33"/>
  <c r="M13" i="33"/>
  <c r="G26" i="34"/>
  <c r="I33" i="33"/>
  <c r="K45" i="33"/>
  <c r="K47" i="33" s="1"/>
  <c r="F47" i="33"/>
  <c r="M41" i="33"/>
  <c r="M45" i="33" s="1"/>
  <c r="M47" i="33" s="1"/>
  <c r="K26" i="33"/>
  <c r="M78" i="33"/>
  <c r="M79" i="33" s="1"/>
  <c r="M81" i="33" s="1"/>
  <c r="K79" i="33"/>
  <c r="K81" i="33" s="1"/>
  <c r="K103" i="33"/>
  <c r="M92" i="33"/>
  <c r="M97" i="33"/>
  <c r="M103" i="33" s="1"/>
  <c r="N37" i="38"/>
  <c r="Q37" i="38"/>
  <c r="N28" i="38"/>
  <c r="Q28" i="38"/>
  <c r="Q16" i="38"/>
  <c r="N16" i="38"/>
  <c r="N30" i="38" s="1"/>
  <c r="N40" i="38" s="1"/>
  <c r="N45" i="38" s="1"/>
  <c r="N50" i="38" s="1"/>
  <c r="F82" i="39"/>
  <c r="F85" i="39" s="1"/>
  <c r="F55" i="39"/>
  <c r="L28" i="39"/>
  <c r="L52" i="39"/>
  <c r="V52" i="39"/>
  <c r="V28" i="39"/>
  <c r="N52" i="39"/>
  <c r="F28" i="39"/>
  <c r="P52" i="39"/>
  <c r="T14" i="39"/>
  <c r="X14" i="39" s="1"/>
  <c r="X25" i="39" s="1"/>
  <c r="R52" i="39"/>
  <c r="H55" i="39"/>
  <c r="J55" i="39"/>
  <c r="J72" i="37"/>
  <c r="J74" i="37" s="1"/>
  <c r="L50" i="37"/>
  <c r="N59" i="37"/>
  <c r="N50" i="37"/>
  <c r="N61" i="37" s="1"/>
  <c r="L59" i="37"/>
  <c r="L61" i="37" s="1"/>
  <c r="N22" i="37"/>
  <c r="N33" i="37"/>
  <c r="L33" i="37"/>
  <c r="L72" i="37"/>
  <c r="L74" i="37" s="1"/>
  <c r="N72" i="37"/>
  <c r="N74" i="37" s="1"/>
  <c r="L22" i="37"/>
  <c r="F69" i="34"/>
  <c r="H75" i="34"/>
  <c r="K10" i="34"/>
  <c r="AN10" i="34"/>
  <c r="AN42" i="34" s="1"/>
  <c r="AN97" i="34" s="1"/>
  <c r="AN4" i="34" s="1"/>
  <c r="AK10" i="34"/>
  <c r="AK74" i="34" s="1"/>
  <c r="H74" i="34" s="1"/>
  <c r="BE74" i="34" s="1"/>
  <c r="AW10" i="34"/>
  <c r="AW43" i="34" s="1"/>
  <c r="G92" i="34"/>
  <c r="N10" i="34"/>
  <c r="N36" i="34" s="1"/>
  <c r="H36" i="34" s="1"/>
  <c r="AX10" i="34"/>
  <c r="AX78" i="34" s="1"/>
  <c r="AY78" i="34" s="1"/>
  <c r="P10" i="34"/>
  <c r="P37" i="34" s="1"/>
  <c r="H37" i="34" s="1"/>
  <c r="BE37" i="34" s="1"/>
  <c r="AY10" i="34"/>
  <c r="G61" i="34"/>
  <c r="G62" i="34"/>
  <c r="BD10" i="34"/>
  <c r="BD97" i="34" s="1"/>
  <c r="BD4" i="34" s="1"/>
  <c r="AA38" i="34"/>
  <c r="AO10" i="34"/>
  <c r="AO41" i="34" s="1"/>
  <c r="H13" i="34"/>
  <c r="G13" i="34" s="1"/>
  <c r="AW97" i="34"/>
  <c r="AW4" i="34" s="1"/>
  <c r="AZ10" i="34"/>
  <c r="AZ28" i="34" s="1"/>
  <c r="H28" i="34" s="1"/>
  <c r="BA10" i="34"/>
  <c r="BA97" i="34" s="1"/>
  <c r="BA4" i="34" s="1"/>
  <c r="M103" i="35"/>
  <c r="K105" i="35"/>
  <c r="F103" i="35"/>
  <c r="M105" i="35"/>
  <c r="I81" i="35"/>
  <c r="I58" i="35"/>
  <c r="U10" i="34"/>
  <c r="U48" i="34" s="1"/>
  <c r="AD10" i="34"/>
  <c r="H59" i="34"/>
  <c r="H20" i="34"/>
  <c r="F33" i="34"/>
  <c r="F45" i="34" s="1"/>
  <c r="F53" i="34" s="1"/>
  <c r="Z97" i="34"/>
  <c r="Z4" i="34" s="1"/>
  <c r="Q10" i="34"/>
  <c r="R10" i="34"/>
  <c r="R42" i="34" s="1"/>
  <c r="S10" i="34"/>
  <c r="BE64" i="34"/>
  <c r="BE67" i="34"/>
  <c r="BE47" i="34"/>
  <c r="G66" i="34"/>
  <c r="BE60" i="34"/>
  <c r="Y22" i="34"/>
  <c r="H22" i="34" s="1"/>
  <c r="G70" i="35"/>
  <c r="G92" i="35"/>
  <c r="F28" i="35"/>
  <c r="G80" i="34"/>
  <c r="BE80" i="34"/>
  <c r="E58" i="35"/>
  <c r="K78" i="35"/>
  <c r="M78" i="35" s="1"/>
  <c r="G34" i="35"/>
  <c r="G35" i="35" s="1"/>
  <c r="I45" i="35"/>
  <c r="I47" i="35" s="1"/>
  <c r="F56" i="35"/>
  <c r="F58" i="35" s="1"/>
  <c r="F68" i="35"/>
  <c r="F70" i="35" s="1"/>
  <c r="E79" i="35"/>
  <c r="E81" i="35" s="1"/>
  <c r="W97" i="34"/>
  <c r="W4" i="34" s="1"/>
  <c r="K26" i="35"/>
  <c r="K28" i="35" s="1"/>
  <c r="G58" i="35"/>
  <c r="I26" i="35"/>
  <c r="I28" i="35" s="1"/>
  <c r="E90" i="35"/>
  <c r="E92" i="35" s="1"/>
  <c r="M68" i="35"/>
  <c r="M70" i="35" s="1"/>
  <c r="F90" i="35"/>
  <c r="F92" i="35" s="1"/>
  <c r="AI10" i="34"/>
  <c r="AI76" i="34" s="1"/>
  <c r="AH10" i="34"/>
  <c r="BE9" i="34"/>
  <c r="AJ10" i="34"/>
  <c r="AJ40" i="34" s="1"/>
  <c r="O10" i="34"/>
  <c r="O38" i="34" s="1"/>
  <c r="W10" i="32"/>
  <c r="W35" i="32" s="1"/>
  <c r="W97" i="32" s="1"/>
  <c r="W4" i="32" s="1"/>
  <c r="AC73" i="34"/>
  <c r="AC97" i="34" s="1"/>
  <c r="AC4" i="34" s="1"/>
  <c r="L48" i="34"/>
  <c r="F81" i="35"/>
  <c r="AB97" i="34"/>
  <c r="AB4" i="34" s="1"/>
  <c r="AF10" i="34"/>
  <c r="AT10" i="34"/>
  <c r="G58" i="34"/>
  <c r="AS10" i="34"/>
  <c r="AG10" i="34"/>
  <c r="AU10" i="34"/>
  <c r="AU24" i="34" s="1"/>
  <c r="H24" i="34" s="1"/>
  <c r="G77" i="34"/>
  <c r="G81" i="35"/>
  <c r="AV4" i="34"/>
  <c r="AL73" i="34"/>
  <c r="AL97" i="34" s="1"/>
  <c r="AL4" i="34" s="1"/>
  <c r="G28" i="35"/>
  <c r="K45" i="35"/>
  <c r="K47" i="35" s="1"/>
  <c r="G51" i="34"/>
  <c r="AR97" i="34"/>
  <c r="AR4" i="34" s="1"/>
  <c r="M10" i="34"/>
  <c r="M76" i="34" s="1"/>
  <c r="F83" i="34"/>
  <c r="F45" i="35"/>
  <c r="F47" i="35" s="1"/>
  <c r="I70" i="35"/>
  <c r="M79" i="35"/>
  <c r="M81" i="35" s="1"/>
  <c r="X97" i="34"/>
  <c r="X4" i="34" s="1"/>
  <c r="M34" i="35"/>
  <c r="V57" i="34" s="1"/>
  <c r="H57" i="34" s="1"/>
  <c r="AP97" i="34"/>
  <c r="AP4" i="34" s="1"/>
  <c r="G50" i="34"/>
  <c r="E68" i="35"/>
  <c r="E70" i="35" s="1"/>
  <c r="E26" i="35"/>
  <c r="E28" i="35" s="1"/>
  <c r="M45" i="35"/>
  <c r="M47" i="35" s="1"/>
  <c r="M56" i="35"/>
  <c r="M58" i="35" s="1"/>
  <c r="K34" i="35"/>
  <c r="K35" i="35" s="1"/>
  <c r="AA10" i="32"/>
  <c r="AA97" i="32" s="1"/>
  <c r="AA4" i="32" s="1"/>
  <c r="AE10" i="32"/>
  <c r="AE39" i="32" s="1"/>
  <c r="F39" i="32" s="1"/>
  <c r="AW97" i="32"/>
  <c r="AW4" i="32" s="1"/>
  <c r="K59" i="32"/>
  <c r="F59" i="32" s="1"/>
  <c r="BA18" i="32"/>
  <c r="AD10" i="32"/>
  <c r="BA77" i="32"/>
  <c r="BA13" i="32"/>
  <c r="BA27" i="32"/>
  <c r="BA50" i="32"/>
  <c r="BA20" i="32"/>
  <c r="BA30" i="32"/>
  <c r="BA58" i="32"/>
  <c r="BA62" i="32"/>
  <c r="R97" i="32"/>
  <c r="R4" i="32" s="1"/>
  <c r="AP97" i="32"/>
  <c r="AP4" i="32" s="1"/>
  <c r="U97" i="32"/>
  <c r="U4" i="32" s="1"/>
  <c r="Q66" i="32"/>
  <c r="F66" i="32" s="1"/>
  <c r="BA21" i="32"/>
  <c r="BA23" i="32"/>
  <c r="BA17" i="32"/>
  <c r="BA25" i="32"/>
  <c r="BA31" i="32"/>
  <c r="AF76" i="32"/>
  <c r="BA16" i="32"/>
  <c r="BA19" i="32"/>
  <c r="AJ41" i="32"/>
  <c r="F41" i="32" s="1"/>
  <c r="AU97" i="32"/>
  <c r="AU4" i="32" s="1"/>
  <c r="AY97" i="34" l="1"/>
  <c r="AY4" i="34" s="1"/>
  <c r="AT78" i="32"/>
  <c r="F78" i="32"/>
  <c r="BA78" i="32" s="1"/>
  <c r="AS97" i="32"/>
  <c r="AS4" i="32" s="1"/>
  <c r="AT97" i="32"/>
  <c r="AT4" i="32" s="1"/>
  <c r="F75" i="32"/>
  <c r="BA75" i="32" s="1"/>
  <c r="J10" i="34"/>
  <c r="AR97" i="32"/>
  <c r="AR4" i="32" s="1"/>
  <c r="BA66" i="32"/>
  <c r="K35" i="34"/>
  <c r="H35" i="34" s="1"/>
  <c r="G74" i="34"/>
  <c r="AD43" i="32"/>
  <c r="I52" i="33"/>
  <c r="I34" i="33"/>
  <c r="I35" i="33" s="1"/>
  <c r="K33" i="33"/>
  <c r="Q30" i="38"/>
  <c r="Q40" i="38" s="1"/>
  <c r="Q45" i="38" s="1"/>
  <c r="Q50" i="38" s="1"/>
  <c r="X52" i="39"/>
  <c r="X28" i="39"/>
  <c r="V82" i="39"/>
  <c r="V85" i="39" s="1"/>
  <c r="V55" i="39"/>
  <c r="L82" i="39"/>
  <c r="L85" i="39" s="1"/>
  <c r="L55" i="39"/>
  <c r="N82" i="39"/>
  <c r="N85" i="39" s="1"/>
  <c r="N55" i="39"/>
  <c r="P55" i="39"/>
  <c r="P82" i="39"/>
  <c r="P85" i="39" s="1"/>
  <c r="T25" i="39"/>
  <c r="R82" i="39"/>
  <c r="R85" i="39" s="1"/>
  <c r="R55" i="39"/>
  <c r="N35" i="37"/>
  <c r="L35" i="37"/>
  <c r="L76" i="37"/>
  <c r="L78" i="37" s="1"/>
  <c r="N76" i="37"/>
  <c r="N78" i="37" s="1"/>
  <c r="H69" i="34"/>
  <c r="G37" i="34"/>
  <c r="AK97" i="34"/>
  <c r="AK4" i="34" s="1"/>
  <c r="U97" i="34"/>
  <c r="U4" i="34" s="1"/>
  <c r="H49" i="34"/>
  <c r="Q79" i="34"/>
  <c r="H79" i="34" s="1"/>
  <c r="BE79" i="34" s="1"/>
  <c r="H78" i="34"/>
  <c r="BE78" i="34" s="1"/>
  <c r="BE13" i="34"/>
  <c r="H42" i="34"/>
  <c r="G42" i="34" s="1"/>
  <c r="S38" i="34"/>
  <c r="S97" i="34" s="1"/>
  <c r="S4" i="34" s="1"/>
  <c r="AT97" i="34"/>
  <c r="AT4" i="34" s="1"/>
  <c r="H76" i="34"/>
  <c r="G76" i="34" s="1"/>
  <c r="AO97" i="34"/>
  <c r="AO4" i="34" s="1"/>
  <c r="K79" i="35"/>
  <c r="K81" i="35" s="1"/>
  <c r="H40" i="34"/>
  <c r="G40" i="34" s="1"/>
  <c r="AH39" i="34"/>
  <c r="H39" i="34" s="1"/>
  <c r="BE39" i="34" s="1"/>
  <c r="AZ97" i="34"/>
  <c r="AZ4" i="34" s="1"/>
  <c r="F86" i="34"/>
  <c r="F94" i="34" s="1"/>
  <c r="F97" i="34" s="1"/>
  <c r="N97" i="34"/>
  <c r="N4" i="34" s="1"/>
  <c r="H48" i="34"/>
  <c r="G48" i="34" s="1"/>
  <c r="AU97" i="34"/>
  <c r="AU4" i="34" s="1"/>
  <c r="K68" i="35"/>
  <c r="K70" i="35" s="1"/>
  <c r="T97" i="34"/>
  <c r="T4" i="34" s="1"/>
  <c r="K56" i="35"/>
  <c r="K58" i="35" s="1"/>
  <c r="V97" i="34"/>
  <c r="V4" i="34" s="1"/>
  <c r="AJ97" i="34"/>
  <c r="AJ4" i="34" s="1"/>
  <c r="BE32" i="34"/>
  <c r="AI97" i="34"/>
  <c r="AI4" i="34" s="1"/>
  <c r="AE97" i="32"/>
  <c r="AE4" i="32" s="1"/>
  <c r="AG43" i="34"/>
  <c r="AF41" i="34"/>
  <c r="H41" i="34" s="1"/>
  <c r="L97" i="34"/>
  <c r="L4" i="34" s="1"/>
  <c r="AS97" i="34"/>
  <c r="AS4" i="34" s="1"/>
  <c r="M26" i="35"/>
  <c r="M28" i="35" s="1"/>
  <c r="P97" i="34"/>
  <c r="P4" i="34" s="1"/>
  <c r="AD97" i="34"/>
  <c r="AD4" i="34" s="1"/>
  <c r="M35" i="35"/>
  <c r="Y97" i="34"/>
  <c r="Y4" i="34" s="1"/>
  <c r="M90" i="35"/>
  <c r="M92" i="35" s="1"/>
  <c r="K90" i="35"/>
  <c r="K92" i="35" s="1"/>
  <c r="AA97" i="34"/>
  <c r="AA4" i="34" s="1"/>
  <c r="BE49" i="34"/>
  <c r="G49" i="34"/>
  <c r="G59" i="34"/>
  <c r="BE59" i="34"/>
  <c r="R97" i="34"/>
  <c r="R4" i="34" s="1"/>
  <c r="O97" i="34"/>
  <c r="O4" i="34" s="1"/>
  <c r="G57" i="34"/>
  <c r="G69" i="34" s="1"/>
  <c r="BE57" i="34"/>
  <c r="BA39" i="32"/>
  <c r="BA59" i="32"/>
  <c r="F32" i="32"/>
  <c r="Q97" i="32"/>
  <c r="Q4" i="32" s="1"/>
  <c r="BA41" i="32"/>
  <c r="AJ97" i="32"/>
  <c r="AJ4" i="32" s="1"/>
  <c r="BA24" i="32"/>
  <c r="AF97" i="32"/>
  <c r="AF4" i="32" s="1"/>
  <c r="AD97" i="32" l="1"/>
  <c r="AD4" i="32" s="1"/>
  <c r="F43" i="32"/>
  <c r="K97" i="34"/>
  <c r="K4" i="34" s="1"/>
  <c r="H38" i="34"/>
  <c r="G38" i="34" s="1"/>
  <c r="BE35" i="34"/>
  <c r="G35" i="34"/>
  <c r="Q97" i="34"/>
  <c r="Q4" i="34" s="1"/>
  <c r="BA43" i="32"/>
  <c r="G79" i="34"/>
  <c r="K34" i="33"/>
  <c r="K35" i="33" s="1"/>
  <c r="I56" i="33"/>
  <c r="I58" i="33" s="1"/>
  <c r="H58" i="33" s="1"/>
  <c r="K52" i="33"/>
  <c r="T28" i="39"/>
  <c r="T52" i="39"/>
  <c r="X82" i="39"/>
  <c r="X85" i="39" s="1"/>
  <c r="X55" i="39"/>
  <c r="BE42" i="34"/>
  <c r="AH97" i="34"/>
  <c r="AH4" i="34" s="1"/>
  <c r="BE38" i="34"/>
  <c r="BE76" i="34"/>
  <c r="G39" i="34"/>
  <c r="BE40" i="34"/>
  <c r="BE48" i="34"/>
  <c r="G36" i="34"/>
  <c r="BE36" i="34"/>
  <c r="BE41" i="34"/>
  <c r="G41" i="34"/>
  <c r="M97" i="34"/>
  <c r="M4" i="34" s="1"/>
  <c r="AF97" i="34"/>
  <c r="AF4" i="34" s="1"/>
  <c r="AG97" i="34"/>
  <c r="AG4" i="34" s="1"/>
  <c r="M34" i="33" l="1"/>
  <c r="AO57" i="32"/>
  <c r="M52" i="33"/>
  <c r="M56" i="33" s="1"/>
  <c r="K56" i="33"/>
  <c r="T82" i="39"/>
  <c r="T85" i="39" s="1"/>
  <c r="T55" i="39"/>
  <c r="M35" i="33" l="1"/>
  <c r="S57" i="32"/>
  <c r="F57" i="32" s="1"/>
  <c r="BA57" i="32" l="1"/>
  <c r="F69" i="32"/>
  <c r="AB9" i="1" l="1"/>
  <c r="AA9" i="1"/>
  <c r="Z9" i="1"/>
  <c r="T17" i="1"/>
  <c r="Q31" i="1"/>
  <c r="J31" i="1"/>
  <c r="J17" i="1"/>
  <c r="E28" i="1"/>
  <c r="T37" i="17" l="1"/>
  <c r="E37" i="17"/>
  <c r="L37" i="17"/>
  <c r="O37" i="17"/>
  <c r="W37" i="17"/>
  <c r="R37" i="17"/>
  <c r="U37" i="17"/>
  <c r="K37" i="17" l="1"/>
  <c r="Q37" i="17"/>
  <c r="N37" i="17"/>
  <c r="H37" i="17"/>
  <c r="I37" i="17"/>
  <c r="AG87" i="17" l="1"/>
  <c r="Q59" i="1"/>
  <c r="P69" i="1"/>
  <c r="P59" i="1"/>
  <c r="K112" i="15"/>
  <c r="I112" i="15"/>
  <c r="I29" i="1"/>
  <c r="I69" i="1"/>
  <c r="H140" i="15"/>
  <c r="H139" i="15"/>
  <c r="G142" i="15"/>
  <c r="F142" i="15"/>
  <c r="E142" i="15"/>
  <c r="G131" i="7"/>
  <c r="I132" i="7"/>
  <c r="E132" i="7"/>
  <c r="E131" i="7"/>
  <c r="E141" i="7"/>
  <c r="E140" i="7"/>
  <c r="X332" i="15"/>
  <c r="X329" i="15"/>
  <c r="W329" i="15"/>
  <c r="Q325" i="15"/>
  <c r="J325" i="15"/>
  <c r="E338" i="15"/>
  <c r="U35" i="1"/>
  <c r="Q284" i="15"/>
  <c r="Q41" i="1"/>
  <c r="Q35" i="1"/>
  <c r="AA241" i="15"/>
  <c r="X241" i="15"/>
  <c r="W241" i="15"/>
  <c r="T241" i="15"/>
  <c r="R241" i="15"/>
  <c r="Q241" i="15"/>
  <c r="P241" i="15"/>
  <c r="N241" i="15"/>
  <c r="M241" i="15"/>
  <c r="G241" i="15"/>
  <c r="F241" i="15"/>
  <c r="H238" i="15"/>
  <c r="H237" i="15"/>
  <c r="AC236" i="15"/>
  <c r="E202" i="15"/>
  <c r="E210" i="15"/>
  <c r="T186" i="15"/>
  <c r="R146" i="15"/>
  <c r="Q146" i="15"/>
  <c r="S140" i="15"/>
  <c r="G25" i="15"/>
  <c r="E25" i="15"/>
  <c r="G35" i="15"/>
  <c r="G137" i="7"/>
  <c r="AE35" i="2" s="1"/>
  <c r="E138" i="7"/>
  <c r="E137" i="7"/>
  <c r="G110" i="15"/>
  <c r="F110" i="15"/>
  <c r="G113" i="7"/>
  <c r="H117" i="7"/>
  <c r="G116" i="7"/>
  <c r="H120" i="7"/>
  <c r="G119" i="7"/>
  <c r="G155" i="7"/>
  <c r="H156" i="7" s="1"/>
  <c r="G164" i="7"/>
  <c r="G161" i="7"/>
  <c r="G158" i="7"/>
  <c r="I26" i="15"/>
  <c r="I19" i="15"/>
  <c r="K19" i="15"/>
  <c r="E110" i="15"/>
  <c r="U102" i="1"/>
  <c r="V24" i="2" s="1"/>
  <c r="L176" i="8"/>
  <c r="K176" i="8"/>
  <c r="H176" i="8"/>
  <c r="F176" i="8"/>
  <c r="X165" i="8"/>
  <c r="Z165" i="8" s="1"/>
  <c r="X166" i="8"/>
  <c r="Z166" i="8"/>
  <c r="AB166" i="8"/>
  <c r="V167" i="8"/>
  <c r="AH167" i="8" s="1"/>
  <c r="X167" i="8"/>
  <c r="AJ167" i="8" s="1"/>
  <c r="X168" i="8"/>
  <c r="Z168" i="8"/>
  <c r="AB168" i="8" s="1"/>
  <c r="AN168" i="8" s="1"/>
  <c r="V169" i="8"/>
  <c r="X169" i="8"/>
  <c r="Z169" i="8" s="1"/>
  <c r="V170" i="8"/>
  <c r="X170" i="8" s="1"/>
  <c r="V171" i="8"/>
  <c r="X171" i="8"/>
  <c r="AJ171" i="8" s="1"/>
  <c r="Z171" i="8"/>
  <c r="AB171" i="8" s="1"/>
  <c r="AN171" i="8" s="1"/>
  <c r="AN173" i="8"/>
  <c r="AM173" i="8"/>
  <c r="AL173" i="8"/>
  <c r="AK173" i="8"/>
  <c r="AJ173" i="8"/>
  <c r="AI173" i="8"/>
  <c r="AN172" i="8"/>
  <c r="AM172" i="8"/>
  <c r="AL172" i="8"/>
  <c r="AK172" i="8"/>
  <c r="AJ172" i="8"/>
  <c r="AI172" i="8"/>
  <c r="AM171" i="8"/>
  <c r="AK171" i="8"/>
  <c r="AI171" i="8"/>
  <c r="AM170" i="8"/>
  <c r="AK170" i="8"/>
  <c r="AI170" i="8"/>
  <c r="AM169" i="8"/>
  <c r="AK169" i="8"/>
  <c r="AJ169" i="8"/>
  <c r="AI169" i="8"/>
  <c r="AM168" i="8"/>
  <c r="AK168" i="8"/>
  <c r="AJ168" i="8"/>
  <c r="AI168" i="8"/>
  <c r="AM167" i="8"/>
  <c r="AK167" i="8"/>
  <c r="AI167" i="8"/>
  <c r="AN166" i="8"/>
  <c r="AM166" i="8"/>
  <c r="AL166" i="8"/>
  <c r="AK166" i="8"/>
  <c r="AJ166" i="8"/>
  <c r="AI166" i="8"/>
  <c r="AM165" i="8"/>
  <c r="AK165" i="8"/>
  <c r="AJ165" i="8"/>
  <c r="AI165" i="8"/>
  <c r="AH173" i="8"/>
  <c r="AH172" i="8"/>
  <c r="AH171" i="8"/>
  <c r="AH170" i="8"/>
  <c r="AH169" i="8"/>
  <c r="AH168" i="8"/>
  <c r="AH166" i="8"/>
  <c r="AH165" i="8"/>
  <c r="AC114" i="15"/>
  <c r="AJ202" i="8"/>
  <c r="AN206" i="8"/>
  <c r="AL208" i="8"/>
  <c r="AM208" i="8"/>
  <c r="AK208" i="8"/>
  <c r="AJ208" i="8"/>
  <c r="AI208" i="8"/>
  <c r="AH208" i="8"/>
  <c r="AM206" i="8"/>
  <c r="AL206" i="8"/>
  <c r="AK206" i="8"/>
  <c r="AJ206" i="8"/>
  <c r="AI206" i="8"/>
  <c r="AH206" i="8"/>
  <c r="AN205" i="8"/>
  <c r="AM205" i="8"/>
  <c r="AL205" i="8"/>
  <c r="AK205" i="8"/>
  <c r="AJ205" i="8"/>
  <c r="AI205" i="8"/>
  <c r="AH205" i="8"/>
  <c r="AK204" i="8"/>
  <c r="AI204" i="8"/>
  <c r="AH204" i="8"/>
  <c r="AM202" i="8"/>
  <c r="AK202" i="8"/>
  <c r="AI202" i="8"/>
  <c r="AH202" i="8"/>
  <c r="AN201" i="8"/>
  <c r="AM201" i="8"/>
  <c r="AL201" i="8"/>
  <c r="AK201" i="8"/>
  <c r="AJ201" i="8"/>
  <c r="AI201" i="8"/>
  <c r="AH201" i="8"/>
  <c r="AO200" i="8"/>
  <c r="AM200" i="8"/>
  <c r="AK200" i="8"/>
  <c r="AJ200" i="8"/>
  <c r="AI200" i="8"/>
  <c r="AH200" i="8"/>
  <c r="AO208" i="8"/>
  <c r="AO206" i="8"/>
  <c r="AO205" i="8"/>
  <c r="AO204" i="8"/>
  <c r="AO202" i="8"/>
  <c r="AO201" i="8"/>
  <c r="AN187" i="8"/>
  <c r="AM187" i="8"/>
  <c r="AL187" i="8"/>
  <c r="AK187" i="8"/>
  <c r="AJ187" i="8"/>
  <c r="AI187" i="8"/>
  <c r="AH187" i="8"/>
  <c r="AN186" i="8"/>
  <c r="AM186" i="8"/>
  <c r="AL186" i="8"/>
  <c r="AK186" i="8"/>
  <c r="AJ186" i="8"/>
  <c r="AI186" i="8"/>
  <c r="AH186" i="8"/>
  <c r="AN185" i="8"/>
  <c r="AM185" i="8"/>
  <c r="AL185" i="8"/>
  <c r="AK185" i="8"/>
  <c r="AJ185" i="8"/>
  <c r="AI185" i="8"/>
  <c r="AH185" i="8"/>
  <c r="AO183" i="8"/>
  <c r="AN183" i="8"/>
  <c r="AM183" i="8"/>
  <c r="AL183" i="8"/>
  <c r="AK183" i="8"/>
  <c r="AJ183" i="8"/>
  <c r="AI183" i="8"/>
  <c r="AH183" i="8"/>
  <c r="AN64" i="8"/>
  <c r="AM64" i="8"/>
  <c r="AL64" i="8"/>
  <c r="AK64" i="8"/>
  <c r="AJ64" i="8"/>
  <c r="AI64" i="8"/>
  <c r="AH64" i="8"/>
  <c r="AN63" i="8"/>
  <c r="AM63" i="8"/>
  <c r="AL63" i="8"/>
  <c r="AK63" i="8"/>
  <c r="AJ63" i="8"/>
  <c r="AI63" i="8"/>
  <c r="AH63" i="8"/>
  <c r="AN62" i="8"/>
  <c r="AM62" i="8"/>
  <c r="AL62" i="8"/>
  <c r="AK62" i="8"/>
  <c r="AJ62" i="8"/>
  <c r="AI62" i="8"/>
  <c r="AH62" i="8"/>
  <c r="AN61" i="8"/>
  <c r="AM61" i="8"/>
  <c r="AL61" i="8"/>
  <c r="AK61" i="8"/>
  <c r="AJ61" i="8"/>
  <c r="AI61" i="8"/>
  <c r="AH61" i="8"/>
  <c r="AN60" i="8"/>
  <c r="AM60" i="8"/>
  <c r="AL60" i="8"/>
  <c r="AK60" i="8"/>
  <c r="AJ60" i="8"/>
  <c r="AI60" i="8"/>
  <c r="AH60" i="8"/>
  <c r="AN59" i="8"/>
  <c r="AM59" i="8"/>
  <c r="AL59" i="8"/>
  <c r="AK59" i="8"/>
  <c r="AJ59" i="8"/>
  <c r="AI59" i="8"/>
  <c r="AH59" i="8"/>
  <c r="AN58" i="8"/>
  <c r="AM58" i="8"/>
  <c r="AL58" i="8"/>
  <c r="AK58" i="8"/>
  <c r="AJ58" i="8"/>
  <c r="AI58" i="8"/>
  <c r="AH58" i="8"/>
  <c r="AN57" i="8"/>
  <c r="AM57" i="8"/>
  <c r="AL57" i="8"/>
  <c r="AK57" i="8"/>
  <c r="AJ57" i="8"/>
  <c r="AI57" i="8"/>
  <c r="AH57" i="8"/>
  <c r="AN56" i="8"/>
  <c r="AM56" i="8"/>
  <c r="AL56" i="8"/>
  <c r="AK56" i="8"/>
  <c r="AJ56" i="8"/>
  <c r="AI56" i="8"/>
  <c r="AH56" i="8"/>
  <c r="AO55" i="8"/>
  <c r="AN55" i="8"/>
  <c r="AM55" i="8"/>
  <c r="AL55" i="8"/>
  <c r="AK55" i="8"/>
  <c r="AJ55" i="8"/>
  <c r="AI55" i="8"/>
  <c r="AH55" i="8"/>
  <c r="AN48" i="8"/>
  <c r="AM48" i="8"/>
  <c r="AL48" i="8"/>
  <c r="AK48" i="8"/>
  <c r="AJ48" i="8"/>
  <c r="J139" i="22"/>
  <c r="D213" i="22"/>
  <c r="L217" i="22"/>
  <c r="J217" i="22"/>
  <c r="P215" i="22"/>
  <c r="P218" i="22" s="1"/>
  <c r="R213" i="22"/>
  <c r="N213" i="22"/>
  <c r="F211" i="22"/>
  <c r="L209" i="22"/>
  <c r="L215" i="22" s="1"/>
  <c r="L218" i="22" s="1"/>
  <c r="J215" i="22"/>
  <c r="J218" i="22" s="1"/>
  <c r="F209" i="22"/>
  <c r="F215" i="22" s="1"/>
  <c r="F218" i="22" s="1"/>
  <c r="J138" i="22"/>
  <c r="P138" i="22" s="1"/>
  <c r="P139" i="22"/>
  <c r="P137" i="22"/>
  <c r="P132" i="22"/>
  <c r="P131" i="22"/>
  <c r="P128" i="22"/>
  <c r="P84" i="22"/>
  <c r="P83" i="22"/>
  <c r="P82" i="22"/>
  <c r="P77" i="22"/>
  <c r="P76" i="22"/>
  <c r="P28" i="22"/>
  <c r="P26" i="22"/>
  <c r="P170" i="22"/>
  <c r="F165" i="22"/>
  <c r="L159" i="22"/>
  <c r="F159" i="22"/>
  <c r="N154" i="22"/>
  <c r="N167" i="22" s="1"/>
  <c r="N169" i="22" s="1"/>
  <c r="L154" i="22"/>
  <c r="L167" i="22" s="1"/>
  <c r="J154" i="22"/>
  <c r="J167" i="22" s="1"/>
  <c r="H154" i="22"/>
  <c r="H167" i="22" s="1"/>
  <c r="F154" i="22"/>
  <c r="F167" i="22" s="1"/>
  <c r="D154" i="22"/>
  <c r="D167" i="22" s="1"/>
  <c r="P167" i="22" s="1"/>
  <c r="L153" i="22"/>
  <c r="L166" i="22" s="1"/>
  <c r="J153" i="22"/>
  <c r="J166" i="22" s="1"/>
  <c r="H153" i="22"/>
  <c r="H166" i="22" s="1"/>
  <c r="F153" i="22"/>
  <c r="F166" i="22" s="1"/>
  <c r="P166" i="22" s="1"/>
  <c r="L151" i="22"/>
  <c r="J151" i="22"/>
  <c r="H151" i="22"/>
  <c r="F151" i="22"/>
  <c r="L150" i="22"/>
  <c r="L165" i="22" s="1"/>
  <c r="J150" i="22"/>
  <c r="J165" i="22" s="1"/>
  <c r="H150" i="22"/>
  <c r="H163" i="22" s="1"/>
  <c r="F150" i="22"/>
  <c r="F163" i="22" s="1"/>
  <c r="L149" i="22"/>
  <c r="L164" i="22" s="1"/>
  <c r="J149" i="22"/>
  <c r="J164" i="22" s="1"/>
  <c r="H149" i="22"/>
  <c r="H164" i="22" s="1"/>
  <c r="F149" i="22"/>
  <c r="F164" i="22" s="1"/>
  <c r="L148" i="22"/>
  <c r="L163" i="22" s="1"/>
  <c r="L147" i="22"/>
  <c r="L162" i="22" s="1"/>
  <c r="F146" i="22"/>
  <c r="N141" i="22"/>
  <c r="N135" i="22"/>
  <c r="L135" i="22"/>
  <c r="L141" i="22" s="1"/>
  <c r="D130" i="22"/>
  <c r="P130" i="22" s="1"/>
  <c r="D128" i="22"/>
  <c r="J121" i="22"/>
  <c r="G134" i="7"/>
  <c r="H135" i="7" s="1"/>
  <c r="E135" i="7"/>
  <c r="E134" i="7"/>
  <c r="G103" i="24"/>
  <c r="T80" i="19"/>
  <c r="T71" i="19"/>
  <c r="T68" i="19"/>
  <c r="T66" i="19"/>
  <c r="T62" i="19"/>
  <c r="I35" i="1"/>
  <c r="AD96" i="2"/>
  <c r="AD75" i="2"/>
  <c r="AD74" i="2"/>
  <c r="AD73" i="2"/>
  <c r="BG29" i="12"/>
  <c r="AQ29" i="12"/>
  <c r="AM29" i="12"/>
  <c r="E35" i="1"/>
  <c r="E40" i="1"/>
  <c r="F254" i="15"/>
  <c r="AJ42" i="1"/>
  <c r="F128" i="21"/>
  <c r="V148" i="21"/>
  <c r="H138" i="7" l="1"/>
  <c r="I135" i="7"/>
  <c r="I138" i="7"/>
  <c r="U69" i="1"/>
  <c r="U228" i="15" s="1"/>
  <c r="U241" i="15" s="1"/>
  <c r="Z170" i="8"/>
  <c r="AJ170" i="8"/>
  <c r="AL169" i="8"/>
  <c r="AB169" i="8"/>
  <c r="AN169" i="8" s="1"/>
  <c r="AB165" i="8"/>
  <c r="AN165" i="8" s="1"/>
  <c r="AL165" i="8"/>
  <c r="AL168" i="8"/>
  <c r="Z167" i="8"/>
  <c r="AL171" i="8"/>
  <c r="AM204" i="8"/>
  <c r="AN204" i="8"/>
  <c r="AL204" i="8"/>
  <c r="AN200" i="8"/>
  <c r="AL200" i="8"/>
  <c r="AN208" i="8"/>
  <c r="AJ204" i="8"/>
  <c r="P154" i="22"/>
  <c r="P153" i="22"/>
  <c r="H165" i="22"/>
  <c r="N156" i="22"/>
  <c r="N171" i="22"/>
  <c r="L161" i="22"/>
  <c r="F162" i="22"/>
  <c r="J163" i="22"/>
  <c r="D150" i="22"/>
  <c r="P150" i="22" s="1"/>
  <c r="D152" i="22"/>
  <c r="P152" i="22" s="1"/>
  <c r="L152" i="22"/>
  <c r="L156" i="22" s="1"/>
  <c r="L160" i="22"/>
  <c r="H162" i="22"/>
  <c r="J162" i="22"/>
  <c r="AL167" i="8" l="1"/>
  <c r="AB167" i="8"/>
  <c r="AN167" i="8" s="1"/>
  <c r="AB170" i="8"/>
  <c r="AN170" i="8" s="1"/>
  <c r="AL170" i="8"/>
  <c r="AL202" i="8"/>
  <c r="AN202" i="8"/>
  <c r="L169" i="22"/>
  <c r="L171" i="22"/>
  <c r="D165" i="22"/>
  <c r="P165" i="22" s="1"/>
  <c r="D163" i="22"/>
  <c r="P163" i="22" s="1"/>
  <c r="R143" i="21" l="1"/>
  <c r="Z39" i="12"/>
  <c r="Z29" i="12"/>
  <c r="R142" i="21"/>
  <c r="R141" i="21"/>
  <c r="R140" i="21"/>
  <c r="H144" i="21" l="1"/>
  <c r="L148" i="21"/>
  <c r="J148" i="21"/>
  <c r="F146" i="21"/>
  <c r="F149" i="21" s="1"/>
  <c r="L140" i="21"/>
  <c r="L146" i="21" s="1"/>
  <c r="J146" i="21"/>
  <c r="F140" i="21"/>
  <c r="Z14" i="12"/>
  <c r="Z12" i="12"/>
  <c r="E50" i="30"/>
  <c r="E48" i="30"/>
  <c r="S113" i="20"/>
  <c r="S111" i="20"/>
  <c r="M112" i="20"/>
  <c r="M110" i="20"/>
  <c r="T116" i="20"/>
  <c r="U110" i="20"/>
  <c r="U116" i="20" s="1"/>
  <c r="T110" i="20"/>
  <c r="M89" i="20"/>
  <c r="M87" i="20"/>
  <c r="R88" i="20"/>
  <c r="N105" i="20"/>
  <c r="J149" i="21" l="1"/>
  <c r="L149" i="21"/>
  <c r="AU25" i="12" l="1"/>
  <c r="D40" i="1"/>
  <c r="C51" i="30"/>
  <c r="C50" i="30"/>
  <c r="C49" i="30"/>
  <c r="E58" i="30"/>
  <c r="C53" i="30" l="1"/>
  <c r="D58" i="30"/>
  <c r="C58" i="30"/>
  <c r="L58" i="30" l="1"/>
  <c r="J80" i="21" l="1"/>
  <c r="H78" i="21"/>
  <c r="AQ39" i="12"/>
  <c r="AM39" i="12"/>
  <c r="J36" i="30"/>
  <c r="G36" i="30"/>
  <c r="F36" i="30"/>
  <c r="E36" i="30"/>
  <c r="D36" i="30"/>
  <c r="L27" i="30"/>
  <c r="J25" i="30"/>
  <c r="G25" i="30"/>
  <c r="F25" i="30"/>
  <c r="E25" i="30"/>
  <c r="D25" i="30"/>
  <c r="J23" i="30"/>
  <c r="H20" i="30"/>
  <c r="J5" i="30"/>
  <c r="H5" i="30"/>
  <c r="G5" i="30"/>
  <c r="F5" i="30"/>
  <c r="E5" i="30"/>
  <c r="D5" i="30"/>
  <c r="AM19" i="12"/>
  <c r="F80" i="21"/>
  <c r="F78" i="21"/>
  <c r="D99" i="21"/>
  <c r="J26" i="30" l="1"/>
  <c r="J34" i="30"/>
  <c r="J37" i="30" s="1"/>
  <c r="N105" i="21" l="1"/>
  <c r="N103" i="21"/>
  <c r="L99" i="21"/>
  <c r="F99" i="21"/>
  <c r="P99" i="21" s="1"/>
  <c r="L98" i="21"/>
  <c r="J98" i="21"/>
  <c r="H98" i="21"/>
  <c r="F98" i="21"/>
  <c r="L97" i="21"/>
  <c r="J97" i="21"/>
  <c r="H97" i="21"/>
  <c r="F97" i="21"/>
  <c r="L96" i="21"/>
  <c r="J96" i="21"/>
  <c r="H96" i="21"/>
  <c r="F96" i="21"/>
  <c r="L95" i="21"/>
  <c r="J95" i="21"/>
  <c r="H95" i="21"/>
  <c r="F95" i="21"/>
  <c r="L94" i="21"/>
  <c r="F94" i="21"/>
  <c r="L93" i="21"/>
  <c r="L92" i="21"/>
  <c r="J92" i="21"/>
  <c r="N87" i="21"/>
  <c r="L87" i="21"/>
  <c r="D84" i="21"/>
  <c r="D82" i="21"/>
  <c r="J94" i="21"/>
  <c r="H92" i="21"/>
  <c r="L80" i="19"/>
  <c r="X80" i="19" s="1"/>
  <c r="X62" i="19"/>
  <c r="T59" i="19"/>
  <c r="X59" i="19" s="1"/>
  <c r="T57" i="19"/>
  <c r="X57" i="19" s="1"/>
  <c r="I135" i="20"/>
  <c r="H135" i="20"/>
  <c r="G135" i="20"/>
  <c r="I134" i="20"/>
  <c r="H134" i="20"/>
  <c r="G134" i="20"/>
  <c r="F134" i="20"/>
  <c r="I127" i="20"/>
  <c r="H127" i="20"/>
  <c r="G127" i="20"/>
  <c r="I126" i="20"/>
  <c r="H126" i="20"/>
  <c r="G126" i="20"/>
  <c r="F126" i="20"/>
  <c r="I111" i="20"/>
  <c r="H111" i="20"/>
  <c r="G111" i="20"/>
  <c r="I110" i="20"/>
  <c r="H110" i="20"/>
  <c r="G110" i="20"/>
  <c r="F110" i="20"/>
  <c r="X191" i="29"/>
  <c r="X192" i="29" s="1"/>
  <c r="W191" i="29"/>
  <c r="U191" i="29"/>
  <c r="U192" i="29" s="1"/>
  <c r="R191" i="29"/>
  <c r="R192" i="29" s="1"/>
  <c r="O191" i="29"/>
  <c r="O192" i="29" s="1"/>
  <c r="N191" i="29"/>
  <c r="L191" i="29"/>
  <c r="L192" i="29" s="1"/>
  <c r="I191" i="29"/>
  <c r="I192" i="29" s="1"/>
  <c r="AA189" i="29"/>
  <c r="AA192" i="29" s="1"/>
  <c r="W189" i="29"/>
  <c r="N189" i="29"/>
  <c r="N192" i="29" s="1"/>
  <c r="K189" i="29"/>
  <c r="H189" i="29"/>
  <c r="Y187" i="29"/>
  <c r="V187" i="29"/>
  <c r="S187" i="29"/>
  <c r="AC187" i="29" s="1"/>
  <c r="AE187" i="29" s="1"/>
  <c r="P187" i="29"/>
  <c r="M187" i="29"/>
  <c r="J187" i="29"/>
  <c r="G187" i="29"/>
  <c r="Y186" i="29"/>
  <c r="V186" i="29"/>
  <c r="S186" i="29"/>
  <c r="P186" i="29"/>
  <c r="M186" i="29"/>
  <c r="J186" i="29"/>
  <c r="G186" i="29"/>
  <c r="Y184" i="29"/>
  <c r="V184" i="29"/>
  <c r="S184" i="29"/>
  <c r="P184" i="29"/>
  <c r="M184" i="29"/>
  <c r="J184" i="29"/>
  <c r="G184" i="29"/>
  <c r="Y183" i="29"/>
  <c r="V183" i="29"/>
  <c r="S183" i="29"/>
  <c r="P183" i="29"/>
  <c r="M183" i="29"/>
  <c r="J183" i="29"/>
  <c r="G183" i="29"/>
  <c r="AC183" i="29" s="1"/>
  <c r="Y182" i="29"/>
  <c r="V182" i="29"/>
  <c r="S182" i="29"/>
  <c r="P182" i="29"/>
  <c r="M182" i="29"/>
  <c r="J182" i="29"/>
  <c r="G182" i="29"/>
  <c r="Y181" i="29"/>
  <c r="V181" i="29"/>
  <c r="S181" i="29"/>
  <c r="P181" i="29"/>
  <c r="M181" i="29"/>
  <c r="J181" i="29"/>
  <c r="G181" i="29"/>
  <c r="Y180" i="29"/>
  <c r="V180" i="29"/>
  <c r="S180" i="29"/>
  <c r="P180" i="29"/>
  <c r="M180" i="29"/>
  <c r="J180" i="29"/>
  <c r="G180" i="29"/>
  <c r="AC180" i="29" s="1"/>
  <c r="AE180" i="29" s="1"/>
  <c r="Y179" i="29"/>
  <c r="V179" i="29"/>
  <c r="S179" i="29"/>
  <c r="P179" i="29"/>
  <c r="M179" i="29"/>
  <c r="J179" i="29"/>
  <c r="G179" i="29"/>
  <c r="Y178" i="29"/>
  <c r="V178" i="29"/>
  <c r="S178" i="29"/>
  <c r="P178" i="29"/>
  <c r="M178" i="29"/>
  <c r="M189" i="29" s="1"/>
  <c r="J178" i="29"/>
  <c r="G178" i="29"/>
  <c r="Y177" i="29"/>
  <c r="T189" i="29"/>
  <c r="P177" i="29"/>
  <c r="M177" i="29"/>
  <c r="J177" i="29"/>
  <c r="J189" i="29" s="1"/>
  <c r="X169" i="29"/>
  <c r="W169" i="29"/>
  <c r="U169" i="29"/>
  <c r="R169" i="29"/>
  <c r="O169" i="29"/>
  <c r="N169" i="29"/>
  <c r="L169" i="29"/>
  <c r="I169" i="29"/>
  <c r="AA167" i="29"/>
  <c r="AA170" i="29" s="1"/>
  <c r="W167" i="29"/>
  <c r="T167" i="29"/>
  <c r="Q167" i="29"/>
  <c r="N167" i="29"/>
  <c r="K167" i="29"/>
  <c r="H167" i="29"/>
  <c r="E167" i="29"/>
  <c r="E170" i="29" s="1"/>
  <c r="AE166" i="29"/>
  <c r="AE165" i="29"/>
  <c r="Y165" i="29"/>
  <c r="AC165" i="29" s="1"/>
  <c r="V165" i="29"/>
  <c r="S165" i="29"/>
  <c r="P165" i="29"/>
  <c r="M165" i="29"/>
  <c r="J165" i="29"/>
  <c r="G165" i="29"/>
  <c r="AE164" i="29"/>
  <c r="Y164" i="29"/>
  <c r="V164" i="29"/>
  <c r="S164" i="29"/>
  <c r="P164" i="29"/>
  <c r="AC164" i="29" s="1"/>
  <c r="M164" i="29"/>
  <c r="J164" i="29"/>
  <c r="G164" i="29"/>
  <c r="AE163" i="29"/>
  <c r="Y163" i="29"/>
  <c r="V163" i="29"/>
  <c r="S163" i="29"/>
  <c r="P163" i="29"/>
  <c r="M163" i="29"/>
  <c r="J163" i="29"/>
  <c r="G163" i="29"/>
  <c r="AC163" i="29" s="1"/>
  <c r="AE162" i="29"/>
  <c r="Y162" i="29"/>
  <c r="V162" i="29"/>
  <c r="S162" i="29"/>
  <c r="P162" i="29"/>
  <c r="M162" i="29"/>
  <c r="J162" i="29"/>
  <c r="AC162" i="29" s="1"/>
  <c r="G162" i="29"/>
  <c r="AE160" i="29"/>
  <c r="AC160" i="29"/>
  <c r="Y160" i="29"/>
  <c r="V160" i="29"/>
  <c r="S160" i="29"/>
  <c r="P160" i="29"/>
  <c r="M160" i="29"/>
  <c r="J160" i="29"/>
  <c r="G160" i="29"/>
  <c r="AE159" i="29"/>
  <c r="Y159" i="29"/>
  <c r="V159" i="29"/>
  <c r="S159" i="29"/>
  <c r="P159" i="29"/>
  <c r="M159" i="29"/>
  <c r="J159" i="29"/>
  <c r="G159" i="29"/>
  <c r="Y158" i="29"/>
  <c r="V158" i="29"/>
  <c r="S158" i="29"/>
  <c r="P158" i="29"/>
  <c r="M158" i="29"/>
  <c r="J158" i="29"/>
  <c r="G158" i="29"/>
  <c r="AC158" i="29" s="1"/>
  <c r="AE158" i="29" s="1"/>
  <c r="Y157" i="29"/>
  <c r="V157" i="29"/>
  <c r="S157" i="29"/>
  <c r="P157" i="29"/>
  <c r="M157" i="29"/>
  <c r="J157" i="29"/>
  <c r="AC157" i="29" s="1"/>
  <c r="AE157" i="29" s="1"/>
  <c r="G157" i="29"/>
  <c r="AE156" i="29"/>
  <c r="AC156" i="29"/>
  <c r="Y156" i="29"/>
  <c r="V156" i="29"/>
  <c r="S156" i="29"/>
  <c r="P156" i="29"/>
  <c r="M156" i="29"/>
  <c r="J156" i="29"/>
  <c r="G156" i="29"/>
  <c r="AE155" i="29"/>
  <c r="Y155" i="29"/>
  <c r="V155" i="29"/>
  <c r="S155" i="29"/>
  <c r="P155" i="29"/>
  <c r="M155" i="29"/>
  <c r="J155" i="29"/>
  <c r="G155" i="29"/>
  <c r="Y154" i="29"/>
  <c r="Y167" i="29" s="1"/>
  <c r="V154" i="29"/>
  <c r="V167" i="29" s="1"/>
  <c r="T154" i="29"/>
  <c r="S154" i="29"/>
  <c r="P154" i="29"/>
  <c r="M154" i="29"/>
  <c r="M167" i="29" s="1"/>
  <c r="J154" i="29"/>
  <c r="G154" i="29"/>
  <c r="G167" i="29" s="1"/>
  <c r="G170" i="29" s="1"/>
  <c r="X146" i="29"/>
  <c r="W146" i="29"/>
  <c r="W147" i="29" s="1"/>
  <c r="U146" i="29"/>
  <c r="T146" i="29"/>
  <c r="R146" i="29"/>
  <c r="R147" i="29" s="1"/>
  <c r="O146" i="29"/>
  <c r="N146" i="29"/>
  <c r="L146" i="29"/>
  <c r="I146" i="29"/>
  <c r="AA144" i="29"/>
  <c r="AA147" i="29" s="1"/>
  <c r="X144" i="29"/>
  <c r="W144" i="29"/>
  <c r="U144" i="29"/>
  <c r="T144" i="29"/>
  <c r="R144" i="29"/>
  <c r="Q144" i="29"/>
  <c r="O144" i="29"/>
  <c r="L144" i="29"/>
  <c r="I144" i="29"/>
  <c r="F144" i="29"/>
  <c r="Y142" i="29"/>
  <c r="AC142" i="29" s="1"/>
  <c r="AE142" i="29" s="1"/>
  <c r="V142" i="29"/>
  <c r="S142" i="29"/>
  <c r="P142" i="29"/>
  <c r="M142" i="29"/>
  <c r="J142" i="29"/>
  <c r="G142" i="29"/>
  <c r="Y141" i="29"/>
  <c r="V141" i="29"/>
  <c r="S141" i="29"/>
  <c r="P141" i="29"/>
  <c r="AC141" i="29" s="1"/>
  <c r="AE141" i="29" s="1"/>
  <c r="M141" i="29"/>
  <c r="J141" i="29"/>
  <c r="G141" i="29"/>
  <c r="Y140" i="29"/>
  <c r="V140" i="29"/>
  <c r="S140" i="29"/>
  <c r="P140" i="29"/>
  <c r="M140" i="29"/>
  <c r="J140" i="29"/>
  <c r="G140" i="29"/>
  <c r="Y138" i="29"/>
  <c r="V138" i="29"/>
  <c r="S138" i="29"/>
  <c r="P138" i="29"/>
  <c r="M138" i="29"/>
  <c r="J138" i="29"/>
  <c r="G138" i="29"/>
  <c r="AC138" i="29" s="1"/>
  <c r="AE138" i="29" s="1"/>
  <c r="Y137" i="29"/>
  <c r="V137" i="29"/>
  <c r="S137" i="29"/>
  <c r="P137" i="29"/>
  <c r="M137" i="29"/>
  <c r="J137" i="29"/>
  <c r="G137" i="29"/>
  <c r="AC137" i="29" s="1"/>
  <c r="AE137" i="29" s="1"/>
  <c r="Y136" i="29"/>
  <c r="V136" i="29"/>
  <c r="S136" i="29"/>
  <c r="P136" i="29"/>
  <c r="M136" i="29"/>
  <c r="J136" i="29"/>
  <c r="G136" i="29"/>
  <c r="Y135" i="29"/>
  <c r="V135" i="29"/>
  <c r="S135" i="29"/>
  <c r="P135" i="29"/>
  <c r="M135" i="29"/>
  <c r="J135" i="29"/>
  <c r="G135" i="29"/>
  <c r="AC135" i="29" s="1"/>
  <c r="Y134" i="29"/>
  <c r="V134" i="29"/>
  <c r="S134" i="29"/>
  <c r="N144" i="29"/>
  <c r="M134" i="29"/>
  <c r="J134" i="29"/>
  <c r="G134" i="29"/>
  <c r="Y133" i="29"/>
  <c r="V133" i="29"/>
  <c r="S133" i="29"/>
  <c r="P133" i="29"/>
  <c r="M133" i="29"/>
  <c r="J133" i="29"/>
  <c r="G133" i="29"/>
  <c r="Y132" i="29"/>
  <c r="Y144" i="29" s="1"/>
  <c r="V132" i="29"/>
  <c r="V144" i="29" s="1"/>
  <c r="S132" i="29"/>
  <c r="S144" i="29" s="1"/>
  <c r="P132" i="29"/>
  <c r="K132" i="29"/>
  <c r="K144" i="29" s="1"/>
  <c r="H144" i="29"/>
  <c r="G132" i="29"/>
  <c r="AA125" i="29"/>
  <c r="AD124" i="29"/>
  <c r="X124" i="29"/>
  <c r="W124" i="29"/>
  <c r="U124" i="29"/>
  <c r="R124" i="29"/>
  <c r="O124" i="29"/>
  <c r="N124" i="29"/>
  <c r="L124" i="29"/>
  <c r="I124" i="29"/>
  <c r="E124" i="29"/>
  <c r="AD122" i="29"/>
  <c r="Q122" i="29"/>
  <c r="AD120" i="29"/>
  <c r="AA120" i="29"/>
  <c r="AA122" i="29" s="1"/>
  <c r="X120" i="29"/>
  <c r="W120" i="29"/>
  <c r="W122" i="29" s="1"/>
  <c r="W125" i="29" s="1"/>
  <c r="U120" i="29"/>
  <c r="T120" i="29"/>
  <c r="T122" i="29" s="1"/>
  <c r="R120" i="29"/>
  <c r="Q120" i="29"/>
  <c r="O120" i="29"/>
  <c r="N120" i="29"/>
  <c r="N122" i="29" s="1"/>
  <c r="L120" i="29"/>
  <c r="K120" i="29"/>
  <c r="K122" i="29" s="1"/>
  <c r="I120" i="29"/>
  <c r="H120" i="29"/>
  <c r="H122" i="29" s="1"/>
  <c r="F120" i="29"/>
  <c r="Y118" i="29"/>
  <c r="V118" i="29"/>
  <c r="S118" i="29"/>
  <c r="P118" i="29"/>
  <c r="M118" i="29"/>
  <c r="J118" i="29"/>
  <c r="G118" i="29"/>
  <c r="Y117" i="29"/>
  <c r="V117" i="29"/>
  <c r="S117" i="29"/>
  <c r="P117" i="29"/>
  <c r="M117" i="29"/>
  <c r="M120" i="29" s="1"/>
  <c r="M122" i="29" s="1"/>
  <c r="J117" i="29"/>
  <c r="G117" i="29"/>
  <c r="AC117" i="29" s="1"/>
  <c r="AE117" i="29" s="1"/>
  <c r="Y114" i="29"/>
  <c r="V114" i="29"/>
  <c r="S114" i="29"/>
  <c r="P114" i="29"/>
  <c r="M114" i="29"/>
  <c r="J114" i="29"/>
  <c r="G114" i="29"/>
  <c r="AC114" i="29" s="1"/>
  <c r="AE114" i="29" s="1"/>
  <c r="Y113" i="29"/>
  <c r="V113" i="29"/>
  <c r="S113" i="29"/>
  <c r="P113" i="29"/>
  <c r="M113" i="29"/>
  <c r="J113" i="29"/>
  <c r="G113" i="29"/>
  <c r="AC113" i="29" s="1"/>
  <c r="AE113" i="29" s="1"/>
  <c r="Y111" i="29"/>
  <c r="V111" i="29"/>
  <c r="S111" i="29"/>
  <c r="P111" i="29"/>
  <c r="M111" i="29"/>
  <c r="J111" i="29"/>
  <c r="G111" i="29"/>
  <c r="AC111" i="29" s="1"/>
  <c r="AE111" i="29" s="1"/>
  <c r="Y110" i="29"/>
  <c r="Y120" i="29" s="1"/>
  <c r="Y122" i="29" s="1"/>
  <c r="V110" i="29"/>
  <c r="S110" i="29"/>
  <c r="P110" i="29"/>
  <c r="M110" i="29"/>
  <c r="J110" i="29"/>
  <c r="G110" i="29"/>
  <c r="AC110" i="29" s="1"/>
  <c r="AE110" i="29" s="1"/>
  <c r="Y109" i="29"/>
  <c r="V109" i="29"/>
  <c r="S109" i="29"/>
  <c r="P109" i="29"/>
  <c r="M109" i="29"/>
  <c r="J109" i="29"/>
  <c r="G109" i="29"/>
  <c r="Y108" i="29"/>
  <c r="V108" i="29"/>
  <c r="S108" i="29"/>
  <c r="P108" i="29"/>
  <c r="M108" i="29"/>
  <c r="J108" i="29"/>
  <c r="G108" i="29"/>
  <c r="AC108" i="29" s="1"/>
  <c r="AE108" i="29" s="1"/>
  <c r="Y107" i="29"/>
  <c r="V107" i="29"/>
  <c r="S107" i="29"/>
  <c r="P107" i="29"/>
  <c r="M107" i="29"/>
  <c r="J107" i="29"/>
  <c r="G107" i="29"/>
  <c r="AC107" i="29" s="1"/>
  <c r="AE107" i="29" s="1"/>
  <c r="Y106" i="29"/>
  <c r="V106" i="29"/>
  <c r="S106" i="29"/>
  <c r="P106" i="29"/>
  <c r="M106" i="29"/>
  <c r="J106" i="29"/>
  <c r="G106" i="29"/>
  <c r="AC106" i="29" s="1"/>
  <c r="AE106" i="29" s="1"/>
  <c r="Y105" i="29"/>
  <c r="V105" i="29"/>
  <c r="S105" i="29"/>
  <c r="S120" i="29" s="1"/>
  <c r="S122" i="29" s="1"/>
  <c r="P105" i="29"/>
  <c r="P120" i="29" s="1"/>
  <c r="P122" i="29" s="1"/>
  <c r="M105" i="29"/>
  <c r="J105" i="29"/>
  <c r="J120" i="29" s="1"/>
  <c r="J122" i="29" s="1"/>
  <c r="G105" i="29"/>
  <c r="AC105" i="29" s="1"/>
  <c r="AA99" i="29"/>
  <c r="X98" i="29"/>
  <c r="W98" i="29"/>
  <c r="U98" i="29"/>
  <c r="T98" i="29"/>
  <c r="R98" i="29"/>
  <c r="O98" i="29"/>
  <c r="N98" i="29"/>
  <c r="L98" i="29"/>
  <c r="I98" i="29"/>
  <c r="E98" i="29"/>
  <c r="Q96" i="29"/>
  <c r="AA94" i="29"/>
  <c r="AA96" i="29" s="1"/>
  <c r="Y94" i="29"/>
  <c r="Y96" i="29" s="1"/>
  <c r="X94" i="29"/>
  <c r="W94" i="29"/>
  <c r="W96" i="29" s="1"/>
  <c r="U94" i="29"/>
  <c r="T94" i="29"/>
  <c r="T96" i="29" s="1"/>
  <c r="T99" i="29" s="1"/>
  <c r="R94" i="29"/>
  <c r="Q94" i="29"/>
  <c r="O94" i="29"/>
  <c r="N94" i="29"/>
  <c r="N96" i="29" s="1"/>
  <c r="N99" i="29" s="1"/>
  <c r="L94" i="29"/>
  <c r="K94" i="29"/>
  <c r="K96" i="29" s="1"/>
  <c r="I94" i="29"/>
  <c r="H94" i="29"/>
  <c r="H96" i="29" s="1"/>
  <c r="F94" i="29"/>
  <c r="G92" i="29"/>
  <c r="AC92" i="29" s="1"/>
  <c r="AE92" i="29" s="1"/>
  <c r="Y89" i="29"/>
  <c r="V89" i="29"/>
  <c r="S89" i="29"/>
  <c r="P89" i="29"/>
  <c r="M89" i="29"/>
  <c r="J89" i="29"/>
  <c r="G89" i="29"/>
  <c r="AC89" i="29" s="1"/>
  <c r="AE89" i="29" s="1"/>
  <c r="Y88" i="29"/>
  <c r="V88" i="29"/>
  <c r="S88" i="29"/>
  <c r="P88" i="29"/>
  <c r="M88" i="29"/>
  <c r="J88" i="29"/>
  <c r="G88" i="29"/>
  <c r="Y87" i="29"/>
  <c r="V87" i="29"/>
  <c r="S87" i="29"/>
  <c r="P87" i="29"/>
  <c r="M87" i="29"/>
  <c r="J87" i="29"/>
  <c r="G87" i="29"/>
  <c r="AC87" i="29" s="1"/>
  <c r="AE87" i="29" s="1"/>
  <c r="Y86" i="29"/>
  <c r="V86" i="29"/>
  <c r="S86" i="29"/>
  <c r="P86" i="29"/>
  <c r="M86" i="29"/>
  <c r="J86" i="29"/>
  <c r="Y85" i="29"/>
  <c r="V85" i="29"/>
  <c r="S85" i="29"/>
  <c r="P85" i="29"/>
  <c r="M85" i="29"/>
  <c r="M94" i="29" s="1"/>
  <c r="M96" i="29" s="1"/>
  <c r="J85" i="29"/>
  <c r="G85" i="29"/>
  <c r="Y84" i="29"/>
  <c r="V84" i="29"/>
  <c r="S84" i="29"/>
  <c r="P84" i="29"/>
  <c r="M84" i="29"/>
  <c r="J84" i="29"/>
  <c r="G84" i="29"/>
  <c r="Y83" i="29"/>
  <c r="V83" i="29"/>
  <c r="V94" i="29" s="1"/>
  <c r="V96" i="29" s="1"/>
  <c r="S83" i="29"/>
  <c r="S94" i="29" s="1"/>
  <c r="S96" i="29" s="1"/>
  <c r="P83" i="29"/>
  <c r="M83" i="29"/>
  <c r="J83" i="29"/>
  <c r="G83" i="29"/>
  <c r="F76" i="29"/>
  <c r="X75" i="29"/>
  <c r="X76" i="29" s="1"/>
  <c r="W75" i="29"/>
  <c r="U75" i="29"/>
  <c r="U76" i="29" s="1"/>
  <c r="R75" i="29"/>
  <c r="R76" i="29" s="1"/>
  <c r="O75" i="29"/>
  <c r="O76" i="29" s="1"/>
  <c r="N75" i="29"/>
  <c r="L75" i="29"/>
  <c r="L76" i="29" s="1"/>
  <c r="I75" i="29"/>
  <c r="I76" i="29" s="1"/>
  <c r="W73" i="29"/>
  <c r="K73" i="29"/>
  <c r="AA71" i="29"/>
  <c r="AA73" i="29" s="1"/>
  <c r="AA76" i="29" s="1"/>
  <c r="W71" i="29"/>
  <c r="T71" i="29"/>
  <c r="T73" i="29" s="1"/>
  <c r="N71" i="29"/>
  <c r="N73" i="29" s="1"/>
  <c r="K71" i="29"/>
  <c r="Y69" i="29"/>
  <c r="V69" i="29"/>
  <c r="S69" i="29"/>
  <c r="P69" i="29"/>
  <c r="M69" i="29"/>
  <c r="J69" i="29"/>
  <c r="G69" i="29"/>
  <c r="Y68" i="29"/>
  <c r="V68" i="29"/>
  <c r="S68" i="29"/>
  <c r="P68" i="29"/>
  <c r="M68" i="29"/>
  <c r="J68" i="29"/>
  <c r="G68" i="29"/>
  <c r="AC68" i="29" s="1"/>
  <c r="AE68" i="29" s="1"/>
  <c r="Y66" i="29"/>
  <c r="V66" i="29"/>
  <c r="S66" i="29"/>
  <c r="P66" i="29"/>
  <c r="M66" i="29"/>
  <c r="J66" i="29"/>
  <c r="G66" i="29"/>
  <c r="Y65" i="29"/>
  <c r="V65" i="29"/>
  <c r="S65" i="29"/>
  <c r="P65" i="29"/>
  <c r="M65" i="29"/>
  <c r="J65" i="29"/>
  <c r="G65" i="29"/>
  <c r="Y64" i="29"/>
  <c r="V64" i="29"/>
  <c r="S64" i="29"/>
  <c r="P64" i="29"/>
  <c r="M64" i="29"/>
  <c r="J64" i="29"/>
  <c r="G64" i="29"/>
  <c r="Y63" i="29"/>
  <c r="V63" i="29"/>
  <c r="S63" i="29"/>
  <c r="P63" i="29"/>
  <c r="M63" i="29"/>
  <c r="J63" i="29"/>
  <c r="G63" i="29"/>
  <c r="AC63" i="29" s="1"/>
  <c r="AE63" i="29" s="1"/>
  <c r="Y62" i="29"/>
  <c r="V62" i="29"/>
  <c r="S62" i="29"/>
  <c r="P62" i="29"/>
  <c r="M62" i="29"/>
  <c r="J62" i="29"/>
  <c r="G62" i="29"/>
  <c r="AC62" i="29" s="1"/>
  <c r="Y61" i="29"/>
  <c r="V61" i="29"/>
  <c r="S61" i="29"/>
  <c r="P61" i="29"/>
  <c r="M61" i="29"/>
  <c r="J61" i="29"/>
  <c r="G61" i="29"/>
  <c r="Y60" i="29"/>
  <c r="V60" i="29"/>
  <c r="V71" i="29" s="1"/>
  <c r="V73" i="29" s="1"/>
  <c r="Q60" i="29"/>
  <c r="S60" i="29" s="1"/>
  <c r="S71" i="29" s="1"/>
  <c r="S73" i="29" s="1"/>
  <c r="P60" i="29"/>
  <c r="M60" i="29"/>
  <c r="AD53" i="29"/>
  <c r="X53" i="29"/>
  <c r="X54" i="29" s="1"/>
  <c r="W53" i="29"/>
  <c r="W54" i="29" s="1"/>
  <c r="U53" i="29"/>
  <c r="U54" i="29" s="1"/>
  <c r="T53" i="29"/>
  <c r="R53" i="29"/>
  <c r="R54" i="29" s="1"/>
  <c r="O53" i="29"/>
  <c r="O54" i="29" s="1"/>
  <c r="N53" i="29"/>
  <c r="L53" i="29"/>
  <c r="L54" i="29" s="1"/>
  <c r="I53" i="29"/>
  <c r="I54" i="29" s="1"/>
  <c r="F53" i="29"/>
  <c r="F54" i="29" s="1"/>
  <c r="E53" i="29"/>
  <c r="W51" i="29"/>
  <c r="Q51" i="29"/>
  <c r="AD48" i="29"/>
  <c r="AD51" i="29" s="1"/>
  <c r="AA48" i="29"/>
  <c r="AA51" i="29" s="1"/>
  <c r="AA54" i="29" s="1"/>
  <c r="Z48" i="29"/>
  <c r="X48" i="29"/>
  <c r="W48" i="29"/>
  <c r="U48" i="29"/>
  <c r="T48" i="29"/>
  <c r="T51" i="29" s="1"/>
  <c r="R48" i="29"/>
  <c r="Q48" i="29"/>
  <c r="O48" i="29"/>
  <c r="N48" i="29"/>
  <c r="N51" i="29" s="1"/>
  <c r="L48" i="29"/>
  <c r="K48" i="29"/>
  <c r="K51" i="29" s="1"/>
  <c r="I48" i="29"/>
  <c r="H48" i="29"/>
  <c r="H51" i="29" s="1"/>
  <c r="F48" i="29"/>
  <c r="Y46" i="29"/>
  <c r="V46" i="29"/>
  <c r="S46" i="29"/>
  <c r="P46" i="29"/>
  <c r="M46" i="29"/>
  <c r="J46" i="29"/>
  <c r="G46" i="29"/>
  <c r="AC46" i="29" s="1"/>
  <c r="AE46" i="29" s="1"/>
  <c r="Y45" i="29"/>
  <c r="V45" i="29"/>
  <c r="S45" i="29"/>
  <c r="P45" i="29"/>
  <c r="M45" i="29"/>
  <c r="J45" i="29"/>
  <c r="G45" i="29"/>
  <c r="AC45" i="29" s="1"/>
  <c r="AE45" i="29" s="1"/>
  <c r="Y44" i="29"/>
  <c r="V44" i="29"/>
  <c r="S44" i="29"/>
  <c r="P44" i="29"/>
  <c r="M44" i="29"/>
  <c r="J44" i="29"/>
  <c r="G44" i="29"/>
  <c r="AC44" i="29" s="1"/>
  <c r="AE44" i="29" s="1"/>
  <c r="Y43" i="29"/>
  <c r="V43" i="29"/>
  <c r="V48" i="29" s="1"/>
  <c r="V51" i="29" s="1"/>
  <c r="S43" i="29"/>
  <c r="S48" i="29" s="1"/>
  <c r="S51" i="29" s="1"/>
  <c r="P43" i="29"/>
  <c r="M43" i="29"/>
  <c r="J43" i="29"/>
  <c r="G43" i="29"/>
  <c r="AC43" i="29" s="1"/>
  <c r="AE43" i="29" s="1"/>
  <c r="Y42" i="29"/>
  <c r="V42" i="29"/>
  <c r="S42" i="29"/>
  <c r="P42" i="29"/>
  <c r="P48" i="29" s="1"/>
  <c r="P51" i="29" s="1"/>
  <c r="M42" i="29"/>
  <c r="J42" i="29"/>
  <c r="G42" i="29"/>
  <c r="Y41" i="29"/>
  <c r="V41" i="29"/>
  <c r="S41" i="29"/>
  <c r="P41" i="29"/>
  <c r="M41" i="29"/>
  <c r="J41" i="29"/>
  <c r="J48" i="29" s="1"/>
  <c r="J51" i="29" s="1"/>
  <c r="G41" i="29"/>
  <c r="AC41" i="29" s="1"/>
  <c r="AE41" i="29" s="1"/>
  <c r="Y40" i="29"/>
  <c r="Y48" i="29" s="1"/>
  <c r="Y51" i="29" s="1"/>
  <c r="V40" i="29"/>
  <c r="AC40" i="29" s="1"/>
  <c r="S40" i="29"/>
  <c r="P40" i="29"/>
  <c r="M40" i="29"/>
  <c r="J40" i="29"/>
  <c r="AD33" i="29"/>
  <c r="X33" i="29"/>
  <c r="X34" i="29" s="1"/>
  <c r="W33" i="29"/>
  <c r="U33" i="29"/>
  <c r="U34" i="29" s="1"/>
  <c r="R33" i="29"/>
  <c r="R34" i="29" s="1"/>
  <c r="O33" i="29"/>
  <c r="O34" i="29" s="1"/>
  <c r="N33" i="29"/>
  <c r="L33" i="29"/>
  <c r="L34" i="29" s="1"/>
  <c r="I33" i="29"/>
  <c r="I34" i="29" s="1"/>
  <c r="F33" i="29"/>
  <c r="AD31" i="29"/>
  <c r="Q31" i="29"/>
  <c r="AD28" i="29"/>
  <c r="AA28" i="29"/>
  <c r="AA31" i="29" s="1"/>
  <c r="AA34" i="29" s="1"/>
  <c r="X28" i="29"/>
  <c r="W28" i="29"/>
  <c r="W31" i="29" s="1"/>
  <c r="U28" i="29"/>
  <c r="T28" i="29"/>
  <c r="T31" i="29" s="1"/>
  <c r="R28" i="29"/>
  <c r="Q28" i="29"/>
  <c r="O28" i="29"/>
  <c r="N28" i="29"/>
  <c r="N31" i="29" s="1"/>
  <c r="L28" i="29"/>
  <c r="K28" i="29"/>
  <c r="K31" i="29" s="1"/>
  <c r="I28" i="29"/>
  <c r="F28" i="29"/>
  <c r="Y26" i="29"/>
  <c r="V26" i="29"/>
  <c r="S26" i="29"/>
  <c r="P26" i="29"/>
  <c r="M26" i="29"/>
  <c r="J26" i="29"/>
  <c r="G26" i="29"/>
  <c r="AC26" i="29" s="1"/>
  <c r="AE26" i="29" s="1"/>
  <c r="Y25" i="29"/>
  <c r="V25" i="29"/>
  <c r="S25" i="29"/>
  <c r="P25" i="29"/>
  <c r="M25" i="29"/>
  <c r="J25" i="29"/>
  <c r="G25" i="29"/>
  <c r="AC25" i="29" s="1"/>
  <c r="AE25" i="29" s="1"/>
  <c r="Y24" i="29"/>
  <c r="V24" i="29"/>
  <c r="T24" i="29"/>
  <c r="S24" i="29"/>
  <c r="P24" i="29"/>
  <c r="P28" i="29" s="1"/>
  <c r="P31" i="29" s="1"/>
  <c r="M24" i="29"/>
  <c r="G24" i="29"/>
  <c r="Y21" i="29"/>
  <c r="V21" i="29"/>
  <c r="S21" i="29"/>
  <c r="P21" i="29"/>
  <c r="M21" i="29"/>
  <c r="J21" i="29"/>
  <c r="G21" i="29"/>
  <c r="AC21" i="29" s="1"/>
  <c r="AE21" i="29" s="1"/>
  <c r="Y20" i="29"/>
  <c r="V20" i="29"/>
  <c r="S20" i="29"/>
  <c r="P20" i="29"/>
  <c r="M20" i="29"/>
  <c r="J20" i="29"/>
  <c r="G20" i="29"/>
  <c r="AC20" i="29" s="1"/>
  <c r="AE20" i="29" s="1"/>
  <c r="Y19" i="29"/>
  <c r="V19" i="29"/>
  <c r="S19" i="29"/>
  <c r="P19" i="29"/>
  <c r="M19" i="29"/>
  <c r="J19" i="29"/>
  <c r="G19" i="29"/>
  <c r="Y18" i="29"/>
  <c r="V18" i="29"/>
  <c r="V28" i="29" s="1"/>
  <c r="V31" i="29" s="1"/>
  <c r="S18" i="29"/>
  <c r="P18" i="29"/>
  <c r="M18" i="29"/>
  <c r="J18" i="29"/>
  <c r="G18" i="29"/>
  <c r="AC18" i="29" s="1"/>
  <c r="AE18" i="29" s="1"/>
  <c r="Y17" i="29"/>
  <c r="V17" i="29"/>
  <c r="S17" i="29"/>
  <c r="P17" i="29"/>
  <c r="M17" i="29"/>
  <c r="J17" i="29"/>
  <c r="G17" i="29"/>
  <c r="AE16" i="29"/>
  <c r="AC16" i="29"/>
  <c r="Y15" i="29"/>
  <c r="V15" i="29"/>
  <c r="S15" i="29"/>
  <c r="P15" i="29"/>
  <c r="M15" i="29"/>
  <c r="J15" i="29"/>
  <c r="G15" i="29"/>
  <c r="AC15" i="29" s="1"/>
  <c r="AE15" i="29" s="1"/>
  <c r="N65" i="28"/>
  <c r="N64" i="28"/>
  <c r="P64" i="28" s="1"/>
  <c r="Q64" i="28" s="1"/>
  <c r="N63" i="28"/>
  <c r="O62" i="28"/>
  <c r="P62" i="28" s="1"/>
  <c r="Q62" i="28" s="1"/>
  <c r="N62" i="28"/>
  <c r="N61" i="28"/>
  <c r="P61" i="28" s="1"/>
  <c r="Q61" i="28" s="1"/>
  <c r="M60" i="28"/>
  <c r="N60" i="28" s="1"/>
  <c r="N59" i="28"/>
  <c r="P59" i="28" s="1"/>
  <c r="Q59" i="28" s="1"/>
  <c r="N58" i="28"/>
  <c r="P58" i="28" s="1"/>
  <c r="Q58" i="28" s="1"/>
  <c r="N57" i="28"/>
  <c r="P57" i="28" s="1"/>
  <c r="Q57" i="28" s="1"/>
  <c r="N56" i="28"/>
  <c r="P56" i="28" s="1"/>
  <c r="Q56" i="28" s="1"/>
  <c r="N55" i="28"/>
  <c r="P55" i="28" s="1"/>
  <c r="Q55" i="28" s="1"/>
  <c r="P54" i="28"/>
  <c r="Q54" i="28" s="1"/>
  <c r="N54" i="28"/>
  <c r="P53" i="28"/>
  <c r="Q53" i="28" s="1"/>
  <c r="N53" i="28"/>
  <c r="P52" i="28"/>
  <c r="Q52" i="28" s="1"/>
  <c r="N52" i="28"/>
  <c r="N51" i="28"/>
  <c r="P51" i="28" s="1"/>
  <c r="Q51" i="28" s="1"/>
  <c r="N50" i="28"/>
  <c r="P50" i="28" s="1"/>
  <c r="Q50" i="28" s="1"/>
  <c r="P49" i="28"/>
  <c r="Q49" i="28" s="1"/>
  <c r="N49" i="28"/>
  <c r="N48" i="28"/>
  <c r="P48" i="28" s="1"/>
  <c r="Q48" i="28" s="1"/>
  <c r="N47" i="28"/>
  <c r="P47" i="28" s="1"/>
  <c r="Q47" i="28" s="1"/>
  <c r="P46" i="28"/>
  <c r="Q46" i="28" s="1"/>
  <c r="N46" i="28"/>
  <c r="P45" i="28"/>
  <c r="Q45" i="28" s="1"/>
  <c r="N45" i="28"/>
  <c r="P44" i="28"/>
  <c r="Q44" i="28" s="1"/>
  <c r="N44" i="28"/>
  <c r="N43" i="28"/>
  <c r="P43" i="28" s="1"/>
  <c r="Q43" i="28" s="1"/>
  <c r="N42" i="28"/>
  <c r="P42" i="28" s="1"/>
  <c r="Q42" i="28" s="1"/>
  <c r="N41" i="28"/>
  <c r="P41" i="28" s="1"/>
  <c r="Q41" i="28" s="1"/>
  <c r="N40" i="28"/>
  <c r="P40" i="28" s="1"/>
  <c r="Q40" i="28" s="1"/>
  <c r="N39" i="28"/>
  <c r="P39" i="28" s="1"/>
  <c r="Q39" i="28" s="1"/>
  <c r="N38" i="28"/>
  <c r="P38" i="28" s="1"/>
  <c r="Q38" i="28" s="1"/>
  <c r="P37" i="28"/>
  <c r="Q37" i="28" s="1"/>
  <c r="N37" i="28"/>
  <c r="N36" i="28"/>
  <c r="P36" i="28" s="1"/>
  <c r="Q36" i="28" s="1"/>
  <c r="N35" i="28"/>
  <c r="P35" i="28" s="1"/>
  <c r="Q35" i="28" s="1"/>
  <c r="P34" i="28"/>
  <c r="Q34" i="28" s="1"/>
  <c r="N34" i="28"/>
  <c r="E33" i="28"/>
  <c r="N33" i="28" s="1"/>
  <c r="N32" i="28"/>
  <c r="N31" i="28"/>
  <c r="N30" i="28"/>
  <c r="P30" i="28" s="1"/>
  <c r="Q30" i="28" s="1"/>
  <c r="N29" i="28"/>
  <c r="P29" i="28" s="1"/>
  <c r="Q29" i="28" s="1"/>
  <c r="N28" i="28"/>
  <c r="N27" i="28"/>
  <c r="P27" i="28" s="1"/>
  <c r="Q27" i="28" s="1"/>
  <c r="N26" i="28"/>
  <c r="P26" i="28" s="1"/>
  <c r="Q26" i="28" s="1"/>
  <c r="N25" i="28"/>
  <c r="N24" i="28"/>
  <c r="P24" i="28" s="1"/>
  <c r="Q24" i="28" s="1"/>
  <c r="N23" i="28"/>
  <c r="P23" i="28" s="1"/>
  <c r="Q23" i="28" s="1"/>
  <c r="N22" i="28"/>
  <c r="P22" i="28" s="1"/>
  <c r="Q22" i="28" s="1"/>
  <c r="P21" i="28"/>
  <c r="Q21" i="28" s="1"/>
  <c r="N20" i="28"/>
  <c r="P20" i="28" s="1"/>
  <c r="Q20" i="28" s="1"/>
  <c r="P19" i="28"/>
  <c r="Q19" i="28" s="1"/>
  <c r="N19" i="28"/>
  <c r="N18" i="28"/>
  <c r="P18" i="28" s="1"/>
  <c r="Q18" i="28" s="1"/>
  <c r="N17" i="28"/>
  <c r="P17" i="28" s="1"/>
  <c r="Q17" i="28" s="1"/>
  <c r="N16" i="28"/>
  <c r="N15" i="28"/>
  <c r="L14" i="28"/>
  <c r="H14" i="28"/>
  <c r="N13" i="28"/>
  <c r="N12" i="28"/>
  <c r="N11" i="28"/>
  <c r="P11" i="28" s="1"/>
  <c r="Q11" i="28" s="1"/>
  <c r="H9" i="28"/>
  <c r="N9" i="28" s="1"/>
  <c r="H8" i="28"/>
  <c r="N7" i="28"/>
  <c r="E7" i="28"/>
  <c r="I399" i="27"/>
  <c r="U398" i="27"/>
  <c r="U399" i="27" s="1"/>
  <c r="T398" i="27"/>
  <c r="T399" i="27" s="1"/>
  <c r="R398" i="27"/>
  <c r="R399" i="27" s="1"/>
  <c r="Q398" i="27"/>
  <c r="Q399" i="27" s="1"/>
  <c r="O398" i="27"/>
  <c r="O399" i="27" s="1"/>
  <c r="N398" i="27"/>
  <c r="L398" i="27"/>
  <c r="L399" i="27" s="1"/>
  <c r="K398" i="27"/>
  <c r="I398" i="27"/>
  <c r="H398" i="27"/>
  <c r="F398" i="27"/>
  <c r="X396" i="27"/>
  <c r="X399" i="27" s="1"/>
  <c r="T396" i="27"/>
  <c r="Q396" i="27"/>
  <c r="N396" i="27"/>
  <c r="N399" i="27" s="1"/>
  <c r="K396" i="27"/>
  <c r="H396" i="27"/>
  <c r="E396" i="27"/>
  <c r="Z394" i="27"/>
  <c r="AB394" i="27" s="1"/>
  <c r="V394" i="27"/>
  <c r="P394" i="27"/>
  <c r="G394" i="27"/>
  <c r="V393" i="27"/>
  <c r="P393" i="27"/>
  <c r="G393" i="27"/>
  <c r="Z393" i="27" s="1"/>
  <c r="AB393" i="27" s="1"/>
  <c r="E393" i="27"/>
  <c r="V392" i="27"/>
  <c r="P392" i="27"/>
  <c r="G392" i="27"/>
  <c r="Z391" i="27"/>
  <c r="AB391" i="27" s="1"/>
  <c r="V391" i="27"/>
  <c r="P391" i="27"/>
  <c r="V390" i="27"/>
  <c r="P390" i="27"/>
  <c r="Z390" i="27" s="1"/>
  <c r="AB390" i="27" s="1"/>
  <c r="V389" i="27"/>
  <c r="Z389" i="27" s="1"/>
  <c r="AB389" i="27" s="1"/>
  <c r="P389" i="27"/>
  <c r="Z388" i="27"/>
  <c r="AB388" i="27" s="1"/>
  <c r="Z387" i="27"/>
  <c r="AB387" i="27" s="1"/>
  <c r="AB386" i="27"/>
  <c r="Z386" i="27"/>
  <c r="V385" i="27"/>
  <c r="S385" i="27"/>
  <c r="P385" i="27"/>
  <c r="M385" i="27"/>
  <c r="J385" i="27"/>
  <c r="G385" i="27"/>
  <c r="Z385" i="27" s="1"/>
  <c r="AB385" i="27" s="1"/>
  <c r="V384" i="27"/>
  <c r="S384" i="27"/>
  <c r="P384" i="27"/>
  <c r="M384" i="27"/>
  <c r="J384" i="27"/>
  <c r="G384" i="27"/>
  <c r="V383" i="27"/>
  <c r="S383" i="27"/>
  <c r="P383" i="27"/>
  <c r="M383" i="27"/>
  <c r="J383" i="27"/>
  <c r="G383" i="27"/>
  <c r="Z383" i="27" s="1"/>
  <c r="AB383" i="27" s="1"/>
  <c r="V381" i="27"/>
  <c r="Z381" i="27" s="1"/>
  <c r="AB381" i="27" s="1"/>
  <c r="S381" i="27"/>
  <c r="P381" i="27"/>
  <c r="M381" i="27"/>
  <c r="J381" i="27"/>
  <c r="G381" i="27"/>
  <c r="V380" i="27"/>
  <c r="S380" i="27"/>
  <c r="P380" i="27"/>
  <c r="M380" i="27"/>
  <c r="J380" i="27"/>
  <c r="G380" i="27"/>
  <c r="Z380" i="27" s="1"/>
  <c r="AB380" i="27" s="1"/>
  <c r="AB379" i="27"/>
  <c r="V379" i="27"/>
  <c r="S379" i="27"/>
  <c r="P379" i="27"/>
  <c r="M379" i="27"/>
  <c r="J379" i="27"/>
  <c r="G379" i="27"/>
  <c r="Z379" i="27" s="1"/>
  <c r="V378" i="27"/>
  <c r="S378" i="27"/>
  <c r="P378" i="27"/>
  <c r="M378" i="27"/>
  <c r="J378" i="27"/>
  <c r="G378" i="27"/>
  <c r="V377" i="27"/>
  <c r="S377" i="27"/>
  <c r="P377" i="27"/>
  <c r="M377" i="27"/>
  <c r="J377" i="27"/>
  <c r="G377" i="27"/>
  <c r="Z377" i="27" s="1"/>
  <c r="V376" i="27"/>
  <c r="Z376" i="27" s="1"/>
  <c r="AB376" i="27" s="1"/>
  <c r="S376" i="27"/>
  <c r="P376" i="27"/>
  <c r="M376" i="27"/>
  <c r="J376" i="27"/>
  <c r="G376" i="27"/>
  <c r="V375" i="27"/>
  <c r="S375" i="27"/>
  <c r="P375" i="27"/>
  <c r="M375" i="27"/>
  <c r="J375" i="27"/>
  <c r="G375" i="27"/>
  <c r="T368" i="27"/>
  <c r="U367" i="27"/>
  <c r="U368" i="27" s="1"/>
  <c r="T367" i="27"/>
  <c r="R367" i="27"/>
  <c r="R368" i="27" s="1"/>
  <c r="O367" i="27"/>
  <c r="O368" i="27" s="1"/>
  <c r="L367" i="27"/>
  <c r="L368" i="27" s="1"/>
  <c r="I367" i="27"/>
  <c r="I368" i="27" s="1"/>
  <c r="X365" i="27"/>
  <c r="X368" i="27" s="1"/>
  <c r="T365" i="27"/>
  <c r="V363" i="27"/>
  <c r="P363" i="27"/>
  <c r="Z363" i="27"/>
  <c r="AB363" i="27" s="1"/>
  <c r="V362" i="27"/>
  <c r="S362" i="27"/>
  <c r="P362" i="27"/>
  <c r="M362" i="27"/>
  <c r="J362" i="27"/>
  <c r="Z362" i="27" s="1"/>
  <c r="V361" i="27"/>
  <c r="Q365" i="27"/>
  <c r="J361" i="27"/>
  <c r="H365" i="27"/>
  <c r="E365" i="27"/>
  <c r="V360" i="27"/>
  <c r="P360" i="27"/>
  <c r="G360" i="27"/>
  <c r="V359" i="27"/>
  <c r="P359" i="27"/>
  <c r="G359" i="27"/>
  <c r="Z358" i="27"/>
  <c r="V358" i="27"/>
  <c r="P358" i="27"/>
  <c r="G358" i="27"/>
  <c r="V357" i="27"/>
  <c r="P357" i="27"/>
  <c r="G357" i="27"/>
  <c r="Z357" i="27" s="1"/>
  <c r="Z354" i="27"/>
  <c r="AB354" i="27" s="1"/>
  <c r="V354" i="27"/>
  <c r="S354" i="27"/>
  <c r="P354" i="27"/>
  <c r="M354" i="27"/>
  <c r="J354" i="27"/>
  <c r="G354" i="27"/>
  <c r="Z353" i="27"/>
  <c r="AB353" i="27" s="1"/>
  <c r="V353" i="27"/>
  <c r="S353" i="27"/>
  <c r="P353" i="27"/>
  <c r="M353" i="27"/>
  <c r="J353" i="27"/>
  <c r="G353" i="27"/>
  <c r="AB352" i="27"/>
  <c r="Z352" i="27"/>
  <c r="V352" i="27"/>
  <c r="S352" i="27"/>
  <c r="P352" i="27"/>
  <c r="M352" i="27"/>
  <c r="J352" i="27"/>
  <c r="G352" i="27"/>
  <c r="V351" i="27"/>
  <c r="S351" i="27"/>
  <c r="Z351" i="27" s="1"/>
  <c r="AB351" i="27" s="1"/>
  <c r="P351" i="27"/>
  <c r="M351" i="27"/>
  <c r="J351" i="27"/>
  <c r="G351" i="27"/>
  <c r="V349" i="27"/>
  <c r="S349" i="27"/>
  <c r="P349" i="27"/>
  <c r="M349" i="27"/>
  <c r="J349" i="27"/>
  <c r="G349" i="27"/>
  <c r="Z349" i="27" s="1"/>
  <c r="AB349" i="27" s="1"/>
  <c r="V348" i="27"/>
  <c r="S348" i="27"/>
  <c r="P348" i="27"/>
  <c r="M348" i="27"/>
  <c r="J348" i="27"/>
  <c r="Z348" i="27" s="1"/>
  <c r="AB348" i="27" s="1"/>
  <c r="G348" i="27"/>
  <c r="V347" i="27"/>
  <c r="S347" i="27"/>
  <c r="P347" i="27"/>
  <c r="M347" i="27"/>
  <c r="J347" i="27"/>
  <c r="G347" i="27"/>
  <c r="V346" i="27"/>
  <c r="S346" i="27"/>
  <c r="P346" i="27"/>
  <c r="M346" i="27"/>
  <c r="J346" i="27"/>
  <c r="G346" i="27"/>
  <c r="Z346" i="27" s="1"/>
  <c r="AB346" i="27" s="1"/>
  <c r="V345" i="27"/>
  <c r="S345" i="27"/>
  <c r="P345" i="27"/>
  <c r="M345" i="27"/>
  <c r="J345" i="27"/>
  <c r="G345" i="27"/>
  <c r="V344" i="27"/>
  <c r="V365" i="27" s="1"/>
  <c r="S344" i="27"/>
  <c r="P344" i="27"/>
  <c r="Z344" i="27" s="1"/>
  <c r="AB344" i="27" s="1"/>
  <c r="M344" i="27"/>
  <c r="J344" i="27"/>
  <c r="G344" i="27"/>
  <c r="V343" i="27"/>
  <c r="S343" i="27"/>
  <c r="P343" i="27"/>
  <c r="M343" i="27"/>
  <c r="J343" i="27"/>
  <c r="G343" i="27"/>
  <c r="Z343" i="27" s="1"/>
  <c r="AB343" i="27" s="1"/>
  <c r="V342" i="27"/>
  <c r="S342" i="27"/>
  <c r="P342" i="27"/>
  <c r="M342" i="27"/>
  <c r="J342" i="27"/>
  <c r="G342" i="27"/>
  <c r="U335" i="27"/>
  <c r="R335" i="27"/>
  <c r="Q335" i="27"/>
  <c r="O335" i="27"/>
  <c r="N335" i="27"/>
  <c r="L335" i="27"/>
  <c r="K335" i="27"/>
  <c r="I335" i="27"/>
  <c r="X332" i="27"/>
  <c r="X335" i="27" s="1"/>
  <c r="T332" i="27"/>
  <c r="T335" i="27" s="1"/>
  <c r="Q332" i="27"/>
  <c r="N332" i="27"/>
  <c r="K332" i="27"/>
  <c r="H332" i="27"/>
  <c r="H335" i="27" s="1"/>
  <c r="E332" i="27"/>
  <c r="E335" i="27" s="1"/>
  <c r="V330" i="27"/>
  <c r="S330" i="27"/>
  <c r="Z330" i="27" s="1"/>
  <c r="AB330" i="27" s="1"/>
  <c r="P330" i="27"/>
  <c r="M330" i="27"/>
  <c r="J330" i="27"/>
  <c r="G330" i="27"/>
  <c r="V329" i="27"/>
  <c r="S329" i="27"/>
  <c r="P329" i="27"/>
  <c r="M329" i="27"/>
  <c r="J329" i="27"/>
  <c r="G329" i="27"/>
  <c r="Z329" i="27" s="1"/>
  <c r="AB329" i="27" s="1"/>
  <c r="V328" i="27"/>
  <c r="S328" i="27"/>
  <c r="P328" i="27"/>
  <c r="M328" i="27"/>
  <c r="J328" i="27"/>
  <c r="G328" i="27"/>
  <c r="V325" i="27"/>
  <c r="S325" i="27"/>
  <c r="P325" i="27"/>
  <c r="M325" i="27"/>
  <c r="J325" i="27"/>
  <c r="G325" i="27"/>
  <c r="Z325" i="27" s="1"/>
  <c r="AB325" i="27" s="1"/>
  <c r="V324" i="27"/>
  <c r="S324" i="27"/>
  <c r="P324" i="27"/>
  <c r="M324" i="27"/>
  <c r="J324" i="27"/>
  <c r="G324" i="27"/>
  <c r="F324" i="27"/>
  <c r="V323" i="27"/>
  <c r="S323" i="27"/>
  <c r="P323" i="27"/>
  <c r="M323" i="27"/>
  <c r="J323" i="27"/>
  <c r="G323" i="27"/>
  <c r="Z323" i="27" s="1"/>
  <c r="AB323" i="27" s="1"/>
  <c r="V322" i="27"/>
  <c r="S322" i="27"/>
  <c r="P322" i="27"/>
  <c r="M322" i="27"/>
  <c r="J322" i="27"/>
  <c r="G322" i="27"/>
  <c r="Z322" i="27" s="1"/>
  <c r="AB322" i="27" s="1"/>
  <c r="V321" i="27"/>
  <c r="S321" i="27"/>
  <c r="P321" i="27"/>
  <c r="M321" i="27"/>
  <c r="J321" i="27"/>
  <c r="F321" i="27"/>
  <c r="G321" i="27" s="1"/>
  <c r="V320" i="27"/>
  <c r="S320" i="27"/>
  <c r="P320" i="27"/>
  <c r="M320" i="27"/>
  <c r="J320" i="27"/>
  <c r="G320" i="27"/>
  <c r="V319" i="27"/>
  <c r="S319" i="27"/>
  <c r="P319" i="27"/>
  <c r="M319" i="27"/>
  <c r="J319" i="27"/>
  <c r="G319" i="27"/>
  <c r="F319" i="27"/>
  <c r="V318" i="27"/>
  <c r="S318" i="27"/>
  <c r="P318" i="27"/>
  <c r="M318" i="27"/>
  <c r="J318" i="27"/>
  <c r="G318" i="27"/>
  <c r="V317" i="27"/>
  <c r="S317" i="27"/>
  <c r="P317" i="27"/>
  <c r="M317" i="27"/>
  <c r="J317" i="27"/>
  <c r="G317" i="27"/>
  <c r="F310" i="27"/>
  <c r="U309" i="27"/>
  <c r="U310" i="27" s="1"/>
  <c r="T309" i="27"/>
  <c r="T310" i="27" s="1"/>
  <c r="R309" i="27"/>
  <c r="R310" i="27" s="1"/>
  <c r="Q309" i="27"/>
  <c r="Q310" i="27" s="1"/>
  <c r="O309" i="27"/>
  <c r="N309" i="27"/>
  <c r="L309" i="27"/>
  <c r="I309" i="27"/>
  <c r="I310" i="27" s="1"/>
  <c r="X307" i="27"/>
  <c r="X310" i="27" s="1"/>
  <c r="U307" i="27"/>
  <c r="T307" i="27"/>
  <c r="R307" i="27"/>
  <c r="Q307" i="27"/>
  <c r="O307" i="27"/>
  <c r="N307" i="27"/>
  <c r="M307" i="27"/>
  <c r="L307" i="27"/>
  <c r="L310" i="27" s="1"/>
  <c r="K307" i="27"/>
  <c r="I307" i="27"/>
  <c r="H307" i="27"/>
  <c r="F307" i="27"/>
  <c r="E307" i="27"/>
  <c r="E310" i="27" s="1"/>
  <c r="Z304" i="27"/>
  <c r="V304" i="27"/>
  <c r="P304" i="27"/>
  <c r="V303" i="27"/>
  <c r="Z303" i="27" s="1"/>
  <c r="P303" i="27"/>
  <c r="Z302" i="27"/>
  <c r="V302" i="27"/>
  <c r="P302" i="27"/>
  <c r="V301" i="27"/>
  <c r="P301" i="27"/>
  <c r="Z301" i="27" s="1"/>
  <c r="Z300" i="27"/>
  <c r="V300" i="27"/>
  <c r="P300" i="27"/>
  <c r="V299" i="27"/>
  <c r="P299" i="27"/>
  <c r="Z299" i="27" s="1"/>
  <c r="Z298" i="27"/>
  <c r="V296" i="27"/>
  <c r="S296" i="27"/>
  <c r="P296" i="27"/>
  <c r="M296" i="27"/>
  <c r="J296" i="27"/>
  <c r="G296" i="27"/>
  <c r="V295" i="27"/>
  <c r="S295" i="27"/>
  <c r="Z295" i="27" s="1"/>
  <c r="AB295" i="27" s="1"/>
  <c r="P295" i="27"/>
  <c r="M295" i="27"/>
  <c r="J295" i="27"/>
  <c r="G295" i="27"/>
  <c r="V294" i="27"/>
  <c r="S294" i="27"/>
  <c r="P294" i="27"/>
  <c r="M294" i="27"/>
  <c r="J294" i="27"/>
  <c r="G294" i="27"/>
  <c r="V291" i="27"/>
  <c r="S291" i="27"/>
  <c r="P291" i="27"/>
  <c r="M291" i="27"/>
  <c r="J291" i="27"/>
  <c r="G291" i="27"/>
  <c r="Z291" i="27" s="1"/>
  <c r="AB291" i="27" s="1"/>
  <c r="V290" i="27"/>
  <c r="S290" i="27"/>
  <c r="P290" i="27"/>
  <c r="Z290" i="27" s="1"/>
  <c r="AB290" i="27" s="1"/>
  <c r="M290" i="27"/>
  <c r="J290" i="27"/>
  <c r="G290" i="27"/>
  <c r="V289" i="27"/>
  <c r="S289" i="27"/>
  <c r="P289" i="27"/>
  <c r="M289" i="27"/>
  <c r="J289" i="27"/>
  <c r="G289" i="27"/>
  <c r="AB288" i="27"/>
  <c r="V288" i="27"/>
  <c r="S288" i="27"/>
  <c r="P288" i="27"/>
  <c r="M288" i="27"/>
  <c r="J288" i="27"/>
  <c r="G288" i="27"/>
  <c r="Z288" i="27" s="1"/>
  <c r="V287" i="27"/>
  <c r="S287" i="27"/>
  <c r="P287" i="27"/>
  <c r="Z287" i="27" s="1"/>
  <c r="AB287" i="27" s="1"/>
  <c r="M287" i="27"/>
  <c r="J287" i="27"/>
  <c r="G287" i="27"/>
  <c r="V286" i="27"/>
  <c r="S286" i="27"/>
  <c r="P286" i="27"/>
  <c r="M286" i="27"/>
  <c r="J286" i="27"/>
  <c r="G286" i="27"/>
  <c r="Z286" i="27" s="1"/>
  <c r="AB286" i="27" s="1"/>
  <c r="V285" i="27"/>
  <c r="S285" i="27"/>
  <c r="P285" i="27"/>
  <c r="P307" i="27" s="1"/>
  <c r="M285" i="27"/>
  <c r="J285" i="27"/>
  <c r="G285" i="27"/>
  <c r="V284" i="27"/>
  <c r="S284" i="27"/>
  <c r="Z284" i="27" s="1"/>
  <c r="AB284" i="27" s="1"/>
  <c r="P284" i="27"/>
  <c r="M284" i="27"/>
  <c r="J284" i="27"/>
  <c r="G284" i="27"/>
  <c r="V283" i="27"/>
  <c r="S283" i="27"/>
  <c r="P283" i="27"/>
  <c r="M283" i="27"/>
  <c r="J283" i="27"/>
  <c r="G283" i="27"/>
  <c r="X275" i="27"/>
  <c r="AB274" i="27"/>
  <c r="U274" i="27"/>
  <c r="U275" i="27" s="1"/>
  <c r="T274" i="27"/>
  <c r="T275" i="27" s="1"/>
  <c r="R274" i="27"/>
  <c r="L274" i="27"/>
  <c r="I274" i="27"/>
  <c r="I275" i="27" s="1"/>
  <c r="F274" i="27"/>
  <c r="F275" i="27" s="1"/>
  <c r="E274" i="27"/>
  <c r="X272" i="27"/>
  <c r="U272" i="27"/>
  <c r="T272" i="27"/>
  <c r="R272" i="27"/>
  <c r="L272" i="27"/>
  <c r="I272" i="27"/>
  <c r="F272" i="27"/>
  <c r="V270" i="27"/>
  <c r="P270" i="27"/>
  <c r="Z270" i="27" s="1"/>
  <c r="AB270" i="27" s="1"/>
  <c r="AB269" i="27"/>
  <c r="Z269" i="27"/>
  <c r="V269" i="27"/>
  <c r="P269" i="27"/>
  <c r="Z268" i="27"/>
  <c r="AB268" i="27" s="1"/>
  <c r="V268" i="27"/>
  <c r="P268" i="27"/>
  <c r="V267" i="27"/>
  <c r="P267" i="27"/>
  <c r="Z267" i="27" s="1"/>
  <c r="AB267" i="27" s="1"/>
  <c r="V266" i="27"/>
  <c r="P266" i="27"/>
  <c r="V265" i="27"/>
  <c r="M265" i="27"/>
  <c r="V262" i="27"/>
  <c r="S262" i="27"/>
  <c r="P262" i="27"/>
  <c r="M262" i="27"/>
  <c r="J262" i="27"/>
  <c r="G262" i="27"/>
  <c r="V261" i="27"/>
  <c r="S261" i="27"/>
  <c r="P261" i="27"/>
  <c r="M261" i="27"/>
  <c r="Z261" i="27" s="1"/>
  <c r="AB261" i="27" s="1"/>
  <c r="J261" i="27"/>
  <c r="G261" i="27"/>
  <c r="V260" i="27"/>
  <c r="S260" i="27"/>
  <c r="P260" i="27"/>
  <c r="M260" i="27"/>
  <c r="J260" i="27"/>
  <c r="G260" i="27"/>
  <c r="V257" i="27"/>
  <c r="P257" i="27"/>
  <c r="M257" i="27"/>
  <c r="J257" i="27"/>
  <c r="G257" i="27"/>
  <c r="V256" i="27"/>
  <c r="S256" i="27"/>
  <c r="P256" i="27"/>
  <c r="M256" i="27"/>
  <c r="J256" i="27"/>
  <c r="G256" i="27"/>
  <c r="V255" i="27"/>
  <c r="S255" i="27"/>
  <c r="P255" i="27"/>
  <c r="M255" i="27"/>
  <c r="J255" i="27"/>
  <c r="G255" i="27"/>
  <c r="V254" i="27"/>
  <c r="S254" i="27"/>
  <c r="P254" i="27"/>
  <c r="M254" i="27"/>
  <c r="J254" i="27"/>
  <c r="G254" i="27"/>
  <c r="V253" i="27"/>
  <c r="S253" i="27"/>
  <c r="M253" i="27"/>
  <c r="J253" i="27"/>
  <c r="G253" i="27"/>
  <c r="V252" i="27"/>
  <c r="S252" i="27"/>
  <c r="P252" i="27"/>
  <c r="M252" i="27"/>
  <c r="J252" i="27"/>
  <c r="G252" i="27"/>
  <c r="V251" i="27"/>
  <c r="S251" i="27"/>
  <c r="P251" i="27"/>
  <c r="J251" i="27"/>
  <c r="G251" i="27"/>
  <c r="V250" i="27"/>
  <c r="S250" i="27"/>
  <c r="P250" i="27"/>
  <c r="Z250" i="27" s="1"/>
  <c r="M250" i="27"/>
  <c r="J250" i="27"/>
  <c r="G250" i="27"/>
  <c r="U241" i="27"/>
  <c r="U242" i="27" s="1"/>
  <c r="T241" i="27"/>
  <c r="T242" i="27" s="1"/>
  <c r="R241" i="27"/>
  <c r="R242" i="27" s="1"/>
  <c r="L241" i="27"/>
  <c r="L242" i="27" s="1"/>
  <c r="I241" i="27"/>
  <c r="I242" i="27" s="1"/>
  <c r="X239" i="27"/>
  <c r="X242" i="27" s="1"/>
  <c r="T239" i="27"/>
  <c r="V237" i="27"/>
  <c r="S237" i="27"/>
  <c r="P237" i="27"/>
  <c r="M237" i="27"/>
  <c r="J237" i="27"/>
  <c r="G237" i="27"/>
  <c r="V236" i="27"/>
  <c r="S236" i="27"/>
  <c r="P236" i="27"/>
  <c r="M236" i="27"/>
  <c r="J236" i="27"/>
  <c r="G236" i="27"/>
  <c r="V233" i="27"/>
  <c r="S233" i="27"/>
  <c r="P233" i="27"/>
  <c r="M233" i="27"/>
  <c r="J233" i="27"/>
  <c r="G233" i="27"/>
  <c r="V232" i="27"/>
  <c r="S232" i="27"/>
  <c r="P232" i="27"/>
  <c r="M232" i="27"/>
  <c r="J232" i="27"/>
  <c r="G232" i="27"/>
  <c r="V231" i="27"/>
  <c r="S231" i="27"/>
  <c r="M231" i="27"/>
  <c r="J231" i="27"/>
  <c r="G231" i="27"/>
  <c r="V230" i="27"/>
  <c r="S230" i="27"/>
  <c r="P230" i="27"/>
  <c r="M230" i="27"/>
  <c r="J230" i="27"/>
  <c r="G230" i="27"/>
  <c r="V229" i="27"/>
  <c r="S229" i="27"/>
  <c r="P229" i="27"/>
  <c r="M229" i="27"/>
  <c r="J229" i="27"/>
  <c r="Z229" i="27" s="1"/>
  <c r="AB229" i="27" s="1"/>
  <c r="G229" i="27"/>
  <c r="V228" i="27"/>
  <c r="S228" i="27"/>
  <c r="P228" i="27"/>
  <c r="M228" i="27"/>
  <c r="J228" i="27"/>
  <c r="G228" i="27"/>
  <c r="V227" i="27"/>
  <c r="S227" i="27"/>
  <c r="M227" i="27"/>
  <c r="J227" i="27"/>
  <c r="G227" i="27"/>
  <c r="V226" i="27"/>
  <c r="P226" i="27"/>
  <c r="M226" i="27"/>
  <c r="J226" i="27"/>
  <c r="G226" i="27"/>
  <c r="U218" i="27"/>
  <c r="T218" i="27"/>
  <c r="T219" i="27" s="1"/>
  <c r="R218" i="27"/>
  <c r="R219" i="27" s="1"/>
  <c r="O218" i="27"/>
  <c r="O219" i="27" s="1"/>
  <c r="L218" i="27"/>
  <c r="L219" i="27" s="1"/>
  <c r="I218" i="27"/>
  <c r="I219" i="27" s="1"/>
  <c r="F218" i="27"/>
  <c r="F219" i="27" s="1"/>
  <c r="E218" i="27"/>
  <c r="X216" i="27"/>
  <c r="X219" i="27" s="1"/>
  <c r="T216" i="27"/>
  <c r="P216" i="27"/>
  <c r="N216" i="27"/>
  <c r="K216" i="27"/>
  <c r="H216" i="27"/>
  <c r="V214" i="27"/>
  <c r="S214" i="27"/>
  <c r="P214" i="27"/>
  <c r="M214" i="27"/>
  <c r="J214" i="27"/>
  <c r="E216" i="27"/>
  <c r="V211" i="27"/>
  <c r="S211" i="27"/>
  <c r="P211" i="27"/>
  <c r="M211" i="27"/>
  <c r="J211" i="27"/>
  <c r="G211" i="27"/>
  <c r="V210" i="27"/>
  <c r="S210" i="27"/>
  <c r="P210" i="27"/>
  <c r="Z210" i="27" s="1"/>
  <c r="AB210" i="27" s="1"/>
  <c r="M210" i="27"/>
  <c r="J210" i="27"/>
  <c r="G210" i="27"/>
  <c r="V209" i="27"/>
  <c r="S209" i="27"/>
  <c r="P209" i="27"/>
  <c r="M209" i="27"/>
  <c r="J209" i="27"/>
  <c r="G209" i="27"/>
  <c r="V208" i="27"/>
  <c r="S208" i="27"/>
  <c r="P208" i="27"/>
  <c r="M208" i="27"/>
  <c r="J208" i="27"/>
  <c r="G208" i="27"/>
  <c r="V207" i="27"/>
  <c r="S207" i="27"/>
  <c r="P207" i="27"/>
  <c r="M207" i="27"/>
  <c r="M216" i="27" s="1"/>
  <c r="J207" i="27"/>
  <c r="G207" i="27"/>
  <c r="V206" i="27"/>
  <c r="S206" i="27"/>
  <c r="P206" i="27"/>
  <c r="M206" i="27"/>
  <c r="J206" i="27"/>
  <c r="G206" i="27"/>
  <c r="Z206" i="27" s="1"/>
  <c r="V205" i="27"/>
  <c r="S205" i="27"/>
  <c r="P205" i="27"/>
  <c r="M205" i="27"/>
  <c r="J205" i="27"/>
  <c r="G205" i="27"/>
  <c r="V204" i="27"/>
  <c r="V216" i="27" s="1"/>
  <c r="Q216" i="27"/>
  <c r="P204" i="27"/>
  <c r="M204" i="27"/>
  <c r="J204" i="27"/>
  <c r="G204" i="27"/>
  <c r="U196" i="27"/>
  <c r="T196" i="27"/>
  <c r="T197" i="27" s="1"/>
  <c r="R196" i="27"/>
  <c r="R197" i="27" s="1"/>
  <c r="O196" i="27"/>
  <c r="L196" i="27"/>
  <c r="L197" i="27" s="1"/>
  <c r="I196" i="27"/>
  <c r="I197" i="27" s="1"/>
  <c r="F196" i="27"/>
  <c r="X194" i="27"/>
  <c r="X197" i="27" s="1"/>
  <c r="U194" i="27"/>
  <c r="T194" i="27"/>
  <c r="R194" i="27"/>
  <c r="O194" i="27"/>
  <c r="L194" i="27"/>
  <c r="K194" i="27"/>
  <c r="J194" i="27"/>
  <c r="I194" i="27"/>
  <c r="H194" i="27"/>
  <c r="F194" i="27"/>
  <c r="V192" i="27"/>
  <c r="S192" i="27"/>
  <c r="P192" i="27"/>
  <c r="M192" i="27"/>
  <c r="J192" i="27"/>
  <c r="G192" i="27"/>
  <c r="V191" i="27"/>
  <c r="S191" i="27"/>
  <c r="P191" i="27"/>
  <c r="M191" i="27"/>
  <c r="J191" i="27"/>
  <c r="G191" i="27"/>
  <c r="Z191" i="27" s="1"/>
  <c r="AB191" i="27" s="1"/>
  <c r="V190" i="27"/>
  <c r="S190" i="27"/>
  <c r="P190" i="27"/>
  <c r="M190" i="27"/>
  <c r="J190" i="27"/>
  <c r="G190" i="27"/>
  <c r="V189" i="27"/>
  <c r="S189" i="27"/>
  <c r="P189" i="27"/>
  <c r="M189" i="27"/>
  <c r="J189" i="27"/>
  <c r="G189" i="27"/>
  <c r="V188" i="27"/>
  <c r="S188" i="27"/>
  <c r="P188" i="27"/>
  <c r="M188" i="27"/>
  <c r="J188" i="27"/>
  <c r="G188" i="27"/>
  <c r="Z187" i="27"/>
  <c r="V187" i="27"/>
  <c r="S187" i="27"/>
  <c r="P187" i="27"/>
  <c r="M187" i="27"/>
  <c r="J187" i="27"/>
  <c r="G187" i="27"/>
  <c r="V186" i="27"/>
  <c r="S186" i="27"/>
  <c r="P186" i="27"/>
  <c r="M186" i="27"/>
  <c r="J186" i="27"/>
  <c r="G186" i="27"/>
  <c r="V185" i="27"/>
  <c r="S185" i="27"/>
  <c r="P185" i="27"/>
  <c r="M185" i="27"/>
  <c r="J185" i="27"/>
  <c r="G185" i="27"/>
  <c r="V184" i="27"/>
  <c r="S184" i="27"/>
  <c r="P184" i="27"/>
  <c r="M184" i="27"/>
  <c r="J184" i="27"/>
  <c r="G184" i="27"/>
  <c r="V183" i="27"/>
  <c r="S183" i="27"/>
  <c r="P183" i="27"/>
  <c r="M183" i="27"/>
  <c r="J183" i="27"/>
  <c r="G183" i="27"/>
  <c r="V182" i="27"/>
  <c r="S182" i="27"/>
  <c r="P182" i="27"/>
  <c r="M182" i="27"/>
  <c r="J182" i="27"/>
  <c r="G182" i="27"/>
  <c r="V181" i="27"/>
  <c r="S181" i="27"/>
  <c r="P181" i="27"/>
  <c r="M181" i="27"/>
  <c r="J181" i="27"/>
  <c r="G181" i="27"/>
  <c r="V180" i="27"/>
  <c r="S180" i="27"/>
  <c r="P180" i="27"/>
  <c r="M180" i="27"/>
  <c r="J180" i="27"/>
  <c r="G180" i="27"/>
  <c r="V179" i="27"/>
  <c r="S179" i="27"/>
  <c r="M179" i="27"/>
  <c r="J179" i="27"/>
  <c r="G179" i="27"/>
  <c r="V176" i="27"/>
  <c r="S176" i="27"/>
  <c r="P176" i="27"/>
  <c r="M176" i="27"/>
  <c r="J176" i="27"/>
  <c r="G176" i="27"/>
  <c r="V175" i="27"/>
  <c r="S175" i="27"/>
  <c r="P175" i="27"/>
  <c r="M175" i="27"/>
  <c r="J175" i="27"/>
  <c r="G175" i="27"/>
  <c r="Z175" i="27" s="1"/>
  <c r="AB175" i="27" s="1"/>
  <c r="V174" i="27"/>
  <c r="S174" i="27"/>
  <c r="P174" i="27"/>
  <c r="M174" i="27"/>
  <c r="J174" i="27"/>
  <c r="G174" i="27"/>
  <c r="Z174" i="27" s="1"/>
  <c r="AB174" i="27" s="1"/>
  <c r="V173" i="27"/>
  <c r="S173" i="27"/>
  <c r="P173" i="27"/>
  <c r="M173" i="27"/>
  <c r="J173" i="27"/>
  <c r="G173" i="27"/>
  <c r="V172" i="27"/>
  <c r="S172" i="27"/>
  <c r="P172" i="27"/>
  <c r="M172" i="27"/>
  <c r="J172" i="27"/>
  <c r="G172" i="27"/>
  <c r="V171" i="27"/>
  <c r="S171" i="27"/>
  <c r="P171" i="27"/>
  <c r="M171" i="27"/>
  <c r="J171" i="27"/>
  <c r="G171" i="27"/>
  <c r="V170" i="27"/>
  <c r="S170" i="27"/>
  <c r="P170" i="27"/>
  <c r="M170" i="27"/>
  <c r="J170" i="27"/>
  <c r="G170" i="27"/>
  <c r="E7" i="26" s="1"/>
  <c r="G58" i="24" s="1"/>
  <c r="V169" i="27"/>
  <c r="S169" i="27"/>
  <c r="G78" i="24" s="1"/>
  <c r="AA169" i="27" s="1"/>
  <c r="P169" i="27"/>
  <c r="M169" i="27"/>
  <c r="J169" i="27"/>
  <c r="G169" i="27"/>
  <c r="U161" i="27"/>
  <c r="T161" i="27"/>
  <c r="R161" i="27"/>
  <c r="O161" i="27"/>
  <c r="L161" i="27"/>
  <c r="I161" i="27"/>
  <c r="F161" i="27"/>
  <c r="E161" i="27"/>
  <c r="AA157" i="27"/>
  <c r="AA159" i="27" s="1"/>
  <c r="AA162" i="27" s="1"/>
  <c r="X157" i="27"/>
  <c r="X159" i="27" s="1"/>
  <c r="X162" i="27" s="1"/>
  <c r="U157" i="27"/>
  <c r="T157" i="27"/>
  <c r="T159" i="27" s="1"/>
  <c r="R157" i="27"/>
  <c r="O157" i="27"/>
  <c r="L157" i="27"/>
  <c r="I157" i="27"/>
  <c r="H157" i="27"/>
  <c r="H159" i="27" s="1"/>
  <c r="F157" i="27"/>
  <c r="V155" i="27"/>
  <c r="S155" i="27"/>
  <c r="P155" i="27"/>
  <c r="M155" i="27"/>
  <c r="J155" i="27"/>
  <c r="G155" i="27"/>
  <c r="V154" i="27"/>
  <c r="Q157" i="27"/>
  <c r="Q159" i="27" s="1"/>
  <c r="P154" i="27"/>
  <c r="M154" i="27"/>
  <c r="J154" i="27"/>
  <c r="G154" i="27"/>
  <c r="V151" i="27"/>
  <c r="S151" i="27"/>
  <c r="P151" i="27"/>
  <c r="Z151" i="27" s="1"/>
  <c r="AB151" i="27" s="1"/>
  <c r="M151" i="27"/>
  <c r="J151" i="27"/>
  <c r="G151" i="27"/>
  <c r="V150" i="27"/>
  <c r="S150" i="27"/>
  <c r="P150" i="27"/>
  <c r="M150" i="27"/>
  <c r="J150" i="27"/>
  <c r="Z150" i="27" s="1"/>
  <c r="AB150" i="27" s="1"/>
  <c r="G150" i="27"/>
  <c r="AB149" i="27"/>
  <c r="Z149" i="27"/>
  <c r="V149" i="27"/>
  <c r="S149" i="27"/>
  <c r="P149" i="27"/>
  <c r="M149" i="27"/>
  <c r="J149" i="27"/>
  <c r="G149" i="27"/>
  <c r="V148" i="27"/>
  <c r="S148" i="27"/>
  <c r="P148" i="27"/>
  <c r="Z148" i="27" s="1"/>
  <c r="AB148" i="27" s="1"/>
  <c r="M148" i="27"/>
  <c r="J148" i="27"/>
  <c r="G148" i="27"/>
  <c r="V147" i="27"/>
  <c r="S147" i="27"/>
  <c r="P147" i="27"/>
  <c r="M147" i="27"/>
  <c r="J147" i="27"/>
  <c r="Z147" i="27" s="1"/>
  <c r="AB147" i="27" s="1"/>
  <c r="G147" i="27"/>
  <c r="AB146" i="27"/>
  <c r="Z146" i="27"/>
  <c r="V146" i="27"/>
  <c r="S146" i="27"/>
  <c r="P146" i="27"/>
  <c r="M146" i="27"/>
  <c r="J146" i="27"/>
  <c r="G146" i="27"/>
  <c r="V145" i="27"/>
  <c r="S145" i="27"/>
  <c r="P145" i="27"/>
  <c r="Z145" i="27" s="1"/>
  <c r="AB145" i="27" s="1"/>
  <c r="M145" i="27"/>
  <c r="J145" i="27"/>
  <c r="G145" i="27"/>
  <c r="V144" i="27"/>
  <c r="S144" i="27"/>
  <c r="P144" i="27"/>
  <c r="M144" i="27"/>
  <c r="J144" i="27"/>
  <c r="G144" i="27"/>
  <c r="AB143" i="27"/>
  <c r="Z143" i="27"/>
  <c r="V143" i="27"/>
  <c r="S143" i="27"/>
  <c r="P143" i="27"/>
  <c r="M143" i="27"/>
  <c r="J143" i="27"/>
  <c r="G143" i="27"/>
  <c r="V142" i="27"/>
  <c r="S142" i="27"/>
  <c r="P142" i="27"/>
  <c r="Z142" i="27" s="1"/>
  <c r="AB142" i="27" s="1"/>
  <c r="M142" i="27"/>
  <c r="J142" i="27"/>
  <c r="G142" i="27"/>
  <c r="V141" i="27"/>
  <c r="S141" i="27"/>
  <c r="P141" i="27"/>
  <c r="M141" i="27"/>
  <c r="J141" i="27"/>
  <c r="Z141" i="27" s="1"/>
  <c r="AB141" i="27" s="1"/>
  <c r="G141" i="27"/>
  <c r="AB140" i="27"/>
  <c r="Z140" i="27"/>
  <c r="V140" i="27"/>
  <c r="S140" i="27"/>
  <c r="P140" i="27"/>
  <c r="M140" i="27"/>
  <c r="J140" i="27"/>
  <c r="G140" i="27"/>
  <c r="V139" i="27"/>
  <c r="Z139" i="27" s="1"/>
  <c r="AB139" i="27" s="1"/>
  <c r="S139" i="27"/>
  <c r="P139" i="27"/>
  <c r="M139" i="27"/>
  <c r="J139" i="27"/>
  <c r="G139" i="27"/>
  <c r="V138" i="27"/>
  <c r="S138" i="27"/>
  <c r="P138" i="27"/>
  <c r="M138" i="27"/>
  <c r="J138" i="27"/>
  <c r="Z138" i="27" s="1"/>
  <c r="AB138" i="27" s="1"/>
  <c r="G138" i="27"/>
  <c r="V135" i="27"/>
  <c r="S135" i="27"/>
  <c r="P135" i="27"/>
  <c r="M135" i="27"/>
  <c r="J135" i="27"/>
  <c r="G135" i="27"/>
  <c r="Z135" i="27" s="1"/>
  <c r="AB135" i="27" s="1"/>
  <c r="V134" i="27"/>
  <c r="S134" i="27"/>
  <c r="P134" i="27"/>
  <c r="M134" i="27"/>
  <c r="J134" i="27"/>
  <c r="G134" i="27"/>
  <c r="V133" i="27"/>
  <c r="S133" i="27"/>
  <c r="P133" i="27"/>
  <c r="M133" i="27"/>
  <c r="J133" i="27"/>
  <c r="G133" i="27"/>
  <c r="Z133" i="27" s="1"/>
  <c r="AB133" i="27" s="1"/>
  <c r="V132" i="27"/>
  <c r="S132" i="27"/>
  <c r="P132" i="27"/>
  <c r="M132" i="27"/>
  <c r="J132" i="27"/>
  <c r="G132" i="27"/>
  <c r="Z132" i="27" s="1"/>
  <c r="AB132" i="27" s="1"/>
  <c r="Z131" i="27"/>
  <c r="AB131" i="27" s="1"/>
  <c r="V131" i="27"/>
  <c r="S131" i="27"/>
  <c r="P131" i="27"/>
  <c r="M131" i="27"/>
  <c r="J131" i="27"/>
  <c r="G131" i="27"/>
  <c r="V130" i="27"/>
  <c r="S130" i="27"/>
  <c r="P130" i="27"/>
  <c r="M130" i="27"/>
  <c r="J130" i="27"/>
  <c r="G130" i="27"/>
  <c r="V129" i="27"/>
  <c r="S129" i="27"/>
  <c r="P129" i="27"/>
  <c r="M129" i="27"/>
  <c r="J129" i="27"/>
  <c r="G129" i="27"/>
  <c r="V128" i="27"/>
  <c r="S128" i="27"/>
  <c r="P128" i="27"/>
  <c r="M128" i="27"/>
  <c r="J128" i="27"/>
  <c r="J157" i="27" s="1"/>
  <c r="J159" i="27" s="1"/>
  <c r="G128" i="27"/>
  <c r="Z128" i="27" s="1"/>
  <c r="U121" i="27"/>
  <c r="T121" i="27"/>
  <c r="T122" i="27" s="1"/>
  <c r="R121" i="27"/>
  <c r="Q121" i="27"/>
  <c r="O121" i="27"/>
  <c r="L121" i="27"/>
  <c r="F121" i="27"/>
  <c r="T119" i="27"/>
  <c r="Q119" i="27"/>
  <c r="N119" i="27"/>
  <c r="X117" i="27"/>
  <c r="X119" i="27" s="1"/>
  <c r="X122" i="27" s="1"/>
  <c r="U117" i="27"/>
  <c r="T117" i="27"/>
  <c r="R117" i="27"/>
  <c r="Q117" i="27"/>
  <c r="O117" i="27"/>
  <c r="N117" i="27"/>
  <c r="L117" i="27"/>
  <c r="K117" i="27"/>
  <c r="K119" i="27" s="1"/>
  <c r="Z115" i="27"/>
  <c r="AB115" i="27" s="1"/>
  <c r="G115" i="27"/>
  <c r="V112" i="27"/>
  <c r="S112" i="27"/>
  <c r="P112" i="27"/>
  <c r="M112" i="27"/>
  <c r="J112" i="27"/>
  <c r="G112" i="27"/>
  <c r="V111" i="27"/>
  <c r="S111" i="27"/>
  <c r="P111" i="27"/>
  <c r="M111" i="27"/>
  <c r="J111" i="27"/>
  <c r="G111" i="27"/>
  <c r="V110" i="27"/>
  <c r="S110" i="27"/>
  <c r="P110" i="27"/>
  <c r="M110" i="27"/>
  <c r="J110" i="27"/>
  <c r="G110" i="27"/>
  <c r="J107" i="27"/>
  <c r="G107" i="27"/>
  <c r="J106" i="27"/>
  <c r="G106" i="27"/>
  <c r="Z106" i="27" s="1"/>
  <c r="AB106" i="27" s="1"/>
  <c r="J105" i="27"/>
  <c r="G105" i="27"/>
  <c r="J104" i="27"/>
  <c r="G104" i="27"/>
  <c r="G103" i="27"/>
  <c r="V102" i="27"/>
  <c r="S102" i="27"/>
  <c r="P102" i="27"/>
  <c r="M102" i="27"/>
  <c r="L16" i="26"/>
  <c r="H83" i="24" s="1"/>
  <c r="F102" i="27"/>
  <c r="F117" i="27" s="1"/>
  <c r="V101" i="27"/>
  <c r="S101" i="27"/>
  <c r="P101" i="27"/>
  <c r="M101" i="27"/>
  <c r="J101" i="27"/>
  <c r="G101" i="27"/>
  <c r="Z101" i="27" s="1"/>
  <c r="AB101" i="27" s="1"/>
  <c r="V100" i="27"/>
  <c r="S100" i="27"/>
  <c r="P100" i="27"/>
  <c r="M100" i="27"/>
  <c r="J100" i="27"/>
  <c r="G100" i="27"/>
  <c r="V99" i="27"/>
  <c r="S99" i="27"/>
  <c r="P99" i="27"/>
  <c r="M99" i="27"/>
  <c r="J99" i="27"/>
  <c r="G99" i="27"/>
  <c r="V98" i="27"/>
  <c r="S98" i="27"/>
  <c r="P98" i="27"/>
  <c r="M98" i="27"/>
  <c r="J98" i="27"/>
  <c r="G98" i="27"/>
  <c r="V97" i="27"/>
  <c r="S97" i="27"/>
  <c r="P97" i="27"/>
  <c r="M97" i="27"/>
  <c r="J97" i="27"/>
  <c r="G97" i="27"/>
  <c r="V96" i="27"/>
  <c r="S96" i="27"/>
  <c r="P96" i="27"/>
  <c r="M96" i="27"/>
  <c r="J96" i="27"/>
  <c r="G96" i="27"/>
  <c r="V95" i="27"/>
  <c r="S95" i="27"/>
  <c r="P95" i="27"/>
  <c r="M95" i="27"/>
  <c r="J95" i="27"/>
  <c r="G95" i="27"/>
  <c r="E10" i="26" s="1"/>
  <c r="V94" i="27"/>
  <c r="S94" i="27"/>
  <c r="P94" i="27"/>
  <c r="M94" i="27"/>
  <c r="J94" i="27"/>
  <c r="G94" i="27"/>
  <c r="U86" i="27"/>
  <c r="U87" i="27" s="1"/>
  <c r="T86" i="27"/>
  <c r="R86" i="27"/>
  <c r="R87" i="27" s="1"/>
  <c r="Q86" i="27"/>
  <c r="O86" i="27"/>
  <c r="O87" i="27" s="1"/>
  <c r="L86" i="27"/>
  <c r="L87" i="27" s="1"/>
  <c r="I86" i="27"/>
  <c r="I87" i="27" s="1"/>
  <c r="X84" i="27"/>
  <c r="X87" i="27" s="1"/>
  <c r="N84" i="27"/>
  <c r="X82" i="27"/>
  <c r="T82" i="27"/>
  <c r="T84" i="27" s="1"/>
  <c r="Q82" i="27"/>
  <c r="Q84" i="27" s="1"/>
  <c r="N82" i="27"/>
  <c r="K82" i="27"/>
  <c r="K84" i="27" s="1"/>
  <c r="V80" i="27"/>
  <c r="S80" i="27"/>
  <c r="P80" i="27"/>
  <c r="M80" i="27"/>
  <c r="J80" i="27"/>
  <c r="G80" i="27"/>
  <c r="Z80" i="27" s="1"/>
  <c r="AB80" i="27" s="1"/>
  <c r="V79" i="27"/>
  <c r="S79" i="27"/>
  <c r="P79" i="27"/>
  <c r="M79" i="27"/>
  <c r="J79" i="27"/>
  <c r="G79" i="27"/>
  <c r="Z78" i="27"/>
  <c r="AB78" i="27" s="1"/>
  <c r="V78" i="27"/>
  <c r="S78" i="27"/>
  <c r="P78" i="27"/>
  <c r="M78" i="27"/>
  <c r="J78" i="27"/>
  <c r="G78" i="27"/>
  <c r="V77" i="27"/>
  <c r="S77" i="27"/>
  <c r="P77" i="27"/>
  <c r="M77" i="27"/>
  <c r="J77" i="27"/>
  <c r="Z77" i="27" s="1"/>
  <c r="AB77" i="27" s="1"/>
  <c r="G77" i="27"/>
  <c r="V76" i="27"/>
  <c r="S76" i="27"/>
  <c r="P76" i="27"/>
  <c r="M76" i="27"/>
  <c r="J76" i="27"/>
  <c r="G76" i="27"/>
  <c r="V75" i="27"/>
  <c r="S75" i="27"/>
  <c r="P75" i="27"/>
  <c r="M75" i="27"/>
  <c r="J75" i="27"/>
  <c r="G75" i="27"/>
  <c r="V72" i="27"/>
  <c r="S72" i="27"/>
  <c r="P72" i="27"/>
  <c r="M72" i="27"/>
  <c r="J72" i="27"/>
  <c r="V71" i="27"/>
  <c r="S71" i="27"/>
  <c r="P71" i="27"/>
  <c r="M71" i="27"/>
  <c r="J71" i="27"/>
  <c r="G71" i="27"/>
  <c r="V70" i="27"/>
  <c r="S70" i="27"/>
  <c r="P70" i="27"/>
  <c r="M70" i="27"/>
  <c r="J70" i="27"/>
  <c r="G70" i="27"/>
  <c r="V69" i="27"/>
  <c r="S69" i="27"/>
  <c r="P69" i="27"/>
  <c r="M69" i="27"/>
  <c r="J69" i="27"/>
  <c r="G69" i="27"/>
  <c r="Z68" i="27"/>
  <c r="V68" i="27"/>
  <c r="S68" i="27"/>
  <c r="P68" i="27"/>
  <c r="M68" i="27"/>
  <c r="J68" i="27"/>
  <c r="G68" i="27"/>
  <c r="G8" i="26" s="1"/>
  <c r="H63" i="24" s="1"/>
  <c r="AA68" i="27" s="1"/>
  <c r="V67" i="27"/>
  <c r="S67" i="27"/>
  <c r="P67" i="27"/>
  <c r="M67" i="27"/>
  <c r="J67" i="27"/>
  <c r="G67" i="27"/>
  <c r="V66" i="27"/>
  <c r="S66" i="27"/>
  <c r="P66" i="27"/>
  <c r="M66" i="27"/>
  <c r="M82" i="27" s="1"/>
  <c r="M84" i="27" s="1"/>
  <c r="G66" i="27"/>
  <c r="F60" i="27"/>
  <c r="U59" i="27"/>
  <c r="U60" i="27" s="1"/>
  <c r="T59" i="27"/>
  <c r="R59" i="27"/>
  <c r="R60" i="27" s="1"/>
  <c r="Q59" i="27"/>
  <c r="O59" i="27"/>
  <c r="O60" i="27" s="1"/>
  <c r="L59" i="27"/>
  <c r="L60" i="27" s="1"/>
  <c r="I59" i="27"/>
  <c r="I60" i="27" s="1"/>
  <c r="AA54" i="27"/>
  <c r="AA57" i="27" s="1"/>
  <c r="AA60" i="27" s="1"/>
  <c r="X54" i="27"/>
  <c r="X57" i="27" s="1"/>
  <c r="X60" i="27" s="1"/>
  <c r="W54" i="27"/>
  <c r="U54" i="27"/>
  <c r="T54" i="27"/>
  <c r="T57" i="27" s="1"/>
  <c r="R54" i="27"/>
  <c r="Q54" i="27"/>
  <c r="Q57" i="27" s="1"/>
  <c r="O54" i="27"/>
  <c r="N54" i="27"/>
  <c r="N57" i="27" s="1"/>
  <c r="L54" i="27"/>
  <c r="K54" i="27"/>
  <c r="K57" i="27" s="1"/>
  <c r="I54" i="27"/>
  <c r="H54" i="27"/>
  <c r="H57" i="27" s="1"/>
  <c r="F54" i="27"/>
  <c r="V52" i="27"/>
  <c r="S52" i="27"/>
  <c r="P52" i="27"/>
  <c r="M52" i="27"/>
  <c r="J52" i="27"/>
  <c r="G52" i="27"/>
  <c r="V51" i="27"/>
  <c r="S51" i="27"/>
  <c r="P51" i="27"/>
  <c r="M51" i="27"/>
  <c r="J51" i="27"/>
  <c r="G51" i="27"/>
  <c r="V48" i="27"/>
  <c r="S48" i="27"/>
  <c r="P48" i="27"/>
  <c r="M48" i="27"/>
  <c r="J48" i="27"/>
  <c r="G48" i="27"/>
  <c r="Z48" i="27" s="1"/>
  <c r="AB48" i="27" s="1"/>
  <c r="V47" i="27"/>
  <c r="S47" i="27"/>
  <c r="P47" i="27"/>
  <c r="M47" i="27"/>
  <c r="J47" i="27"/>
  <c r="G47" i="27"/>
  <c r="Z47" i="27" s="1"/>
  <c r="AB47" i="27" s="1"/>
  <c r="V46" i="27"/>
  <c r="S46" i="27"/>
  <c r="P46" i="27"/>
  <c r="M46" i="27"/>
  <c r="J46" i="27"/>
  <c r="G46" i="27"/>
  <c r="Z46" i="27" s="1"/>
  <c r="AB46" i="27" s="1"/>
  <c r="V45" i="27"/>
  <c r="S45" i="27"/>
  <c r="P45" i="27"/>
  <c r="M45" i="27"/>
  <c r="J45" i="27"/>
  <c r="G45" i="27"/>
  <c r="V44" i="27"/>
  <c r="S44" i="27"/>
  <c r="P44" i="27"/>
  <c r="M44" i="27"/>
  <c r="J44" i="27"/>
  <c r="G44" i="27"/>
  <c r="V43" i="27"/>
  <c r="S43" i="27"/>
  <c r="P43" i="27"/>
  <c r="M43" i="27"/>
  <c r="J43" i="27"/>
  <c r="G43" i="27"/>
  <c r="Z43" i="27" s="1"/>
  <c r="AB43" i="27" s="1"/>
  <c r="V42" i="27"/>
  <c r="S42" i="27"/>
  <c r="P42" i="27"/>
  <c r="M42" i="27"/>
  <c r="J42" i="27"/>
  <c r="G42" i="27"/>
  <c r="V41" i="27"/>
  <c r="S41" i="27"/>
  <c r="P41" i="27"/>
  <c r="M41" i="27"/>
  <c r="Z41" i="27" s="1"/>
  <c r="AB41" i="27" s="1"/>
  <c r="J41" i="27"/>
  <c r="U34" i="27"/>
  <c r="U35" i="27" s="1"/>
  <c r="T34" i="27"/>
  <c r="R34" i="27"/>
  <c r="R35" i="27" s="1"/>
  <c r="O34" i="27"/>
  <c r="O35" i="27" s="1"/>
  <c r="L34" i="27"/>
  <c r="L35" i="27" s="1"/>
  <c r="I34" i="27"/>
  <c r="I35" i="27" s="1"/>
  <c r="F34" i="27"/>
  <c r="V32" i="27"/>
  <c r="T32" i="27"/>
  <c r="X29" i="27"/>
  <c r="X32" i="27" s="1"/>
  <c r="X35" i="27" s="1"/>
  <c r="U29" i="27"/>
  <c r="T29" i="27"/>
  <c r="R29" i="27"/>
  <c r="P29" i="27"/>
  <c r="P32" i="27" s="1"/>
  <c r="O29" i="27"/>
  <c r="N29" i="27"/>
  <c r="N32" i="27" s="1"/>
  <c r="L29" i="27"/>
  <c r="K29" i="27"/>
  <c r="K32" i="27" s="1"/>
  <c r="I29" i="27"/>
  <c r="F29" i="27"/>
  <c r="V27" i="27"/>
  <c r="S27" i="27"/>
  <c r="P27" i="27"/>
  <c r="M27" i="27"/>
  <c r="J27" i="27"/>
  <c r="G27" i="27"/>
  <c r="V26" i="27"/>
  <c r="S26" i="27"/>
  <c r="P26" i="27"/>
  <c r="M26" i="27"/>
  <c r="J26" i="27"/>
  <c r="G26" i="27"/>
  <c r="Z26" i="27" s="1"/>
  <c r="AB26" i="27" s="1"/>
  <c r="V25" i="27"/>
  <c r="P25" i="27"/>
  <c r="M25" i="27"/>
  <c r="J25" i="27"/>
  <c r="AB22" i="27"/>
  <c r="Z22" i="27"/>
  <c r="V21" i="27"/>
  <c r="S21" i="27"/>
  <c r="P21" i="27"/>
  <c r="M21" i="27"/>
  <c r="J21" i="27"/>
  <c r="G21" i="27"/>
  <c r="V20" i="27"/>
  <c r="S20" i="27"/>
  <c r="P20" i="27"/>
  <c r="M20" i="27"/>
  <c r="J20" i="27"/>
  <c r="G20" i="27"/>
  <c r="V19" i="27"/>
  <c r="S19" i="27"/>
  <c r="P19" i="27"/>
  <c r="M19" i="27"/>
  <c r="J19" i="27"/>
  <c r="G19" i="27"/>
  <c r="Z19" i="27" s="1"/>
  <c r="AB19" i="27" s="1"/>
  <c r="V18" i="27"/>
  <c r="V29" i="27" s="1"/>
  <c r="S18" i="27"/>
  <c r="P18" i="27"/>
  <c r="M18" i="27"/>
  <c r="J18" i="27"/>
  <c r="G18" i="27"/>
  <c r="Z18" i="27" s="1"/>
  <c r="AB18" i="27" s="1"/>
  <c r="V17" i="27"/>
  <c r="S17" i="27"/>
  <c r="P17" i="27"/>
  <c r="M17" i="27"/>
  <c r="J17" i="27"/>
  <c r="G17" i="27"/>
  <c r="V16" i="27"/>
  <c r="S16" i="27"/>
  <c r="P16" i="27"/>
  <c r="M16" i="27"/>
  <c r="J16" i="27"/>
  <c r="G16" i="27"/>
  <c r="Z16" i="27" s="1"/>
  <c r="AB16" i="27" s="1"/>
  <c r="V15" i="27"/>
  <c r="S15" i="27"/>
  <c r="P15" i="27"/>
  <c r="M15" i="27"/>
  <c r="J15" i="27"/>
  <c r="H29" i="27"/>
  <c r="H32" i="27" s="1"/>
  <c r="G15" i="27"/>
  <c r="N59" i="26"/>
  <c r="E59" i="26"/>
  <c r="G80" i="24" s="1"/>
  <c r="AA251" i="27" s="1"/>
  <c r="D58" i="26"/>
  <c r="N58" i="26" s="1"/>
  <c r="E57" i="26"/>
  <c r="D57" i="26"/>
  <c r="N56" i="26"/>
  <c r="P55" i="26"/>
  <c r="Q55" i="26" s="1"/>
  <c r="N55" i="26"/>
  <c r="M54" i="26"/>
  <c r="D54" i="26"/>
  <c r="N54" i="26" s="1"/>
  <c r="N53" i="26"/>
  <c r="P53" i="26" s="1"/>
  <c r="Q53" i="26" s="1"/>
  <c r="N52" i="26"/>
  <c r="P52" i="26" s="1"/>
  <c r="Q52" i="26" s="1"/>
  <c r="N51" i="26"/>
  <c r="P51" i="26" s="1"/>
  <c r="Q51" i="26" s="1"/>
  <c r="P50" i="26"/>
  <c r="Q50" i="26" s="1"/>
  <c r="N50" i="26"/>
  <c r="N49" i="26"/>
  <c r="P49" i="26" s="1"/>
  <c r="Q49" i="26" s="1"/>
  <c r="N48" i="26"/>
  <c r="P48" i="26" s="1"/>
  <c r="Q48" i="26" s="1"/>
  <c r="N47" i="26"/>
  <c r="P47" i="26" s="1"/>
  <c r="Q47" i="26" s="1"/>
  <c r="N46" i="26"/>
  <c r="P46" i="26" s="1"/>
  <c r="Q46" i="26" s="1"/>
  <c r="N45" i="26"/>
  <c r="P45" i="26" s="1"/>
  <c r="Q45" i="26" s="1"/>
  <c r="N44" i="26"/>
  <c r="P44" i="26" s="1"/>
  <c r="Q44" i="26" s="1"/>
  <c r="P43" i="26"/>
  <c r="Q43" i="26" s="1"/>
  <c r="N43" i="26"/>
  <c r="N42" i="26"/>
  <c r="P42" i="26" s="1"/>
  <c r="Q42" i="26" s="1"/>
  <c r="N41" i="26"/>
  <c r="P41" i="26" s="1"/>
  <c r="Q41" i="26" s="1"/>
  <c r="N40" i="26"/>
  <c r="P40" i="26" s="1"/>
  <c r="Q40" i="26" s="1"/>
  <c r="N39" i="26"/>
  <c r="P39" i="26" s="1"/>
  <c r="Q39" i="26" s="1"/>
  <c r="N38" i="26"/>
  <c r="P38" i="26" s="1"/>
  <c r="Q38" i="26" s="1"/>
  <c r="N37" i="26"/>
  <c r="P37" i="26" s="1"/>
  <c r="Q37" i="26" s="1"/>
  <c r="P36" i="26"/>
  <c r="Q36" i="26" s="1"/>
  <c r="N36" i="26"/>
  <c r="N35" i="26"/>
  <c r="P35" i="26" s="1"/>
  <c r="Q35" i="26" s="1"/>
  <c r="N34" i="26"/>
  <c r="P34" i="26" s="1"/>
  <c r="Q34" i="26" s="1"/>
  <c r="N33" i="26"/>
  <c r="P33" i="26" s="1"/>
  <c r="Q33" i="26" s="1"/>
  <c r="N32" i="26"/>
  <c r="P32" i="26" s="1"/>
  <c r="Q32" i="26" s="1"/>
  <c r="P31" i="26"/>
  <c r="Q31" i="26" s="1"/>
  <c r="N31" i="26"/>
  <c r="N30" i="26"/>
  <c r="P30" i="26" s="1"/>
  <c r="Q30" i="26" s="1"/>
  <c r="N29" i="26"/>
  <c r="P29" i="26" s="1"/>
  <c r="Q29" i="26" s="1"/>
  <c r="N28" i="26"/>
  <c r="P28" i="26" s="1"/>
  <c r="Q28" i="26" s="1"/>
  <c r="M27" i="26"/>
  <c r="D27" i="26"/>
  <c r="G70" i="24" s="1"/>
  <c r="N26" i="26"/>
  <c r="P26" i="26" s="1"/>
  <c r="Q26" i="26" s="1"/>
  <c r="N25" i="26"/>
  <c r="M25" i="26"/>
  <c r="P24" i="26"/>
  <c r="Q24" i="26" s="1"/>
  <c r="N24" i="26"/>
  <c r="N23" i="26"/>
  <c r="N22" i="26"/>
  <c r="D21" i="26"/>
  <c r="N21" i="26" s="1"/>
  <c r="N20" i="26"/>
  <c r="P20" i="26" s="1"/>
  <c r="Q20" i="26" s="1"/>
  <c r="N19" i="26"/>
  <c r="N18" i="26"/>
  <c r="P18" i="26" s="1"/>
  <c r="Q18" i="26" s="1"/>
  <c r="N17" i="26"/>
  <c r="M16" i="26"/>
  <c r="H16" i="26"/>
  <c r="D16" i="26"/>
  <c r="H66" i="24" s="1"/>
  <c r="AA94" i="27" s="1"/>
  <c r="D15" i="26"/>
  <c r="N15" i="26" s="1"/>
  <c r="M14" i="26"/>
  <c r="N14" i="26" s="1"/>
  <c r="N13" i="26"/>
  <c r="N12" i="26"/>
  <c r="N11" i="26"/>
  <c r="P11" i="26" s="1"/>
  <c r="Q11" i="26" s="1"/>
  <c r="H8" i="26"/>
  <c r="H75" i="24" s="1"/>
  <c r="AA69" i="27" s="1"/>
  <c r="F8" i="26"/>
  <c r="E8" i="26"/>
  <c r="H81" i="25"/>
  <c r="H80" i="25"/>
  <c r="AD65" i="29" s="1"/>
  <c r="G79" i="25"/>
  <c r="G78" i="25"/>
  <c r="H76" i="25"/>
  <c r="H73" i="25"/>
  <c r="G72" i="25"/>
  <c r="G71" i="25"/>
  <c r="AD154" i="29" s="1"/>
  <c r="AD167" i="29" s="1"/>
  <c r="G70" i="25"/>
  <c r="AD177" i="29" s="1"/>
  <c r="H65" i="25"/>
  <c r="AD60" i="29" s="1"/>
  <c r="G64" i="25"/>
  <c r="G62" i="25"/>
  <c r="AD135" i="29" s="1"/>
  <c r="AE135" i="29" s="1"/>
  <c r="L56" i="25"/>
  <c r="H13" i="25"/>
  <c r="H2" i="25"/>
  <c r="G2" i="25"/>
  <c r="I113" i="24"/>
  <c r="H107" i="24"/>
  <c r="I107" i="24" s="1"/>
  <c r="H104" i="24"/>
  <c r="H101" i="24"/>
  <c r="AA106" i="27" s="1"/>
  <c r="H100" i="24"/>
  <c r="AA104" i="27" s="1"/>
  <c r="H99" i="24"/>
  <c r="AA107" i="27" s="1"/>
  <c r="H98" i="24"/>
  <c r="AA103" i="27" s="1"/>
  <c r="H97" i="24"/>
  <c r="H96" i="24"/>
  <c r="I92" i="24"/>
  <c r="H92" i="24"/>
  <c r="H86" i="24"/>
  <c r="H85" i="24"/>
  <c r="H84" i="24"/>
  <c r="G79" i="24"/>
  <c r="H74" i="24"/>
  <c r="H72" i="24"/>
  <c r="AA15" i="27" s="1"/>
  <c r="AA29" i="27" s="1"/>
  <c r="AA32" i="27" s="1"/>
  <c r="H64" i="24"/>
  <c r="G61" i="24"/>
  <c r="G60" i="24"/>
  <c r="G59" i="24"/>
  <c r="AA250" i="27" s="1"/>
  <c r="L54" i="24"/>
  <c r="H2" i="24"/>
  <c r="G2" i="24"/>
  <c r="H15" i="23"/>
  <c r="H12" i="23"/>
  <c r="G11" i="23" s="1"/>
  <c r="H9" i="23"/>
  <c r="G8" i="23" s="1"/>
  <c r="I9" i="23" s="1"/>
  <c r="H2" i="23"/>
  <c r="G2" i="23"/>
  <c r="P200" i="22"/>
  <c r="P203" i="22" s="1"/>
  <c r="H187" i="22"/>
  <c r="R186" i="22"/>
  <c r="R188" i="22" s="1"/>
  <c r="H186" i="22"/>
  <c r="D186" i="22"/>
  <c r="D188" i="22" s="1"/>
  <c r="P184" i="22"/>
  <c r="T184" i="22" s="1"/>
  <c r="D198" i="22" s="1"/>
  <c r="L104" i="22"/>
  <c r="F104" i="22"/>
  <c r="N99" i="22"/>
  <c r="N112" i="22" s="1"/>
  <c r="N114" i="22" s="1"/>
  <c r="L99" i="22"/>
  <c r="L112" i="22" s="1"/>
  <c r="J99" i="22"/>
  <c r="J112" i="22" s="1"/>
  <c r="H99" i="22"/>
  <c r="H112" i="22" s="1"/>
  <c r="F99" i="22"/>
  <c r="F112" i="22" s="1"/>
  <c r="D99" i="22"/>
  <c r="L98" i="22"/>
  <c r="L111" i="22" s="1"/>
  <c r="J98" i="22"/>
  <c r="J111" i="22" s="1"/>
  <c r="H98" i="22"/>
  <c r="H111" i="22" s="1"/>
  <c r="F98" i="22"/>
  <c r="L96" i="22"/>
  <c r="J96" i="22"/>
  <c r="H96" i="22"/>
  <c r="F96" i="22"/>
  <c r="L95" i="22"/>
  <c r="L110" i="22" s="1"/>
  <c r="J95" i="22"/>
  <c r="J110" i="22" s="1"/>
  <c r="H95" i="22"/>
  <c r="H110" i="22" s="1"/>
  <c r="F95" i="22"/>
  <c r="F108" i="22" s="1"/>
  <c r="L94" i="22"/>
  <c r="L109" i="22" s="1"/>
  <c r="J94" i="22"/>
  <c r="J107" i="22" s="1"/>
  <c r="H94" i="22"/>
  <c r="H109" i="22" s="1"/>
  <c r="F94" i="22"/>
  <c r="F107" i="22" s="1"/>
  <c r="L93" i="22"/>
  <c r="L106" i="22" s="1"/>
  <c r="H198" i="22" s="1"/>
  <c r="L92" i="22"/>
  <c r="L107" i="22" s="1"/>
  <c r="F91" i="22"/>
  <c r="D91" i="22"/>
  <c r="N86" i="22"/>
  <c r="N80" i="22"/>
  <c r="L80" i="22"/>
  <c r="L86" i="22" s="1"/>
  <c r="J69" i="22"/>
  <c r="J66" i="22"/>
  <c r="F56" i="22"/>
  <c r="N43" i="22"/>
  <c r="N45" i="22" s="1"/>
  <c r="L43" i="22"/>
  <c r="L56" i="22" s="1"/>
  <c r="J43" i="22"/>
  <c r="J55" i="22" s="1"/>
  <c r="F43" i="22"/>
  <c r="F55" i="22" s="1"/>
  <c r="P55" i="22" s="1"/>
  <c r="L42" i="22"/>
  <c r="L54" i="22" s="1"/>
  <c r="J42" i="22"/>
  <c r="J54" i="22" s="1"/>
  <c r="F42" i="22"/>
  <c r="F54" i="22" s="1"/>
  <c r="D42" i="22"/>
  <c r="L41" i="22"/>
  <c r="L53" i="22" s="1"/>
  <c r="J41" i="22"/>
  <c r="J53" i="22" s="1"/>
  <c r="F41" i="22"/>
  <c r="F53" i="22" s="1"/>
  <c r="L40" i="22"/>
  <c r="L52" i="22" s="1"/>
  <c r="J40" i="22"/>
  <c r="J52" i="22" s="1"/>
  <c r="H40" i="22"/>
  <c r="H52" i="22" s="1"/>
  <c r="F40" i="22"/>
  <c r="F52" i="22" s="1"/>
  <c r="L39" i="22"/>
  <c r="L51" i="22" s="1"/>
  <c r="J39" i="22"/>
  <c r="J51" i="22" s="1"/>
  <c r="H39" i="22"/>
  <c r="H51" i="22" s="1"/>
  <c r="F39" i="22"/>
  <c r="F51" i="22" s="1"/>
  <c r="L38" i="22"/>
  <c r="J38" i="22"/>
  <c r="H38" i="22"/>
  <c r="F38" i="22"/>
  <c r="L37" i="22"/>
  <c r="L50" i="22" s="1"/>
  <c r="L36" i="22"/>
  <c r="L49" i="22" s="1"/>
  <c r="F36" i="22"/>
  <c r="F49" i="22" s="1"/>
  <c r="L35" i="22"/>
  <c r="L48" i="22" s="1"/>
  <c r="N30" i="22"/>
  <c r="L30" i="22"/>
  <c r="N24" i="22"/>
  <c r="L24" i="22"/>
  <c r="P119" i="21"/>
  <c r="P121" i="21" s="1"/>
  <c r="D119" i="21"/>
  <c r="D121" i="21" s="1"/>
  <c r="N117" i="21"/>
  <c r="R117" i="21" s="1"/>
  <c r="D130" i="21" s="1"/>
  <c r="N71" i="21"/>
  <c r="N69" i="21"/>
  <c r="L66" i="21"/>
  <c r="P66" i="21" s="1"/>
  <c r="F66" i="21"/>
  <c r="L65" i="21"/>
  <c r="J65" i="21"/>
  <c r="H65" i="21"/>
  <c r="J128" i="21" s="1"/>
  <c r="F65" i="21"/>
  <c r="L64" i="21"/>
  <c r="J64" i="21"/>
  <c r="H64" i="21"/>
  <c r="F64" i="21"/>
  <c r="L63" i="21"/>
  <c r="J63" i="21"/>
  <c r="H63" i="21"/>
  <c r="F63" i="21"/>
  <c r="L62" i="21"/>
  <c r="J62" i="21"/>
  <c r="H62" i="21"/>
  <c r="F62" i="21"/>
  <c r="L61" i="21"/>
  <c r="H130" i="21" s="1"/>
  <c r="L60" i="21"/>
  <c r="L59" i="21"/>
  <c r="J59" i="21"/>
  <c r="N54" i="21"/>
  <c r="L54" i="21"/>
  <c r="L40" i="21"/>
  <c r="N38" i="21"/>
  <c r="N34" i="21"/>
  <c r="N36" i="21" s="1"/>
  <c r="L34" i="21"/>
  <c r="J34" i="21"/>
  <c r="F34" i="21"/>
  <c r="L33" i="21"/>
  <c r="J33" i="21"/>
  <c r="H33" i="21"/>
  <c r="F33" i="21"/>
  <c r="L32" i="21"/>
  <c r="J32" i="21"/>
  <c r="H32" i="21"/>
  <c r="F32" i="21"/>
  <c r="D32" i="21"/>
  <c r="L31" i="21"/>
  <c r="J31" i="21"/>
  <c r="H31" i="21"/>
  <c r="F31" i="21"/>
  <c r="L30" i="21"/>
  <c r="J30" i="21"/>
  <c r="H30" i="21"/>
  <c r="F30" i="21"/>
  <c r="L29" i="21"/>
  <c r="L28" i="21"/>
  <c r="F28" i="21"/>
  <c r="L27" i="21"/>
  <c r="L22" i="21"/>
  <c r="L24" i="21" s="1"/>
  <c r="I97" i="20"/>
  <c r="H97" i="20"/>
  <c r="G97" i="20"/>
  <c r="I96" i="20"/>
  <c r="H96" i="20"/>
  <c r="G96" i="20"/>
  <c r="F96" i="20"/>
  <c r="F90" i="20"/>
  <c r="I77" i="20"/>
  <c r="H77" i="20"/>
  <c r="G77" i="20"/>
  <c r="I76" i="20"/>
  <c r="H76" i="20"/>
  <c r="G76" i="20"/>
  <c r="F76" i="20"/>
  <c r="I62" i="20"/>
  <c r="H62" i="20"/>
  <c r="G62" i="20"/>
  <c r="I61" i="20"/>
  <c r="H61" i="20"/>
  <c r="G61" i="20"/>
  <c r="F61" i="20"/>
  <c r="I50" i="20"/>
  <c r="H50" i="20"/>
  <c r="G50" i="20"/>
  <c r="I49" i="20"/>
  <c r="H49" i="20"/>
  <c r="G49" i="20"/>
  <c r="F49" i="20"/>
  <c r="I46" i="20"/>
  <c r="H46" i="20"/>
  <c r="G46" i="20"/>
  <c r="I45" i="20"/>
  <c r="H45" i="20"/>
  <c r="G45" i="20"/>
  <c r="F45" i="20"/>
  <c r="I38" i="20"/>
  <c r="H38" i="20"/>
  <c r="G38" i="20"/>
  <c r="I37" i="20"/>
  <c r="H37" i="20"/>
  <c r="G37" i="20"/>
  <c r="F37" i="20"/>
  <c r="I17" i="20"/>
  <c r="H17" i="20"/>
  <c r="G17" i="20"/>
  <c r="I16" i="20"/>
  <c r="H16" i="20"/>
  <c r="G16" i="20"/>
  <c r="F16" i="20"/>
  <c r="I13" i="20"/>
  <c r="H13" i="20"/>
  <c r="G13" i="20"/>
  <c r="M12" i="20"/>
  <c r="M90" i="20" s="1"/>
  <c r="M113" i="20" s="1"/>
  <c r="I12" i="20"/>
  <c r="H12" i="20"/>
  <c r="G12" i="20"/>
  <c r="F12" i="20"/>
  <c r="M10" i="20"/>
  <c r="M88" i="20" s="1"/>
  <c r="M111" i="20" s="1"/>
  <c r="R36" i="19"/>
  <c r="X32" i="19"/>
  <c r="T32" i="19"/>
  <c r="H32" i="19"/>
  <c r="T30" i="19"/>
  <c r="X30" i="19" s="1"/>
  <c r="J25" i="19"/>
  <c r="J52" i="19" s="1"/>
  <c r="X12" i="19"/>
  <c r="T12" i="19"/>
  <c r="BD96" i="18"/>
  <c r="BA96" i="18"/>
  <c r="AW96" i="18"/>
  <c r="AT96" i="18"/>
  <c r="AQ96" i="18"/>
  <c r="AN96" i="18"/>
  <c r="AK96" i="18"/>
  <c r="AH96" i="18"/>
  <c r="AC96" i="18"/>
  <c r="Z96" i="18"/>
  <c r="V96" i="18"/>
  <c r="S96" i="18"/>
  <c r="P96" i="18"/>
  <c r="M96" i="18"/>
  <c r="J96" i="18"/>
  <c r="G96" i="18"/>
  <c r="BD95" i="18"/>
  <c r="BA95" i="18"/>
  <c r="Z95" i="18"/>
  <c r="AC95" i="18" s="1"/>
  <c r="AU94" i="18"/>
  <c r="AO94" i="18"/>
  <c r="AQ94" i="18" s="1"/>
  <c r="AL94" i="18"/>
  <c r="AN94" i="18" s="1"/>
  <c r="AK94" i="18"/>
  <c r="AI94" i="18"/>
  <c r="V94" i="18"/>
  <c r="T94" i="18"/>
  <c r="N94" i="18"/>
  <c r="M94" i="18"/>
  <c r="J94" i="18"/>
  <c r="AW87" i="18"/>
  <c r="AQ87" i="18"/>
  <c r="AN87" i="18"/>
  <c r="AK87" i="18"/>
  <c r="AH87" i="18"/>
  <c r="V87" i="18"/>
  <c r="Q94" i="18"/>
  <c r="P87" i="18"/>
  <c r="P94" i="18" s="1"/>
  <c r="J87" i="18"/>
  <c r="G87" i="18"/>
  <c r="AZ78" i="18"/>
  <c r="AY78" i="18"/>
  <c r="Y78" i="18"/>
  <c r="X78" i="18"/>
  <c r="AW76" i="18"/>
  <c r="AU76" i="18"/>
  <c r="AR76" i="18"/>
  <c r="AO76" i="18"/>
  <c r="AL76" i="18"/>
  <c r="AI76" i="18"/>
  <c r="AE76" i="18"/>
  <c r="T76" i="18"/>
  <c r="Q76" i="18"/>
  <c r="P76" i="18"/>
  <c r="N76" i="18"/>
  <c r="K76" i="18"/>
  <c r="D76" i="18"/>
  <c r="BD74" i="18"/>
  <c r="BA74" i="18"/>
  <c r="Z74" i="18"/>
  <c r="AC74" i="18" s="1"/>
  <c r="BD72" i="18"/>
  <c r="Z72" i="18"/>
  <c r="AC72" i="18" s="1"/>
  <c r="BA70" i="18"/>
  <c r="BD70" i="18" s="1"/>
  <c r="AW70" i="18"/>
  <c r="AT70" i="18"/>
  <c r="AQ70" i="18"/>
  <c r="AN70" i="18"/>
  <c r="AK70" i="18"/>
  <c r="AH70" i="18"/>
  <c r="V76" i="18"/>
  <c r="S76" i="18"/>
  <c r="M76" i="18"/>
  <c r="BF67" i="18"/>
  <c r="AW67" i="18"/>
  <c r="AT67" i="18"/>
  <c r="AT76" i="18" s="1"/>
  <c r="AQ67" i="18"/>
  <c r="AN67" i="18"/>
  <c r="AK67" i="18"/>
  <c r="AH67" i="18"/>
  <c r="BA67" i="18" s="1"/>
  <c r="AA67" i="18"/>
  <c r="Z67" i="18"/>
  <c r="AC67" i="18" s="1"/>
  <c r="BF66" i="18"/>
  <c r="AW66" i="18"/>
  <c r="AT66" i="18"/>
  <c r="AQ66" i="18"/>
  <c r="AQ76" i="18" s="1"/>
  <c r="AN66" i="18"/>
  <c r="AN76" i="18" s="1"/>
  <c r="AK66" i="18"/>
  <c r="AK76" i="18" s="1"/>
  <c r="AH66" i="18"/>
  <c r="AE66" i="18"/>
  <c r="AE67" i="18" s="1"/>
  <c r="AA66" i="18"/>
  <c r="BF61" i="18"/>
  <c r="AW61" i="18"/>
  <c r="AT61" i="18"/>
  <c r="AQ61" i="18"/>
  <c r="AN61" i="18"/>
  <c r="AK61" i="18"/>
  <c r="AU57" i="18"/>
  <c r="AT57" i="18"/>
  <c r="AR57" i="18"/>
  <c r="AO57" i="18"/>
  <c r="AN57" i="18"/>
  <c r="AL57" i="18"/>
  <c r="AI57" i="18"/>
  <c r="AE57" i="18"/>
  <c r="BF56" i="18"/>
  <c r="AW56" i="18"/>
  <c r="AW57" i="18" s="1"/>
  <c r="AT56" i="18"/>
  <c r="AQ56" i="18"/>
  <c r="BA56" i="18" s="1"/>
  <c r="BD56" i="18" s="1"/>
  <c r="AN56" i="18"/>
  <c r="AK56" i="18"/>
  <c r="BF55" i="18"/>
  <c r="AW55" i="18"/>
  <c r="AT55" i="18"/>
  <c r="AQ55" i="18"/>
  <c r="AN55" i="18"/>
  <c r="AK55" i="18"/>
  <c r="AK57" i="18" s="1"/>
  <c r="AH55" i="18"/>
  <c r="BA55" i="18" s="1"/>
  <c r="AW50" i="18"/>
  <c r="AU50" i="18"/>
  <c r="AT50" i="18"/>
  <c r="AR50" i="18"/>
  <c r="AQ50" i="18"/>
  <c r="AO50" i="18"/>
  <c r="AN50" i="18"/>
  <c r="AL50" i="18"/>
  <c r="AK50" i="18"/>
  <c r="AI50" i="18"/>
  <c r="BD49" i="18"/>
  <c r="BB49" i="18"/>
  <c r="AC49" i="18"/>
  <c r="BD44" i="18"/>
  <c r="Z44" i="18"/>
  <c r="AC44" i="18" s="1"/>
  <c r="AU41" i="18"/>
  <c r="AL41" i="18"/>
  <c r="AI41" i="18"/>
  <c r="AW41" i="18"/>
  <c r="Z39" i="18"/>
  <c r="AC39" i="18" s="1"/>
  <c r="AB36" i="18"/>
  <c r="AO41" i="18"/>
  <c r="AN41" i="18"/>
  <c r="AK41" i="18"/>
  <c r="AA35" i="18"/>
  <c r="AU30" i="18"/>
  <c r="AL30" i="18"/>
  <c r="BA28" i="18"/>
  <c r="BD28" i="18" s="1"/>
  <c r="Z27" i="18"/>
  <c r="AC27" i="18" s="1"/>
  <c r="BC26" i="18"/>
  <c r="BC78" i="18" s="1"/>
  <c r="BC82" i="18" s="1"/>
  <c r="BB26" i="18"/>
  <c r="AB26" i="18"/>
  <c r="Z25" i="18"/>
  <c r="AC25" i="18" s="1"/>
  <c r="AI30" i="18"/>
  <c r="AE30" i="18"/>
  <c r="AU19" i="18"/>
  <c r="AL19" i="18"/>
  <c r="AL32" i="18" s="1"/>
  <c r="AI19" i="18"/>
  <c r="AN19" i="18"/>
  <c r="AK19" i="18"/>
  <c r="AV11" i="18"/>
  <c r="AS11" i="18"/>
  <c r="AP11" i="18"/>
  <c r="AM11" i="18"/>
  <c r="AJ11" i="18"/>
  <c r="AG11" i="18"/>
  <c r="AF11" i="18"/>
  <c r="U11" i="18"/>
  <c r="R11" i="18"/>
  <c r="O11" i="18"/>
  <c r="L11" i="18"/>
  <c r="AZ120" i="17"/>
  <c r="AY119" i="17"/>
  <c r="AV119" i="17"/>
  <c r="AS119" i="17"/>
  <c r="AP119" i="17"/>
  <c r="M119" i="17"/>
  <c r="AZ118" i="17"/>
  <c r="X118" i="17"/>
  <c r="X120" i="17" s="1"/>
  <c r="W118" i="17"/>
  <c r="V118" i="17"/>
  <c r="V120" i="17" s="1"/>
  <c r="U118" i="17"/>
  <c r="P118" i="17"/>
  <c r="P120" i="17" s="1"/>
  <c r="AY110" i="17"/>
  <c r="AV110" i="17"/>
  <c r="AS110" i="17"/>
  <c r="AP110" i="17"/>
  <c r="AM110" i="17"/>
  <c r="AJ110" i="17"/>
  <c r="W110" i="17"/>
  <c r="T110" i="17"/>
  <c r="Q110" i="17"/>
  <c r="N110" i="17"/>
  <c r="K110" i="17"/>
  <c r="H110" i="17"/>
  <c r="AX109" i="17"/>
  <c r="AW109" i="17"/>
  <c r="AW112" i="17" s="1"/>
  <c r="AU109" i="17"/>
  <c r="AR109" i="17"/>
  <c r="AO109" i="17"/>
  <c r="AL109" i="17"/>
  <c r="AH109" i="17"/>
  <c r="V109" i="17"/>
  <c r="U109" i="17"/>
  <c r="U112" i="17" s="1"/>
  <c r="S109" i="17"/>
  <c r="P109" i="17"/>
  <c r="AY106" i="17"/>
  <c r="AV106" i="17"/>
  <c r="AS106" i="17"/>
  <c r="AP106" i="17"/>
  <c r="AM106" i="17"/>
  <c r="W106" i="17"/>
  <c r="T106" i="17"/>
  <c r="Q106" i="17"/>
  <c r="N106" i="17"/>
  <c r="K106" i="17"/>
  <c r="AW105" i="17"/>
  <c r="AY105" i="17" s="1"/>
  <c r="AV105" i="17"/>
  <c r="AQ105" i="17"/>
  <c r="AS105" i="17" s="1"/>
  <c r="H21" i="22" s="1"/>
  <c r="AN105" i="17"/>
  <c r="AP105" i="17" s="1"/>
  <c r="AK105" i="17"/>
  <c r="AM105" i="17" s="1"/>
  <c r="AG105" i="17"/>
  <c r="AJ105" i="17" s="1"/>
  <c r="W105" i="17"/>
  <c r="Q105" i="17"/>
  <c r="M105" i="17"/>
  <c r="I105" i="17"/>
  <c r="K105" i="17" s="1"/>
  <c r="E105" i="17"/>
  <c r="H105" i="17" s="1"/>
  <c r="AY104" i="17"/>
  <c r="AV104" i="17"/>
  <c r="AS104" i="17"/>
  <c r="H20" i="22" s="1"/>
  <c r="AP104" i="17"/>
  <c r="AM104" i="17"/>
  <c r="D19" i="22" s="1"/>
  <c r="P19" i="22" s="1"/>
  <c r="AG104" i="17"/>
  <c r="AJ101" i="17" s="1"/>
  <c r="W104" i="17"/>
  <c r="T104" i="17"/>
  <c r="Q104" i="17"/>
  <c r="N104" i="17"/>
  <c r="I104" i="17"/>
  <c r="K104" i="17" s="1"/>
  <c r="D74" i="22" s="1"/>
  <c r="P74" i="22" s="1"/>
  <c r="AY103" i="17"/>
  <c r="AV103" i="17"/>
  <c r="AS103" i="17"/>
  <c r="AP103" i="17"/>
  <c r="AM103" i="17"/>
  <c r="AJ103" i="17"/>
  <c r="BC103" i="17" s="1"/>
  <c r="W103" i="17"/>
  <c r="T103" i="17"/>
  <c r="Q103" i="17"/>
  <c r="K103" i="17"/>
  <c r="H103" i="17"/>
  <c r="AY102" i="17"/>
  <c r="AY118" i="17" s="1"/>
  <c r="W102" i="17"/>
  <c r="J102" i="17"/>
  <c r="I11" i="18" s="1"/>
  <c r="AY101" i="17"/>
  <c r="AV101" i="17"/>
  <c r="AQ101" i="17"/>
  <c r="AP101" i="17"/>
  <c r="F11" i="30" s="1"/>
  <c r="AM101" i="17"/>
  <c r="W101" i="17"/>
  <c r="T101" i="17"/>
  <c r="O101" i="17"/>
  <c r="Q101" i="17" s="1"/>
  <c r="L101" i="17"/>
  <c r="N101" i="17" s="1"/>
  <c r="I101" i="17"/>
  <c r="K101" i="17" s="1"/>
  <c r="BC99" i="17"/>
  <c r="BF99" i="17" s="1"/>
  <c r="AE96" i="17"/>
  <c r="AB95" i="17"/>
  <c r="AE95" i="17" s="1"/>
  <c r="J54" i="19" s="1"/>
  <c r="J55" i="19" s="1"/>
  <c r="V398" i="27"/>
  <c r="S398" i="27"/>
  <c r="P398" i="27"/>
  <c r="M398" i="27"/>
  <c r="J398" i="27"/>
  <c r="V367" i="27"/>
  <c r="N367" i="27"/>
  <c r="K367" i="27"/>
  <c r="D45" i="21"/>
  <c r="H367" i="27"/>
  <c r="AB92" i="17"/>
  <c r="AE92" i="17" s="1"/>
  <c r="AW87" i="17"/>
  <c r="AN87" i="17"/>
  <c r="U87" i="17"/>
  <c r="O87" i="17"/>
  <c r="E87" i="17"/>
  <c r="AY85" i="17"/>
  <c r="AV85" i="17"/>
  <c r="AS85" i="17"/>
  <c r="AP85" i="17"/>
  <c r="AQ85" i="17" s="1"/>
  <c r="AM85" i="17"/>
  <c r="AJ85" i="17"/>
  <c r="AY84" i="17"/>
  <c r="AV84" i="17"/>
  <c r="AS84" i="17"/>
  <c r="AP84" i="17"/>
  <c r="AQ84" i="17" s="1"/>
  <c r="AM84" i="17"/>
  <c r="AJ84" i="17"/>
  <c r="W87" i="17"/>
  <c r="BD83" i="17"/>
  <c r="AY83" i="17"/>
  <c r="AP83" i="17"/>
  <c r="AQ83" i="17" s="1"/>
  <c r="AM83" i="17"/>
  <c r="AY82" i="17"/>
  <c r="AV82" i="17"/>
  <c r="AP82" i="17"/>
  <c r="AQ82" i="17" s="1"/>
  <c r="AS82" i="17" s="1"/>
  <c r="AM82" i="17"/>
  <c r="AJ82" i="17"/>
  <c r="AY81" i="17"/>
  <c r="AV81" i="17"/>
  <c r="AP81" i="17"/>
  <c r="AJ81" i="17"/>
  <c r="AN78" i="17"/>
  <c r="U78" i="17"/>
  <c r="AB75" i="17"/>
  <c r="AE75" i="17" s="1"/>
  <c r="AW78" i="17"/>
  <c r="G63" i="25"/>
  <c r="BD70" i="17" s="1"/>
  <c r="AC70" i="17"/>
  <c r="AA274" i="27" s="1"/>
  <c r="V274" i="27"/>
  <c r="N274" i="27"/>
  <c r="K274" i="27"/>
  <c r="H274" i="27"/>
  <c r="BE67" i="17"/>
  <c r="O33" i="28"/>
  <c r="O15" i="28"/>
  <c r="P15" i="28" s="1"/>
  <c r="Q15" i="28" s="1"/>
  <c r="E191" i="29"/>
  <c r="V241" i="27"/>
  <c r="Q241" i="27"/>
  <c r="N241" i="27"/>
  <c r="H241" i="27"/>
  <c r="BD64" i="17"/>
  <c r="AD169" i="29" s="1"/>
  <c r="Y169" i="29"/>
  <c r="Q169" i="29"/>
  <c r="Q170" i="29" s="1"/>
  <c r="P169" i="29"/>
  <c r="V218" i="27"/>
  <c r="Q218" i="27"/>
  <c r="Y146" i="29"/>
  <c r="V146" i="29"/>
  <c r="Q146" i="29"/>
  <c r="E146" i="29"/>
  <c r="V196" i="27"/>
  <c r="H196" i="27"/>
  <c r="H197" i="27" s="1"/>
  <c r="E196" i="27"/>
  <c r="R78" i="17"/>
  <c r="AW52" i="17"/>
  <c r="AN52" i="17"/>
  <c r="U52" i="17"/>
  <c r="U54" i="17" s="1"/>
  <c r="O52" i="17"/>
  <c r="Y124" i="29"/>
  <c r="V124" i="29"/>
  <c r="T124" i="29"/>
  <c r="Q124" i="29"/>
  <c r="P124" i="29"/>
  <c r="G124" i="29"/>
  <c r="V161" i="27"/>
  <c r="Q161" i="27"/>
  <c r="N161" i="27"/>
  <c r="K161" i="27"/>
  <c r="H161" i="27"/>
  <c r="G161" i="27"/>
  <c r="T75" i="29"/>
  <c r="AY52" i="17"/>
  <c r="AT52" i="17"/>
  <c r="V309" i="27"/>
  <c r="S309" i="27"/>
  <c r="AE39" i="17"/>
  <c r="AW37" i="17"/>
  <c r="AN37" i="17"/>
  <c r="Y98" i="29"/>
  <c r="V98" i="29"/>
  <c r="Q98" i="29"/>
  <c r="V121" i="27"/>
  <c r="S121" i="27"/>
  <c r="N121" i="27"/>
  <c r="N122" i="27" s="1"/>
  <c r="M121" i="27"/>
  <c r="H121" i="27"/>
  <c r="E121" i="27"/>
  <c r="BD26" i="17"/>
  <c r="Y75" i="29"/>
  <c r="Q75" i="29"/>
  <c r="AC26" i="17"/>
  <c r="V86" i="27"/>
  <c r="P86" i="27"/>
  <c r="N86" i="27"/>
  <c r="N87" i="27" s="1"/>
  <c r="K86" i="27"/>
  <c r="K87" i="27" s="1"/>
  <c r="H86" i="27"/>
  <c r="G102" i="17"/>
  <c r="E86" i="27"/>
  <c r="Y53" i="29"/>
  <c r="V53" i="29"/>
  <c r="Q53" i="29"/>
  <c r="P53" i="29"/>
  <c r="G53" i="29"/>
  <c r="V59" i="27"/>
  <c r="S59" i="27"/>
  <c r="M59" i="27"/>
  <c r="K59" i="27"/>
  <c r="H59" i="27"/>
  <c r="Y33" i="29"/>
  <c r="T33" i="29"/>
  <c r="Q33" i="29"/>
  <c r="Q34" i="29" s="1"/>
  <c r="P33" i="29"/>
  <c r="E33" i="29"/>
  <c r="V34" i="27"/>
  <c r="N34" i="27"/>
  <c r="K34" i="27"/>
  <c r="H34" i="27"/>
  <c r="E34" i="27"/>
  <c r="AY37" i="17"/>
  <c r="AT37" i="17"/>
  <c r="BB9" i="17"/>
  <c r="BA9" i="17"/>
  <c r="AA9" i="17"/>
  <c r="Z9" i="17"/>
  <c r="V9" i="17"/>
  <c r="S9" i="17"/>
  <c r="P9" i="17"/>
  <c r="M9" i="17"/>
  <c r="AD18" i="17" l="1"/>
  <c r="AA34" i="27" s="1"/>
  <c r="N14" i="28"/>
  <c r="BD61" i="17"/>
  <c r="AD146" i="29" s="1"/>
  <c r="AD125" i="29"/>
  <c r="J109" i="17"/>
  <c r="N170" i="29"/>
  <c r="E104" i="17"/>
  <c r="H104" i="17" s="1"/>
  <c r="T162" i="27"/>
  <c r="AB103" i="17"/>
  <c r="N54" i="29"/>
  <c r="AB110" i="17"/>
  <c r="W99" i="29"/>
  <c r="AW89" i="17"/>
  <c r="AD34" i="29"/>
  <c r="AY54" i="17"/>
  <c r="AY87" i="17"/>
  <c r="H14" i="30"/>
  <c r="J14" i="30" s="1"/>
  <c r="H11" i="30"/>
  <c r="H13" i="30" s="1"/>
  <c r="BC110" i="17"/>
  <c r="N34" i="29"/>
  <c r="AD54" i="29"/>
  <c r="W192" i="29"/>
  <c r="I104" i="1"/>
  <c r="AN89" i="17"/>
  <c r="T147" i="29"/>
  <c r="AY120" i="17"/>
  <c r="AP87" i="17"/>
  <c r="AQ81" i="17"/>
  <c r="O310" i="27"/>
  <c r="K399" i="27"/>
  <c r="W34" i="29"/>
  <c r="AS101" i="17"/>
  <c r="BC101" i="17" s="1"/>
  <c r="G11" i="30"/>
  <c r="AN54" i="17"/>
  <c r="AW54" i="17"/>
  <c r="T54" i="29"/>
  <c r="AL52" i="18"/>
  <c r="AL59" i="18" s="1"/>
  <c r="AL63" i="18" s="1"/>
  <c r="AI32" i="18"/>
  <c r="AI52" i="18" s="1"/>
  <c r="AI59" i="18" s="1"/>
  <c r="AI63" i="18" s="1"/>
  <c r="AU32" i="18"/>
  <c r="AU52" i="18" s="1"/>
  <c r="AU59" i="18" s="1"/>
  <c r="AU63" i="18" s="1"/>
  <c r="W76" i="29"/>
  <c r="N125" i="29"/>
  <c r="N76" i="29"/>
  <c r="H399" i="27"/>
  <c r="U89" i="17"/>
  <c r="U114" i="17" s="1"/>
  <c r="U9" i="17" s="1"/>
  <c r="L275" i="27"/>
  <c r="R275" i="27"/>
  <c r="Q60" i="27"/>
  <c r="I2" i="23"/>
  <c r="T87" i="27"/>
  <c r="T60" i="27"/>
  <c r="Q87" i="27"/>
  <c r="T35" i="27"/>
  <c r="AB46" i="17"/>
  <c r="AE46" i="17" s="1"/>
  <c r="BC20" i="17"/>
  <c r="BF20" i="17" s="1"/>
  <c r="BC50" i="17"/>
  <c r="BF50" i="17" s="1"/>
  <c r="BC73" i="17"/>
  <c r="BF73" i="17" s="1"/>
  <c r="E11" i="30"/>
  <c r="BC22" i="17"/>
  <c r="BF22" i="17" s="1"/>
  <c r="N310" i="27"/>
  <c r="G102" i="27"/>
  <c r="H82" i="24" s="1"/>
  <c r="AB48" i="17"/>
  <c r="AE48" i="17" s="1"/>
  <c r="AT19" i="18"/>
  <c r="Z24" i="18"/>
  <c r="AC24" i="18" s="1"/>
  <c r="BC45" i="17"/>
  <c r="BF45" i="17" s="1"/>
  <c r="R52" i="17"/>
  <c r="R54" i="17" s="1"/>
  <c r="BC31" i="17"/>
  <c r="BF31" i="17" s="1"/>
  <c r="AT54" i="17"/>
  <c r="AT41" i="18"/>
  <c r="BA39" i="18"/>
  <c r="BD39" i="18" s="1"/>
  <c r="O58" i="26"/>
  <c r="P58" i="26" s="1"/>
  <c r="Q58" i="26" s="1"/>
  <c r="S161" i="27"/>
  <c r="Z37" i="18"/>
  <c r="AC37" i="18" s="1"/>
  <c r="Z87" i="18"/>
  <c r="Z94" i="18" s="1"/>
  <c r="D11" i="30"/>
  <c r="AR19" i="18"/>
  <c r="AV52" i="17"/>
  <c r="S87" i="18"/>
  <c r="D112" i="22"/>
  <c r="P112" i="22" s="1"/>
  <c r="P99" i="22"/>
  <c r="H42" i="22"/>
  <c r="P42" i="22" s="1"/>
  <c r="P21" i="22"/>
  <c r="F111" i="22"/>
  <c r="P111" i="22" s="1"/>
  <c r="P98" i="22"/>
  <c r="N198" i="22"/>
  <c r="R198" i="22" s="1"/>
  <c r="J56" i="22"/>
  <c r="H107" i="22"/>
  <c r="H108" i="22"/>
  <c r="L108" i="22"/>
  <c r="H188" i="22"/>
  <c r="J108" i="22"/>
  <c r="N101" i="22"/>
  <c r="N116" i="22" s="1"/>
  <c r="F109" i="22"/>
  <c r="J91" i="22"/>
  <c r="J104" i="22" s="1"/>
  <c r="J109" i="22"/>
  <c r="L105" i="22"/>
  <c r="L103" i="21"/>
  <c r="M6" i="28"/>
  <c r="N6" i="28" s="1"/>
  <c r="AC84" i="29"/>
  <c r="L10" i="28"/>
  <c r="H75" i="25" s="1"/>
  <c r="AD84" i="29" s="1"/>
  <c r="BC42" i="17"/>
  <c r="BF42" i="17" s="1"/>
  <c r="AB34" i="17"/>
  <c r="AE34" i="17" s="1"/>
  <c r="Z17" i="18"/>
  <c r="AC17" i="18" s="1"/>
  <c r="AC61" i="29"/>
  <c r="L8" i="28"/>
  <c r="H74" i="25" s="1"/>
  <c r="BE43" i="17" s="1"/>
  <c r="BA37" i="18"/>
  <c r="BD37" i="18" s="1"/>
  <c r="Z255" i="27"/>
  <c r="AB28" i="17"/>
  <c r="AE28" i="17" s="1"/>
  <c r="Z70" i="27"/>
  <c r="AB70" i="27" s="1"/>
  <c r="Z233" i="27"/>
  <c r="AB233" i="27" s="1"/>
  <c r="J161" i="27"/>
  <c r="J162" i="27" s="1"/>
  <c r="BA36" i="18"/>
  <c r="BD36" i="18" s="1"/>
  <c r="Z45" i="27"/>
  <c r="AB45" i="27" s="1"/>
  <c r="AC65" i="29"/>
  <c r="J132" i="29"/>
  <c r="J144" i="29" s="1"/>
  <c r="BC23" i="17"/>
  <c r="BF23" i="17" s="1"/>
  <c r="Z17" i="27"/>
  <c r="AB17" i="27" s="1"/>
  <c r="M157" i="27"/>
  <c r="M159" i="27" s="1"/>
  <c r="E94" i="29"/>
  <c r="E96" i="29" s="1"/>
  <c r="E99" i="29" s="1"/>
  <c r="AB65" i="17"/>
  <c r="AE65" i="17" s="1"/>
  <c r="Z95" i="27"/>
  <c r="Z105" i="27"/>
  <c r="S204" i="27"/>
  <c r="BC32" i="17"/>
  <c r="BF32" i="17" s="1"/>
  <c r="Z26" i="18"/>
  <c r="AC26" i="18" s="1"/>
  <c r="M161" i="27"/>
  <c r="M162" i="27" s="1"/>
  <c r="BC48" i="17"/>
  <c r="BF48" i="17" s="1"/>
  <c r="I87" i="17"/>
  <c r="AE19" i="18"/>
  <c r="AE32" i="18" s="1"/>
  <c r="Z67" i="27"/>
  <c r="Z130" i="27"/>
  <c r="AB130" i="27" s="1"/>
  <c r="K157" i="27"/>
  <c r="K159" i="27" s="1"/>
  <c r="Z183" i="27"/>
  <c r="AB183" i="27" s="1"/>
  <c r="Z232" i="27"/>
  <c r="Z260" i="27"/>
  <c r="AB260" i="27" s="1"/>
  <c r="S361" i="27"/>
  <c r="S365" i="27" s="1"/>
  <c r="M144" i="29"/>
  <c r="AC133" i="29"/>
  <c r="AE133" i="29" s="1"/>
  <c r="E189" i="29"/>
  <c r="E54" i="27"/>
  <c r="E57" i="27" s="1"/>
  <c r="E60" i="27" s="1"/>
  <c r="P34" i="27"/>
  <c r="P35" i="27" s="1"/>
  <c r="O14" i="26"/>
  <c r="P14" i="26" s="1"/>
  <c r="Q14" i="26" s="1"/>
  <c r="I2" i="24"/>
  <c r="G69" i="25"/>
  <c r="Z190" i="27"/>
  <c r="AB190" i="27" s="1"/>
  <c r="Z205" i="27"/>
  <c r="AB205" i="27" s="1"/>
  <c r="G214" i="27"/>
  <c r="Z214" i="27" s="1"/>
  <c r="AB214" i="27" s="1"/>
  <c r="V189" i="29"/>
  <c r="AC19" i="29"/>
  <c r="AE19" i="29" s="1"/>
  <c r="J59" i="27"/>
  <c r="S53" i="29"/>
  <c r="S54" i="29" s="1"/>
  <c r="BC74" i="17"/>
  <c r="BF74" i="17" s="1"/>
  <c r="Z28" i="18"/>
  <c r="AC28" i="18" s="1"/>
  <c r="Z69" i="27"/>
  <c r="AB69" i="27" s="1"/>
  <c r="Z94" i="27"/>
  <c r="AB94" i="27" s="1"/>
  <c r="Z185" i="27"/>
  <c r="AB185" i="27" s="1"/>
  <c r="H239" i="27"/>
  <c r="BC46" i="17"/>
  <c r="BF46" i="17" s="1"/>
  <c r="Z172" i="27"/>
  <c r="K239" i="27"/>
  <c r="AC179" i="29"/>
  <c r="AE179" i="29" s="1"/>
  <c r="Z104" i="27"/>
  <c r="AB104" i="27" s="1"/>
  <c r="Z228" i="27"/>
  <c r="AB228" i="27" s="1"/>
  <c r="AB32" i="17"/>
  <c r="AE32" i="17" s="1"/>
  <c r="Z99" i="27"/>
  <c r="AB99" i="27" s="1"/>
  <c r="S154" i="27"/>
  <c r="Z154" i="27" s="1"/>
  <c r="AB154" i="27" s="1"/>
  <c r="Z209" i="27"/>
  <c r="AB209" i="27" s="1"/>
  <c r="AK37" i="17"/>
  <c r="G196" i="27"/>
  <c r="BC65" i="17"/>
  <c r="BF65" i="17" s="1"/>
  <c r="H368" i="27"/>
  <c r="AE41" i="18"/>
  <c r="AE52" i="18" s="1"/>
  <c r="BA38" i="18"/>
  <c r="BD38" i="18" s="1"/>
  <c r="Z42" i="27"/>
  <c r="AB42" i="27" s="1"/>
  <c r="Z71" i="27"/>
  <c r="AB71" i="27" s="1"/>
  <c r="Z107" i="27"/>
  <c r="Z182" i="27"/>
  <c r="AB182" i="27" s="1"/>
  <c r="Z188" i="27"/>
  <c r="AB188" i="27" s="1"/>
  <c r="M239" i="27"/>
  <c r="E71" i="29"/>
  <c r="E73" i="29" s="1"/>
  <c r="Z230" i="27"/>
  <c r="AB230" i="27" s="1"/>
  <c r="Z79" i="27"/>
  <c r="AB79" i="27" s="1"/>
  <c r="BC75" i="17"/>
  <c r="BF75" i="17" s="1"/>
  <c r="BC84" i="17"/>
  <c r="BF84" i="17" s="1"/>
  <c r="C11" i="30"/>
  <c r="N157" i="27"/>
  <c r="N159" i="27" s="1"/>
  <c r="H71" i="29"/>
  <c r="H73" i="29" s="1"/>
  <c r="E120" i="29"/>
  <c r="E122" i="29" s="1"/>
  <c r="E125" i="29" s="1"/>
  <c r="P134" i="29"/>
  <c r="AC134" i="29" s="1"/>
  <c r="AE134" i="29" s="1"/>
  <c r="V177" i="29"/>
  <c r="AB42" i="17"/>
  <c r="AE42" i="17" s="1"/>
  <c r="Z171" i="27"/>
  <c r="BC34" i="17"/>
  <c r="BF34" i="17" s="1"/>
  <c r="AB74" i="17"/>
  <c r="AE74" i="17" s="1"/>
  <c r="I2" i="25"/>
  <c r="Z15" i="27"/>
  <c r="AB15" i="27" s="1"/>
  <c r="Z20" i="27"/>
  <c r="AB20" i="27" s="1"/>
  <c r="Z75" i="27"/>
  <c r="AB75" i="27" s="1"/>
  <c r="Z100" i="27"/>
  <c r="AB100" i="27" s="1"/>
  <c r="Z173" i="27"/>
  <c r="AB173" i="27" s="1"/>
  <c r="Z189" i="27"/>
  <c r="AB189" i="27" s="1"/>
  <c r="AC88" i="29"/>
  <c r="AE88" i="29" s="1"/>
  <c r="AC136" i="29"/>
  <c r="F130" i="21"/>
  <c r="D98" i="21"/>
  <c r="P98" i="21" s="1"/>
  <c r="D96" i="21"/>
  <c r="P96" i="21" s="1"/>
  <c r="P82" i="21"/>
  <c r="P32" i="21"/>
  <c r="L69" i="21"/>
  <c r="F92" i="21"/>
  <c r="N130" i="21"/>
  <c r="D144" i="21" s="1"/>
  <c r="N144" i="21" s="1"/>
  <c r="P144" i="21" s="1"/>
  <c r="X66" i="19"/>
  <c r="X68" i="19"/>
  <c r="X71" i="19"/>
  <c r="H144" i="20"/>
  <c r="H6" i="20" s="1"/>
  <c r="AB20" i="17"/>
  <c r="AE20" i="17" s="1"/>
  <c r="AB22" i="17"/>
  <c r="AE22" i="17" s="1"/>
  <c r="AV37" i="17"/>
  <c r="BC17" i="17"/>
  <c r="BF17" i="17" s="1"/>
  <c r="BC25" i="17"/>
  <c r="BF25" i="17" s="1"/>
  <c r="AB33" i="17"/>
  <c r="AE33" i="17" s="1"/>
  <c r="G274" i="27"/>
  <c r="AB72" i="17"/>
  <c r="AE72" i="17" s="1"/>
  <c r="T191" i="29"/>
  <c r="AT87" i="17"/>
  <c r="AV83" i="17"/>
  <c r="E367" i="27"/>
  <c r="N105" i="17"/>
  <c r="M109" i="17"/>
  <c r="P121" i="27"/>
  <c r="H33" i="29"/>
  <c r="K33" i="29"/>
  <c r="K34" i="29" s="1"/>
  <c r="J86" i="27"/>
  <c r="BC28" i="17"/>
  <c r="BF28" i="17" s="1"/>
  <c r="AB31" i="17"/>
  <c r="AE31" i="17" s="1"/>
  <c r="BC33" i="17"/>
  <c r="BF33" i="17" s="1"/>
  <c r="AB45" i="17"/>
  <c r="AE45" i="17" s="1"/>
  <c r="AB49" i="17"/>
  <c r="AE49" i="17" s="1"/>
  <c r="I78" i="17"/>
  <c r="AY78" i="17"/>
  <c r="AY89" i="17" s="1"/>
  <c r="S146" i="29"/>
  <c r="O31" i="28"/>
  <c r="P31" i="28" s="1"/>
  <c r="Q31" i="28" s="1"/>
  <c r="AB69" i="17"/>
  <c r="AE69" i="17" s="1"/>
  <c r="Q87" i="17"/>
  <c r="Y191" i="29"/>
  <c r="D13" i="21"/>
  <c r="D14" i="22"/>
  <c r="D13" i="20"/>
  <c r="M77" i="20"/>
  <c r="G6" i="25"/>
  <c r="BC93" i="17"/>
  <c r="F46" i="21"/>
  <c r="F60" i="21" s="1"/>
  <c r="F70" i="22"/>
  <c r="H36" i="24"/>
  <c r="G33" i="24" s="1"/>
  <c r="AC117" i="17"/>
  <c r="BC41" i="17"/>
  <c r="BF41" i="17" s="1"/>
  <c r="L78" i="17"/>
  <c r="BC60" i="17"/>
  <c r="BF60" i="17" s="1"/>
  <c r="H169" i="29"/>
  <c r="H170" i="29" s="1"/>
  <c r="K169" i="29"/>
  <c r="BC69" i="17"/>
  <c r="BF69" i="17" s="1"/>
  <c r="BC71" i="17"/>
  <c r="BF71" i="17" s="1"/>
  <c r="AQ78" i="17"/>
  <c r="AK87" i="17"/>
  <c r="AM81" i="17"/>
  <c r="AM87" i="17" s="1"/>
  <c r="D40" i="22"/>
  <c r="P40" i="22" s="1"/>
  <c r="AK30" i="18"/>
  <c r="AK32" i="18" s="1"/>
  <c r="AK52" i="18" s="1"/>
  <c r="AK59" i="18" s="1"/>
  <c r="AK63" i="18" s="1"/>
  <c r="AK78" i="18" s="1"/>
  <c r="K309" i="27"/>
  <c r="L52" i="17"/>
  <c r="AG37" i="17"/>
  <c r="M34" i="27"/>
  <c r="K124" i="29"/>
  <c r="K125" i="29" s="1"/>
  <c r="H124" i="29"/>
  <c r="H125" i="29" s="1"/>
  <c r="E52" i="17"/>
  <c r="G42" i="25"/>
  <c r="H20" i="21"/>
  <c r="N79" i="20" s="1"/>
  <c r="H22" i="22"/>
  <c r="E51" i="20"/>
  <c r="BA26" i="18"/>
  <c r="BD26" i="18" s="1"/>
  <c r="AR30" i="18"/>
  <c r="AR32" i="18" s="1"/>
  <c r="AR52" i="18" s="1"/>
  <c r="AR59" i="18" s="1"/>
  <c r="AR63" i="18" s="1"/>
  <c r="AR78" i="18" s="1"/>
  <c r="P309" i="27"/>
  <c r="AG52" i="17"/>
  <c r="O274" i="27"/>
  <c r="O265" i="27"/>
  <c r="P274" i="27"/>
  <c r="G18" i="24"/>
  <c r="AC98" i="17" s="1"/>
  <c r="D73" i="22"/>
  <c r="P73" i="22" s="1"/>
  <c r="D49" i="21"/>
  <c r="E86" i="20"/>
  <c r="T87" i="20" s="1"/>
  <c r="T93" i="20" s="1"/>
  <c r="H55" i="24"/>
  <c r="J70" i="22"/>
  <c r="J46" i="21"/>
  <c r="S33" i="29"/>
  <c r="H53" i="29"/>
  <c r="K53" i="29"/>
  <c r="AB23" i="17"/>
  <c r="AE23" i="17" s="1"/>
  <c r="S86" i="27"/>
  <c r="O56" i="26"/>
  <c r="BC35" i="17"/>
  <c r="BF35" i="17" s="1"/>
  <c r="AB60" i="17"/>
  <c r="AE60" i="17" s="1"/>
  <c r="K196" i="27"/>
  <c r="K197" i="27" s="1"/>
  <c r="O19" i="26"/>
  <c r="P19" i="26" s="1"/>
  <c r="Q19" i="26" s="1"/>
  <c r="M196" i="27"/>
  <c r="G218" i="27"/>
  <c r="Q274" i="27"/>
  <c r="AB81" i="17"/>
  <c r="H87" i="17"/>
  <c r="P10" i="19"/>
  <c r="P25" i="19" s="1"/>
  <c r="BC97" i="17"/>
  <c r="BA25" i="18"/>
  <c r="BD25" i="18" s="1"/>
  <c r="Q191" i="29"/>
  <c r="AS83" i="17"/>
  <c r="J15" i="22"/>
  <c r="G56" i="25"/>
  <c r="J14" i="21"/>
  <c r="J28" i="21" s="1"/>
  <c r="E68" i="20" s="1"/>
  <c r="J33" i="29"/>
  <c r="M33" i="29"/>
  <c r="O12" i="28"/>
  <c r="P12" i="28" s="1"/>
  <c r="Q12" i="28" s="1"/>
  <c r="AK52" i="17"/>
  <c r="AB41" i="17"/>
  <c r="AE41" i="17" s="1"/>
  <c r="AB43" i="17"/>
  <c r="AE43" i="17" s="1"/>
  <c r="W78" i="17"/>
  <c r="W89" i="17" s="1"/>
  <c r="N196" i="27"/>
  <c r="H218" i="27"/>
  <c r="H219" i="27" s="1"/>
  <c r="J218" i="27"/>
  <c r="BC66" i="17"/>
  <c r="BF66" i="17" s="1"/>
  <c r="E241" i="27"/>
  <c r="BC82" i="17"/>
  <c r="BF82" i="17" s="1"/>
  <c r="AB84" i="17"/>
  <c r="AE84" i="17" s="1"/>
  <c r="AY109" i="17"/>
  <c r="AY112" i="17" s="1"/>
  <c r="G21" i="25"/>
  <c r="E22" i="20"/>
  <c r="G22" i="20" s="1"/>
  <c r="D17" i="22"/>
  <c r="P17" i="22" s="1"/>
  <c r="D16" i="21"/>
  <c r="AB104" i="17"/>
  <c r="AO19" i="18"/>
  <c r="AQ19" i="18"/>
  <c r="AW30" i="18"/>
  <c r="H146" i="29"/>
  <c r="H147" i="29" s="1"/>
  <c r="K146" i="29"/>
  <c r="K147" i="29" s="1"/>
  <c r="P146" i="29"/>
  <c r="O25" i="28"/>
  <c r="BC30" i="17"/>
  <c r="BF30" i="17" s="1"/>
  <c r="AP37" i="17"/>
  <c r="AB17" i="17"/>
  <c r="AE17" i="17" s="1"/>
  <c r="Q34" i="27"/>
  <c r="G59" i="27"/>
  <c r="M53" i="29"/>
  <c r="J53" i="29"/>
  <c r="J54" i="29" s="1"/>
  <c r="O54" i="17"/>
  <c r="AQ37" i="17"/>
  <c r="V33" i="29"/>
  <c r="V34" i="29" s="1"/>
  <c r="O60" i="28"/>
  <c r="P60" i="28" s="1"/>
  <c r="Q60" i="28" s="1"/>
  <c r="G309" i="27"/>
  <c r="H52" i="17"/>
  <c r="AP52" i="17"/>
  <c r="E75" i="29"/>
  <c r="AB50" i="17"/>
  <c r="AE50" i="17" s="1"/>
  <c r="AG78" i="17"/>
  <c r="AG89" i="17" s="1"/>
  <c r="Q196" i="27"/>
  <c r="S196" i="27"/>
  <c r="K218" i="27"/>
  <c r="K219" i="27" s="1"/>
  <c r="O23" i="26"/>
  <c r="P23" i="26" s="1"/>
  <c r="Q23" i="26" s="1"/>
  <c r="M218" i="27"/>
  <c r="AB73" i="17"/>
  <c r="AE73" i="17" s="1"/>
  <c r="K87" i="17"/>
  <c r="BC85" i="17"/>
  <c r="BF85" i="17" s="1"/>
  <c r="Q367" i="27"/>
  <c r="Q368" i="27" s="1"/>
  <c r="G26" i="25"/>
  <c r="D20" i="22"/>
  <c r="P20" i="22" s="1"/>
  <c r="D19" i="21"/>
  <c r="D33" i="21" s="1"/>
  <c r="E35" i="20"/>
  <c r="T9" i="20" s="1"/>
  <c r="BC105" i="17"/>
  <c r="Z16" i="18"/>
  <c r="Z23" i="18"/>
  <c r="AC23" i="18" s="1"/>
  <c r="AB82" i="17"/>
  <c r="AE82" i="17" s="1"/>
  <c r="BC44" i="17"/>
  <c r="BF44" i="17" s="1"/>
  <c r="AB83" i="17"/>
  <c r="AB30" i="17"/>
  <c r="AE30" i="17" s="1"/>
  <c r="H309" i="27"/>
  <c r="H310" i="27" s="1"/>
  <c r="I52" i="17"/>
  <c r="AK78" i="17"/>
  <c r="O78" i="17"/>
  <c r="O89" i="17" s="1"/>
  <c r="BC63" i="17"/>
  <c r="BF63" i="17" s="1"/>
  <c r="N218" i="27"/>
  <c r="N219" i="27" s="1"/>
  <c r="P218" i="27"/>
  <c r="P219" i="27" s="1"/>
  <c r="BC76" i="17"/>
  <c r="BF76" i="17" s="1"/>
  <c r="N87" i="17"/>
  <c r="BA17" i="18"/>
  <c r="BD17" i="18" s="1"/>
  <c r="AI86" i="18"/>
  <c r="AI78" i="18"/>
  <c r="F86" i="27"/>
  <c r="F87" i="27" s="1"/>
  <c r="F72" i="27"/>
  <c r="G72" i="27" s="1"/>
  <c r="G82" i="27" s="1"/>
  <c r="G84" i="27" s="1"/>
  <c r="N59" i="27"/>
  <c r="N60" i="27" s="1"/>
  <c r="P59" i="27"/>
  <c r="AB25" i="17"/>
  <c r="AE25" i="17" s="1"/>
  <c r="AB35" i="17"/>
  <c r="AE35" i="17" s="1"/>
  <c r="J309" i="27"/>
  <c r="K52" i="17"/>
  <c r="AB44" i="17"/>
  <c r="AE44" i="17" s="1"/>
  <c r="BC49" i="17"/>
  <c r="BF49" i="17" s="1"/>
  <c r="AQ52" i="17"/>
  <c r="AP78" i="17"/>
  <c r="AB63" i="17"/>
  <c r="AE63" i="17" s="1"/>
  <c r="AB66" i="17"/>
  <c r="AE66" i="17" s="1"/>
  <c r="BC72" i="17"/>
  <c r="BF72" i="17" s="1"/>
  <c r="AB98" i="17"/>
  <c r="AB99" i="17"/>
  <c r="AE99" i="17" s="1"/>
  <c r="D54" i="20"/>
  <c r="G46" i="25"/>
  <c r="H14" i="21"/>
  <c r="H28" i="21" s="1"/>
  <c r="H15" i="22"/>
  <c r="AL78" i="18"/>
  <c r="AL86" i="18"/>
  <c r="T52" i="17"/>
  <c r="G52" i="25"/>
  <c r="J14" i="22"/>
  <c r="J13" i="21"/>
  <c r="BC98" i="17"/>
  <c r="H46" i="21"/>
  <c r="H60" i="21" s="1"/>
  <c r="H70" i="22"/>
  <c r="G42" i="24"/>
  <c r="G23" i="24"/>
  <c r="D75" i="22"/>
  <c r="P75" i="22" s="1"/>
  <c r="D51" i="21"/>
  <c r="D65" i="21" s="1"/>
  <c r="D89" i="20"/>
  <c r="T86" i="18"/>
  <c r="T78" i="18"/>
  <c r="T82" i="18" s="1"/>
  <c r="Z36" i="18"/>
  <c r="AC36" i="18" s="1"/>
  <c r="AQ41" i="18"/>
  <c r="W52" i="17"/>
  <c r="W54" i="17" s="1"/>
  <c r="AQ87" i="17"/>
  <c r="AS81" i="17"/>
  <c r="AS87" i="17" s="1"/>
  <c r="H10" i="19"/>
  <c r="BC95" i="17"/>
  <c r="D17" i="21"/>
  <c r="D18" i="22"/>
  <c r="P18" i="22" s="1"/>
  <c r="E31" i="20"/>
  <c r="U9" i="20" s="1"/>
  <c r="G22" i="25"/>
  <c r="BD98" i="17" s="1"/>
  <c r="D96" i="22"/>
  <c r="P96" i="22" s="1"/>
  <c r="AN32" i="18"/>
  <c r="AN52" i="18" s="1"/>
  <c r="AN59" i="18" s="1"/>
  <c r="AN63" i="18" s="1"/>
  <c r="AN78" i="18" s="1"/>
  <c r="AH19" i="18"/>
  <c r="AH30" i="18"/>
  <c r="BA22" i="18"/>
  <c r="R87" i="17"/>
  <c r="R89" i="17" s="1"/>
  <c r="T87" i="17"/>
  <c r="AN30" i="18"/>
  <c r="BA27" i="18"/>
  <c r="BD27" i="18" s="1"/>
  <c r="AH41" i="18"/>
  <c r="BA35" i="18"/>
  <c r="G75" i="29"/>
  <c r="O10" i="28"/>
  <c r="G98" i="29"/>
  <c r="P161" i="27"/>
  <c r="S124" i="29"/>
  <c r="S125" i="29" s="1"/>
  <c r="S169" i="29"/>
  <c r="AW114" i="17"/>
  <c r="AT78" i="17"/>
  <c r="AO30" i="18"/>
  <c r="AQ30" i="18"/>
  <c r="G76" i="18"/>
  <c r="H75" i="29"/>
  <c r="H76" i="29" s="1"/>
  <c r="K75" i="29"/>
  <c r="K76" i="29" s="1"/>
  <c r="I103" i="27"/>
  <c r="I121" i="27"/>
  <c r="K98" i="29"/>
  <c r="K99" i="29" s="1"/>
  <c r="H98" i="29"/>
  <c r="H99" i="29" s="1"/>
  <c r="O65" i="28"/>
  <c r="P65" i="28" s="1"/>
  <c r="Q65" i="28" s="1"/>
  <c r="T169" i="29"/>
  <c r="J241" i="27"/>
  <c r="O15" i="26"/>
  <c r="P15" i="26" s="1"/>
  <c r="Q15" i="26" s="1"/>
  <c r="AB71" i="17"/>
  <c r="AE71" i="17" s="1"/>
  <c r="AL9" i="32" s="1"/>
  <c r="AQ8" i="34" s="1"/>
  <c r="AQ10" i="34" s="1"/>
  <c r="D59" i="21"/>
  <c r="AT30" i="18"/>
  <c r="AT32" i="18" s="1"/>
  <c r="AT52" i="18" s="1"/>
  <c r="AT59" i="18" s="1"/>
  <c r="AT63" i="18" s="1"/>
  <c r="AT78" i="18" s="1"/>
  <c r="J121" i="27"/>
  <c r="O16" i="26"/>
  <c r="M98" i="29"/>
  <c r="M99" i="29" s="1"/>
  <c r="J98" i="29"/>
  <c r="O16" i="28"/>
  <c r="P16" i="28" s="1"/>
  <c r="Q16" i="28" s="1"/>
  <c r="E78" i="17"/>
  <c r="E89" i="17" s="1"/>
  <c r="V169" i="29"/>
  <c r="K241" i="27"/>
  <c r="O21" i="26"/>
  <c r="P21" i="26" s="1"/>
  <c r="Q21" i="26" s="1"/>
  <c r="M274" i="27"/>
  <c r="AB76" i="17"/>
  <c r="AE76" i="17" s="1"/>
  <c r="AB85" i="17"/>
  <c r="AE85" i="17" s="1"/>
  <c r="L87" i="17"/>
  <c r="E398" i="27"/>
  <c r="H18" i="25"/>
  <c r="D21" i="20"/>
  <c r="D14" i="21"/>
  <c r="D15" i="22"/>
  <c r="W109" i="17"/>
  <c r="W112" i="17" s="1"/>
  <c r="AW19" i="18"/>
  <c r="M86" i="27"/>
  <c r="M87" i="27" s="1"/>
  <c r="P75" i="29"/>
  <c r="K121" i="27"/>
  <c r="K122" i="27" s="1"/>
  <c r="O22" i="26"/>
  <c r="P22" i="26" s="1"/>
  <c r="Q22" i="26" s="1"/>
  <c r="O28" i="28"/>
  <c r="P28" i="28" s="1"/>
  <c r="Q28" i="28" s="1"/>
  <c r="P98" i="29"/>
  <c r="M241" i="27"/>
  <c r="M242" i="27" s="1"/>
  <c r="K191" i="29"/>
  <c r="K192" i="29" s="1"/>
  <c r="H191" i="29"/>
  <c r="H192" i="29" s="1"/>
  <c r="BC70" i="17"/>
  <c r="BF70" i="17" s="1"/>
  <c r="G28" i="24"/>
  <c r="M367" i="27"/>
  <c r="F45" i="21"/>
  <c r="BA24" i="18"/>
  <c r="BD24" i="18" s="1"/>
  <c r="Z38" i="18"/>
  <c r="AC38" i="18" s="1"/>
  <c r="S78" i="18"/>
  <c r="S82" i="18" s="1"/>
  <c r="AU78" i="18"/>
  <c r="AU86" i="18"/>
  <c r="O227" i="27"/>
  <c r="O241" i="27"/>
  <c r="AJ87" i="17"/>
  <c r="P367" i="27"/>
  <c r="G38" i="24"/>
  <c r="H69" i="22"/>
  <c r="P69" i="22" s="1"/>
  <c r="H45" i="21"/>
  <c r="N76" i="20"/>
  <c r="AJ104" i="17"/>
  <c r="BC104" i="17" s="1"/>
  <c r="BF104" i="17" s="1"/>
  <c r="V78" i="18"/>
  <c r="V82" i="18" s="1"/>
  <c r="BA23" i="18"/>
  <c r="BD23" i="18" s="1"/>
  <c r="V35" i="27"/>
  <c r="AB128" i="27"/>
  <c r="F13" i="21"/>
  <c r="G30" i="25"/>
  <c r="F14" i="22"/>
  <c r="D38" i="20"/>
  <c r="BA57" i="18"/>
  <c r="AR41" i="18"/>
  <c r="N56" i="22"/>
  <c r="N58" i="22" s="1"/>
  <c r="N60" i="22" s="1"/>
  <c r="H76" i="18"/>
  <c r="L36" i="21"/>
  <c r="AQ57" i="18"/>
  <c r="J76" i="18"/>
  <c r="AH76" i="18"/>
  <c r="AR94" i="18"/>
  <c r="AT94" i="18" s="1"/>
  <c r="BA94" i="18" s="1"/>
  <c r="AT87" i="18"/>
  <c r="BA87" i="18" s="1"/>
  <c r="Z66" i="18"/>
  <c r="Z70" i="18"/>
  <c r="AC70" i="18" s="1"/>
  <c r="R105" i="17" s="1"/>
  <c r="T105" i="17" s="1"/>
  <c r="I144" i="20"/>
  <c r="BD55" i="18"/>
  <c r="BD57" i="18" s="1"/>
  <c r="L58" i="22"/>
  <c r="L60" i="22" s="1"/>
  <c r="M29" i="27"/>
  <c r="M32" i="27" s="1"/>
  <c r="M191" i="29"/>
  <c r="M192" i="29" s="1"/>
  <c r="J191" i="29"/>
  <c r="J192" i="29" s="1"/>
  <c r="L45" i="22"/>
  <c r="L62" i="22" s="1"/>
  <c r="AA35" i="27"/>
  <c r="Q29" i="27"/>
  <c r="Q32" i="27" s="1"/>
  <c r="S25" i="27"/>
  <c r="S29" i="27" s="1"/>
  <c r="S32" i="27" s="1"/>
  <c r="P191" i="29"/>
  <c r="J367" i="27"/>
  <c r="G6" i="24"/>
  <c r="M76" i="20"/>
  <c r="H14" i="24"/>
  <c r="D70" i="22"/>
  <c r="D46" i="21"/>
  <c r="D50" i="21"/>
  <c r="G22" i="24"/>
  <c r="H41" i="22"/>
  <c r="H53" i="22" s="1"/>
  <c r="AE50" i="18"/>
  <c r="AE59" i="18" s="1"/>
  <c r="AE63" i="18" s="1"/>
  <c r="Z56" i="18"/>
  <c r="AC56" i="18" s="1"/>
  <c r="BA66" i="18"/>
  <c r="S94" i="18"/>
  <c r="H35" i="27"/>
  <c r="AH50" i="18"/>
  <c r="Z55" i="18"/>
  <c r="AH57" i="18"/>
  <c r="L97" i="22"/>
  <c r="L101" i="22" s="1"/>
  <c r="I101" i="24"/>
  <c r="AD183" i="29"/>
  <c r="AE183" i="29" s="1"/>
  <c r="AA102" i="27"/>
  <c r="P56" i="26"/>
  <c r="Q56" i="26" s="1"/>
  <c r="H60" i="27"/>
  <c r="AD62" i="29"/>
  <c r="AE62" i="29"/>
  <c r="AE65" i="29"/>
  <c r="J29" i="27"/>
  <c r="J32" i="27" s="1"/>
  <c r="AA255" i="27"/>
  <c r="AB255" i="27" s="1"/>
  <c r="D104" i="22"/>
  <c r="N57" i="26"/>
  <c r="G71" i="24"/>
  <c r="AC83" i="17" s="1"/>
  <c r="S54" i="27"/>
  <c r="S57" i="27" s="1"/>
  <c r="S60" i="27" s="1"/>
  <c r="Z51" i="27"/>
  <c r="P231" i="27"/>
  <c r="Z231" i="27" s="1"/>
  <c r="AB231" i="27" s="1"/>
  <c r="N239" i="27"/>
  <c r="N242" i="27" s="1"/>
  <c r="H62" i="24"/>
  <c r="AA67" i="27" s="1"/>
  <c r="AB67" i="27" s="1"/>
  <c r="V54" i="27"/>
  <c r="V57" i="27" s="1"/>
  <c r="V60" i="27" s="1"/>
  <c r="AB68" i="27"/>
  <c r="AA170" i="27"/>
  <c r="AA187" i="27"/>
  <c r="AB187" i="27" s="1"/>
  <c r="E82" i="27"/>
  <c r="E84" i="27" s="1"/>
  <c r="E87" i="27" s="1"/>
  <c r="S117" i="27"/>
  <c r="S119" i="27" s="1"/>
  <c r="S122" i="27" s="1"/>
  <c r="AB107" i="27"/>
  <c r="F110" i="22"/>
  <c r="N35" i="27"/>
  <c r="E157" i="27"/>
  <c r="E159" i="27" s="1"/>
  <c r="E162" i="27" s="1"/>
  <c r="K162" i="27"/>
  <c r="N194" i="27"/>
  <c r="N197" i="27" s="1"/>
  <c r="P179" i="27"/>
  <c r="P194" i="27" s="1"/>
  <c r="AD178" i="29"/>
  <c r="V332" i="27"/>
  <c r="V335" i="27" s="1"/>
  <c r="Z318" i="27"/>
  <c r="AB318" i="27" s="1"/>
  <c r="K60" i="27"/>
  <c r="L10" i="26"/>
  <c r="E117" i="27"/>
  <c r="E119" i="27" s="1"/>
  <c r="E122" i="27" s="1"/>
  <c r="Q162" i="27"/>
  <c r="Z169" i="27"/>
  <c r="G194" i="27"/>
  <c r="Z237" i="27"/>
  <c r="AB237" i="27" s="1"/>
  <c r="G239" i="27"/>
  <c r="J66" i="27"/>
  <c r="J82" i="27" s="1"/>
  <c r="J84" i="27" s="1"/>
  <c r="H82" i="27"/>
  <c r="H84" i="27" s="1"/>
  <c r="H87" i="27" s="1"/>
  <c r="V157" i="27"/>
  <c r="V159" i="27" s="1"/>
  <c r="V162" i="27" s="1"/>
  <c r="V194" i="27"/>
  <c r="V197" i="27" s="1"/>
  <c r="Z176" i="27"/>
  <c r="L7" i="26"/>
  <c r="Z96" i="27"/>
  <c r="AB96" i="27" s="1"/>
  <c r="J102" i="27"/>
  <c r="Z102" i="27" s="1"/>
  <c r="H117" i="27"/>
  <c r="H119" i="27" s="1"/>
  <c r="H122" i="27" s="1"/>
  <c r="M194" i="27"/>
  <c r="M197" i="27" s="1"/>
  <c r="AA172" i="27"/>
  <c r="AB172" i="27" s="1"/>
  <c r="Q219" i="27"/>
  <c r="P253" i="27"/>
  <c r="Z253" i="27" s="1"/>
  <c r="AB253" i="27" s="1"/>
  <c r="N272" i="27"/>
  <c r="N275" i="27" s="1"/>
  <c r="V117" i="27"/>
  <c r="V119" i="27" s="1"/>
  <c r="V122" i="27" s="1"/>
  <c r="AD170" i="29"/>
  <c r="M117" i="27"/>
  <c r="M119" i="27" s="1"/>
  <c r="M122" i="27" s="1"/>
  <c r="P310" i="27"/>
  <c r="S332" i="27"/>
  <c r="S335" i="27" s="1"/>
  <c r="P34" i="29"/>
  <c r="Y147" i="29"/>
  <c r="M9" i="26"/>
  <c r="N9" i="26" s="1"/>
  <c r="E29" i="27"/>
  <c r="E32" i="27" s="1"/>
  <c r="E35" i="27" s="1"/>
  <c r="P54" i="27"/>
  <c r="P57" i="27" s="1"/>
  <c r="P60" i="27" s="1"/>
  <c r="V82" i="27"/>
  <c r="V84" i="27" s="1"/>
  <c r="V87" i="27" s="1"/>
  <c r="Z76" i="27"/>
  <c r="AB76" i="27" s="1"/>
  <c r="M8" i="26"/>
  <c r="Z98" i="27"/>
  <c r="AB98" i="27" s="1"/>
  <c r="P117" i="27"/>
  <c r="P119" i="27" s="1"/>
  <c r="Z112" i="27"/>
  <c r="AB112" i="27" s="1"/>
  <c r="M10" i="26"/>
  <c r="G117" i="27"/>
  <c r="G119" i="27" s="1"/>
  <c r="Q122" i="27"/>
  <c r="V272" i="27"/>
  <c r="V275" i="27" s="1"/>
  <c r="S257" i="27"/>
  <c r="Z257" i="27" s="1"/>
  <c r="AB257" i="27" s="1"/>
  <c r="Q272" i="27"/>
  <c r="Q275" i="27" s="1"/>
  <c r="M7" i="26"/>
  <c r="N16" i="26"/>
  <c r="G25" i="27"/>
  <c r="K35" i="27"/>
  <c r="Z134" i="27"/>
  <c r="AB134" i="27" s="1"/>
  <c r="H242" i="27"/>
  <c r="Z21" i="27"/>
  <c r="AB21" i="27" s="1"/>
  <c r="Z27" i="27"/>
  <c r="AB27" i="27" s="1"/>
  <c r="Z44" i="27"/>
  <c r="AB44" i="27" s="1"/>
  <c r="S157" i="27"/>
  <c r="S159" i="27" s="1"/>
  <c r="S162" i="27" s="1"/>
  <c r="AB171" i="27"/>
  <c r="AA171" i="27"/>
  <c r="G54" i="27"/>
  <c r="G57" i="27" s="1"/>
  <c r="P82" i="27"/>
  <c r="P84" i="27" s="1"/>
  <c r="P87" i="27" s="1"/>
  <c r="Z97" i="27"/>
  <c r="AB97" i="27" s="1"/>
  <c r="N162" i="27"/>
  <c r="Q194" i="27"/>
  <c r="Q197" i="27" s="1"/>
  <c r="V368" i="27"/>
  <c r="S147" i="29"/>
  <c r="T170" i="29"/>
  <c r="S82" i="27"/>
  <c r="S84" i="27" s="1"/>
  <c r="G157" i="27"/>
  <c r="G159" i="27" s="1"/>
  <c r="G162" i="27" s="1"/>
  <c r="Z155" i="27"/>
  <c r="AB155" i="27" s="1"/>
  <c r="M219" i="27"/>
  <c r="Z294" i="27"/>
  <c r="AB294" i="27" s="1"/>
  <c r="V396" i="27"/>
  <c r="V399" i="27" s="1"/>
  <c r="Z375" i="27"/>
  <c r="Z254" i="27"/>
  <c r="AB254" i="27" s="1"/>
  <c r="AA362" i="27"/>
  <c r="AB362" i="27" s="1"/>
  <c r="Y54" i="29"/>
  <c r="AC69" i="29"/>
  <c r="AE69" i="29" s="1"/>
  <c r="M8" i="28"/>
  <c r="AC120" i="29"/>
  <c r="AC122" i="29" s="1"/>
  <c r="AE105" i="29"/>
  <c r="AE120" i="29" s="1"/>
  <c r="AE122" i="29" s="1"/>
  <c r="Z111" i="27"/>
  <c r="AB111" i="27" s="1"/>
  <c r="Z129" i="27"/>
  <c r="AB129" i="27" s="1"/>
  <c r="Z170" i="27"/>
  <c r="J239" i="27"/>
  <c r="AA232" i="27"/>
  <c r="AB232" i="27" s="1"/>
  <c r="V307" i="27"/>
  <c r="V310" i="27" s="1"/>
  <c r="J54" i="27"/>
  <c r="J57" i="27" s="1"/>
  <c r="Z184" i="27"/>
  <c r="AB184" i="27" s="1"/>
  <c r="AA206" i="27"/>
  <c r="AB206" i="27" s="1"/>
  <c r="G272" i="27"/>
  <c r="J307" i="27"/>
  <c r="J332" i="27"/>
  <c r="J335" i="27" s="1"/>
  <c r="Z347" i="27"/>
  <c r="AB347" i="27" s="1"/>
  <c r="K54" i="29"/>
  <c r="H65" i="24"/>
  <c r="AA95" i="27" s="1"/>
  <c r="AB95" i="27" s="1"/>
  <c r="M54" i="27"/>
  <c r="M57" i="27" s="1"/>
  <c r="M60" i="27" s="1"/>
  <c r="Z52" i="27"/>
  <c r="AB52" i="27" s="1"/>
  <c r="Z144" i="27"/>
  <c r="AB144" i="27" s="1"/>
  <c r="H272" i="27"/>
  <c r="H275" i="27" s="1"/>
  <c r="K272" i="27"/>
  <c r="K275" i="27" s="1"/>
  <c r="M251" i="27"/>
  <c r="Z251" i="27" s="1"/>
  <c r="Z320" i="27"/>
  <c r="Z110" i="27"/>
  <c r="E194" i="27"/>
  <c r="E197" i="27" s="1"/>
  <c r="Z181" i="27"/>
  <c r="AB181" i="27" s="1"/>
  <c r="S216" i="27"/>
  <c r="Z204" i="27"/>
  <c r="Q239" i="27"/>
  <c r="Q242" i="27" s="1"/>
  <c r="S226" i="27"/>
  <c r="S239" i="27" s="1"/>
  <c r="J272" i="27"/>
  <c r="Z289" i="27"/>
  <c r="AB289" i="27" s="1"/>
  <c r="K310" i="27"/>
  <c r="E28" i="29"/>
  <c r="E31" i="29" s="1"/>
  <c r="E34" i="29" s="1"/>
  <c r="Z186" i="27"/>
  <c r="AB186" i="27" s="1"/>
  <c r="Z360" i="27"/>
  <c r="P54" i="29"/>
  <c r="T76" i="29"/>
  <c r="V147" i="29"/>
  <c r="AC178" i="29"/>
  <c r="T192" i="29"/>
  <c r="T193" i="29" s="1"/>
  <c r="P157" i="27"/>
  <c r="P159" i="27" s="1"/>
  <c r="M332" i="27"/>
  <c r="M335" i="27" s="1"/>
  <c r="G365" i="27"/>
  <c r="V99" i="29"/>
  <c r="P125" i="29"/>
  <c r="S167" i="29"/>
  <c r="S170" i="29" s="1"/>
  <c r="W170" i="29"/>
  <c r="H162" i="27"/>
  <c r="Z192" i="27"/>
  <c r="AB192" i="27" s="1"/>
  <c r="V239" i="27"/>
  <c r="V242" i="27" s="1"/>
  <c r="E239" i="27"/>
  <c r="G307" i="27"/>
  <c r="Z283" i="27"/>
  <c r="Z296" i="27"/>
  <c r="AB296" i="27" s="1"/>
  <c r="P332" i="27"/>
  <c r="P335" i="27" s="1"/>
  <c r="S396" i="27"/>
  <c r="S399" i="27" s="1"/>
  <c r="Z378" i="27"/>
  <c r="AB378" i="27" s="1"/>
  <c r="E48" i="29"/>
  <c r="E51" i="29" s="1"/>
  <c r="E54" i="29" s="1"/>
  <c r="Q54" i="29"/>
  <c r="T125" i="29"/>
  <c r="Z208" i="27"/>
  <c r="AB208" i="27" s="1"/>
  <c r="Z211" i="27"/>
  <c r="AB211" i="27" s="1"/>
  <c r="Z236" i="27"/>
  <c r="AB236" i="27" s="1"/>
  <c r="Z256" i="27"/>
  <c r="AB256" i="27" s="1"/>
  <c r="E272" i="27"/>
  <c r="E275" i="27" s="1"/>
  <c r="Z319" i="27"/>
  <c r="Z324" i="27"/>
  <c r="AB324" i="27" s="1"/>
  <c r="G396" i="27"/>
  <c r="T34" i="29"/>
  <c r="S194" i="27"/>
  <c r="S197" i="27" s="1"/>
  <c r="K365" i="27"/>
  <c r="K368" i="27" s="1"/>
  <c r="AB377" i="27"/>
  <c r="AA377" i="27"/>
  <c r="E399" i="27"/>
  <c r="M48" i="29"/>
  <c r="M51" i="29" s="1"/>
  <c r="Y99" i="29"/>
  <c r="Y125" i="29"/>
  <c r="N147" i="29"/>
  <c r="AC154" i="29"/>
  <c r="P167" i="29"/>
  <c r="P189" i="29"/>
  <c r="Z285" i="27"/>
  <c r="Z317" i="27"/>
  <c r="Z345" i="27"/>
  <c r="M361" i="27"/>
  <c r="M365" i="27" s="1"/>
  <c r="M396" i="27"/>
  <c r="M399" i="27" s="1"/>
  <c r="J396" i="27"/>
  <c r="J399" i="27" s="1"/>
  <c r="Z180" i="27"/>
  <c r="AB180" i="27" s="1"/>
  <c r="G216" i="27"/>
  <c r="G219" i="27" s="1"/>
  <c r="E219" i="27"/>
  <c r="Z262" i="27"/>
  <c r="AB262" i="27" s="1"/>
  <c r="S307" i="27"/>
  <c r="S310" i="27" s="1"/>
  <c r="G332" i="27"/>
  <c r="G335" i="27" s="1"/>
  <c r="Z321" i="27"/>
  <c r="AB321" i="27" s="1"/>
  <c r="Z328" i="27"/>
  <c r="AB328" i="27" s="1"/>
  <c r="Z342" i="27"/>
  <c r="Z359" i="27"/>
  <c r="N365" i="27"/>
  <c r="N368" i="27" s="1"/>
  <c r="P361" i="27"/>
  <c r="P365" i="27" s="1"/>
  <c r="Z392" i="27"/>
  <c r="AB392" i="27" s="1"/>
  <c r="Q147" i="29"/>
  <c r="J216" i="27"/>
  <c r="J219" i="27" s="1"/>
  <c r="Z207" i="27"/>
  <c r="AB207" i="27" s="1"/>
  <c r="AB250" i="27"/>
  <c r="Z252" i="27"/>
  <c r="Z266" i="27"/>
  <c r="AB266" i="27" s="1"/>
  <c r="J365" i="27"/>
  <c r="V54" i="29"/>
  <c r="M71" i="29"/>
  <c r="M73" i="29" s="1"/>
  <c r="M76" i="29" s="1"/>
  <c r="AC66" i="29"/>
  <c r="AC159" i="29"/>
  <c r="P396" i="27"/>
  <c r="P399" i="27" s="1"/>
  <c r="AC17" i="29"/>
  <c r="AE17" i="29" s="1"/>
  <c r="Y28" i="29"/>
  <c r="Y31" i="29" s="1"/>
  <c r="Y34" i="29" s="1"/>
  <c r="AC42" i="29"/>
  <c r="AE42" i="29" s="1"/>
  <c r="P71" i="29"/>
  <c r="P73" i="29" s="1"/>
  <c r="AE84" i="29"/>
  <c r="AD136" i="29"/>
  <c r="AE136" i="29" s="1"/>
  <c r="E192" i="29"/>
  <c r="E368" i="27"/>
  <c r="P25" i="28"/>
  <c r="Q25" i="28" s="1"/>
  <c r="AE40" i="29"/>
  <c r="Y71" i="29"/>
  <c r="Y73" i="29" s="1"/>
  <c r="Y76" i="29" s="1"/>
  <c r="J94" i="29"/>
  <c r="J96" i="29" s="1"/>
  <c r="G144" i="29"/>
  <c r="AC182" i="29"/>
  <c r="AE182" i="29" s="1"/>
  <c r="P33" i="28"/>
  <c r="Q33" i="28" s="1"/>
  <c r="G48" i="29"/>
  <c r="G51" i="29" s="1"/>
  <c r="G54" i="29" s="1"/>
  <c r="V120" i="29"/>
  <c r="V122" i="29" s="1"/>
  <c r="V125" i="29" s="1"/>
  <c r="G120" i="29"/>
  <c r="G122" i="29" s="1"/>
  <c r="G125" i="29" s="1"/>
  <c r="K170" i="29"/>
  <c r="S177" i="29"/>
  <c r="S189" i="29" s="1"/>
  <c r="Q189" i="29"/>
  <c r="Z384" i="27"/>
  <c r="AB384" i="27" s="1"/>
  <c r="G28" i="29"/>
  <c r="G31" i="29" s="1"/>
  <c r="H54" i="29"/>
  <c r="Q99" i="29"/>
  <c r="Q125" i="29"/>
  <c r="J167" i="29"/>
  <c r="J24" i="29"/>
  <c r="J28" i="29" s="1"/>
  <c r="J31" i="29" s="1"/>
  <c r="H28" i="29"/>
  <c r="H31" i="29" s="1"/>
  <c r="S28" i="29"/>
  <c r="S31" i="29" s="1"/>
  <c r="AC109" i="29"/>
  <c r="AE109" i="29" s="1"/>
  <c r="P144" i="29"/>
  <c r="P147" i="29" s="1"/>
  <c r="AC181" i="29"/>
  <c r="AC184" i="29"/>
  <c r="AE184" i="29" s="1"/>
  <c r="AC186" i="29"/>
  <c r="AE186" i="29" s="1"/>
  <c r="M28" i="29"/>
  <c r="M31" i="29" s="1"/>
  <c r="M34" i="29" s="1"/>
  <c r="AC64" i="29"/>
  <c r="G8" i="28"/>
  <c r="P94" i="29"/>
  <c r="P96" i="29" s="1"/>
  <c r="AC85" i="29"/>
  <c r="AE85" i="29" s="1"/>
  <c r="AC140" i="29"/>
  <c r="AE140" i="29" s="1"/>
  <c r="AC155" i="29"/>
  <c r="Y189" i="29"/>
  <c r="G60" i="29"/>
  <c r="AC83" i="29"/>
  <c r="G86" i="29"/>
  <c r="G177" i="29"/>
  <c r="J60" i="29"/>
  <c r="J71" i="29" s="1"/>
  <c r="J73" i="29" s="1"/>
  <c r="Q71" i="29"/>
  <c r="Q73" i="29" s="1"/>
  <c r="Q76" i="29" s="1"/>
  <c r="AC118" i="29"/>
  <c r="AE118" i="29" s="1"/>
  <c r="E144" i="29"/>
  <c r="E147" i="29" s="1"/>
  <c r="AQ43" i="34" l="1"/>
  <c r="H43" i="34" s="1"/>
  <c r="AB102" i="27"/>
  <c r="M368" i="27"/>
  <c r="AE98" i="17"/>
  <c r="P38" i="19" s="1"/>
  <c r="AP89" i="17"/>
  <c r="P122" i="27"/>
  <c r="D104" i="1"/>
  <c r="N10" i="19"/>
  <c r="N25" i="19" s="1"/>
  <c r="H17" i="30"/>
  <c r="H19" i="30" s="1"/>
  <c r="J13" i="30"/>
  <c r="H15" i="30"/>
  <c r="J15" i="30" s="1"/>
  <c r="L15" i="30" s="1"/>
  <c r="AT89" i="17"/>
  <c r="AW9" i="17"/>
  <c r="J368" i="27"/>
  <c r="S87" i="27"/>
  <c r="H54" i="22"/>
  <c r="AB105" i="17"/>
  <c r="P192" i="29"/>
  <c r="AP54" i="17"/>
  <c r="P76" i="29"/>
  <c r="P368" i="27"/>
  <c r="H34" i="29"/>
  <c r="Q35" i="27"/>
  <c r="P162" i="27"/>
  <c r="P163" i="27" s="1"/>
  <c r="E54" i="17"/>
  <c r="P16" i="26"/>
  <c r="Q16" i="26" s="1"/>
  <c r="AB15" i="17"/>
  <c r="AE15" i="17" s="1"/>
  <c r="AM52" i="17"/>
  <c r="BC21" i="17"/>
  <c r="J99" i="29"/>
  <c r="AK89" i="17"/>
  <c r="M78" i="20"/>
  <c r="D98" i="1"/>
  <c r="L54" i="17"/>
  <c r="J310" i="27"/>
  <c r="Q52" i="17"/>
  <c r="Q54" i="17" s="1"/>
  <c r="N10" i="26"/>
  <c r="J60" i="27"/>
  <c r="M35" i="27"/>
  <c r="I89" i="17"/>
  <c r="AQ32" i="18"/>
  <c r="P78" i="18"/>
  <c r="P82" i="18" s="1"/>
  <c r="J87" i="27"/>
  <c r="K54" i="17"/>
  <c r="E242" i="27"/>
  <c r="G60" i="27"/>
  <c r="AV54" i="17"/>
  <c r="T54" i="17"/>
  <c r="S218" i="27"/>
  <c r="S219" i="27" s="1"/>
  <c r="V75" i="29"/>
  <c r="V76" i="29" s="1"/>
  <c r="P15" i="22"/>
  <c r="P70" i="22"/>
  <c r="L114" i="22"/>
  <c r="D109" i="22"/>
  <c r="P109" i="22" s="1"/>
  <c r="L116" i="22"/>
  <c r="R144" i="21"/>
  <c r="T144" i="21"/>
  <c r="AB47" i="17"/>
  <c r="AE47" i="17" s="1"/>
  <c r="E76" i="29"/>
  <c r="BA16" i="18"/>
  <c r="BA19" i="18" s="1"/>
  <c r="M54" i="29"/>
  <c r="AD181" i="29"/>
  <c r="AE181" i="29" s="1"/>
  <c r="I76" i="25"/>
  <c r="BD67" i="17"/>
  <c r="AD191" i="29" s="1"/>
  <c r="AC132" i="29"/>
  <c r="AC144" i="29" s="1"/>
  <c r="AD61" i="29"/>
  <c r="AE61" i="29" s="1"/>
  <c r="AM78" i="17"/>
  <c r="AM89" i="17" s="1"/>
  <c r="I66" i="24"/>
  <c r="O7" i="26"/>
  <c r="BC47" i="17"/>
  <c r="BF47" i="17" s="1"/>
  <c r="AE124" i="29" s="1"/>
  <c r="AE125" i="29" s="1"/>
  <c r="AS52" i="17"/>
  <c r="AK54" i="17"/>
  <c r="S272" i="27"/>
  <c r="Q192" i="29"/>
  <c r="AE48" i="29"/>
  <c r="AE51" i="29" s="1"/>
  <c r="J242" i="27"/>
  <c r="AB70" i="17"/>
  <c r="Z274" i="27" s="1"/>
  <c r="Q78" i="17"/>
  <c r="Q89" i="17" s="1"/>
  <c r="AS37" i="17"/>
  <c r="AB170" i="27"/>
  <c r="K242" i="27"/>
  <c r="H146" i="20"/>
  <c r="AJ52" i="17"/>
  <c r="AK93" i="18"/>
  <c r="AK97" i="18" s="1"/>
  <c r="AK82" i="18"/>
  <c r="AE86" i="18"/>
  <c r="AG102" i="17" s="1"/>
  <c r="AE78" i="18"/>
  <c r="AT89" i="18"/>
  <c r="AT86" i="18" s="1"/>
  <c r="D12" i="30" s="1"/>
  <c r="D13" i="30" s="1"/>
  <c r="AT82" i="18"/>
  <c r="AT93" i="18"/>
  <c r="AT97" i="18" s="1"/>
  <c r="AB251" i="27"/>
  <c r="AC177" i="29"/>
  <c r="G189" i="29"/>
  <c r="M86" i="18"/>
  <c r="F18" i="30" s="1"/>
  <c r="M78" i="18"/>
  <c r="E10" i="28"/>
  <c r="AC86" i="29"/>
  <c r="AC94" i="29" s="1"/>
  <c r="AC96" i="29" s="1"/>
  <c r="AA345" i="27"/>
  <c r="AA365" i="27" s="1"/>
  <c r="Z361" i="27"/>
  <c r="AB361" i="27" s="1"/>
  <c r="G146" i="29"/>
  <c r="G147" i="29" s="1"/>
  <c r="O7" i="28"/>
  <c r="P7" i="28" s="1"/>
  <c r="Q7" i="28" s="1"/>
  <c r="BC61" i="17"/>
  <c r="AW32" i="18"/>
  <c r="AW52" i="18" s="1"/>
  <c r="AW59" i="18" s="1"/>
  <c r="AW63" i="18" s="1"/>
  <c r="AW78" i="18" s="1"/>
  <c r="J75" i="29"/>
  <c r="J76" i="29" s="1"/>
  <c r="O14" i="28"/>
  <c r="P14" i="28" s="1"/>
  <c r="Q14" i="28" s="1"/>
  <c r="BC26" i="17"/>
  <c r="H45" i="24"/>
  <c r="AC101" i="17"/>
  <c r="J113" i="21"/>
  <c r="J119" i="21" s="1"/>
  <c r="P33" i="21"/>
  <c r="J120" i="21" s="1"/>
  <c r="AQ52" i="18"/>
  <c r="AQ59" i="18" s="1"/>
  <c r="AQ63" i="18" s="1"/>
  <c r="AQ78" i="18" s="1"/>
  <c r="H43" i="25"/>
  <c r="H43" i="22" s="1"/>
  <c r="H56" i="22" s="1"/>
  <c r="D50" i="20"/>
  <c r="F50" i="20" s="1"/>
  <c r="H34" i="21"/>
  <c r="G51" i="20"/>
  <c r="AE83" i="29"/>
  <c r="AC48" i="29"/>
  <c r="AC51" i="29" s="1"/>
  <c r="Z332" i="27"/>
  <c r="Z335" i="27" s="1"/>
  <c r="AA317" i="27"/>
  <c r="G275" i="27"/>
  <c r="Z35" i="18"/>
  <c r="H25" i="24"/>
  <c r="H24" i="24"/>
  <c r="AC104" i="17"/>
  <c r="AE104" i="17" s="1"/>
  <c r="I146" i="20"/>
  <c r="I6" i="20"/>
  <c r="J196" i="27"/>
  <c r="J197" i="27" s="1"/>
  <c r="O13" i="26"/>
  <c r="P13" i="26" s="1"/>
  <c r="Q13" i="26" s="1"/>
  <c r="AB61" i="17"/>
  <c r="O9" i="28"/>
  <c r="P9" i="28" s="1"/>
  <c r="Q9" i="28" s="1"/>
  <c r="G191" i="29"/>
  <c r="BC67" i="17"/>
  <c r="N62" i="22"/>
  <c r="H92" i="22"/>
  <c r="H105" i="22" s="1"/>
  <c r="H36" i="22"/>
  <c r="H49" i="22" s="1"/>
  <c r="D41" i="22"/>
  <c r="P41" i="22" s="1"/>
  <c r="AO32" i="18"/>
  <c r="AO52" i="18" s="1"/>
  <c r="AO59" i="18" s="1"/>
  <c r="AO63" i="18" s="1"/>
  <c r="AO78" i="18" s="1"/>
  <c r="W114" i="17"/>
  <c r="W9" i="17" s="1"/>
  <c r="S75" i="29"/>
  <c r="S76" i="29" s="1"/>
  <c r="O32" i="28"/>
  <c r="P32" i="28" s="1"/>
  <c r="Q32" i="28" s="1"/>
  <c r="M169" i="29"/>
  <c r="J169" i="29"/>
  <c r="BC81" i="17"/>
  <c r="BF81" i="17" s="1"/>
  <c r="Z72" i="27"/>
  <c r="L8" i="26"/>
  <c r="P52" i="19"/>
  <c r="P82" i="19" s="1"/>
  <c r="AM37" i="17"/>
  <c r="G33" i="29"/>
  <c r="G34" i="29" s="1"/>
  <c r="O6" i="28"/>
  <c r="P6" i="28" s="1"/>
  <c r="Q6" i="28" s="1"/>
  <c r="BC18" i="17"/>
  <c r="BC64" i="17"/>
  <c r="AC60" i="29"/>
  <c r="AE60" i="29" s="1"/>
  <c r="G71" i="29"/>
  <c r="G73" i="29" s="1"/>
  <c r="G76" i="29" s="1"/>
  <c r="G94" i="29"/>
  <c r="G96" i="29" s="1"/>
  <c r="G99" i="29" s="1"/>
  <c r="AA285" i="27"/>
  <c r="AA307" i="27" s="1"/>
  <c r="AA310" i="27" s="1"/>
  <c r="AA319" i="27"/>
  <c r="AB319" i="27" s="1"/>
  <c r="Z226" i="27"/>
  <c r="Z54" i="27"/>
  <c r="Z57" i="27" s="1"/>
  <c r="Z60" i="27" s="1"/>
  <c r="AB51" i="27"/>
  <c r="AB54" i="27" s="1"/>
  <c r="AB57" i="27" s="1"/>
  <c r="AB60" i="27" s="1"/>
  <c r="D64" i="21"/>
  <c r="P64" i="21" s="1"/>
  <c r="P50" i="21"/>
  <c r="E39" i="20"/>
  <c r="R10" i="20" s="1"/>
  <c r="F38" i="20"/>
  <c r="BC58" i="17"/>
  <c r="AJ78" i="17"/>
  <c r="AJ89" i="17" s="1"/>
  <c r="D36" i="22"/>
  <c r="G17" i="24"/>
  <c r="D72" i="22"/>
  <c r="P72" i="22" s="1"/>
  <c r="D48" i="21"/>
  <c r="AI82" i="18"/>
  <c r="AI93" i="18"/>
  <c r="AI97" i="18" s="1"/>
  <c r="H27" i="25"/>
  <c r="H28" i="25" s="1"/>
  <c r="BC94" i="18" s="1"/>
  <c r="BD105" i="17"/>
  <c r="BB66" i="18"/>
  <c r="BB67" i="18" s="1"/>
  <c r="BD67" i="18" s="1"/>
  <c r="D67" i="20"/>
  <c r="F67" i="20" s="1"/>
  <c r="G68" i="20"/>
  <c r="T78" i="17"/>
  <c r="T89" i="17" s="1"/>
  <c r="F92" i="22"/>
  <c r="F105" i="22" s="1"/>
  <c r="G34" i="27"/>
  <c r="O6" i="26"/>
  <c r="AB18" i="17"/>
  <c r="AE18" i="17" s="1"/>
  <c r="J274" i="27"/>
  <c r="J275" i="27" s="1"/>
  <c r="O17" i="26"/>
  <c r="P17" i="26" s="1"/>
  <c r="Q17" i="26" s="1"/>
  <c r="AE83" i="17"/>
  <c r="D20" i="21"/>
  <c r="G7" i="25"/>
  <c r="BD94" i="17" s="1"/>
  <c r="M79" i="20"/>
  <c r="D22" i="22"/>
  <c r="P22" i="22" s="1"/>
  <c r="AC53" i="29"/>
  <c r="BF21" i="17"/>
  <c r="AE53" i="29" s="1"/>
  <c r="AE54" i="29" s="1"/>
  <c r="Z216" i="27"/>
  <c r="AA204" i="27"/>
  <c r="AA216" i="27" s="1"/>
  <c r="G88" i="24"/>
  <c r="H49" i="25"/>
  <c r="BD101" i="17"/>
  <c r="AB87" i="17"/>
  <c r="AE81" i="17"/>
  <c r="G86" i="27"/>
  <c r="G87" i="27" s="1"/>
  <c r="O8" i="26"/>
  <c r="AB26" i="17"/>
  <c r="AA226" i="27"/>
  <c r="F59" i="21"/>
  <c r="G31" i="20"/>
  <c r="U15" i="20"/>
  <c r="L20" i="19" s="1"/>
  <c r="T20" i="19" s="1"/>
  <c r="D30" i="20"/>
  <c r="F30" i="20" s="1"/>
  <c r="S367" i="27"/>
  <c r="S368" i="27" s="1"/>
  <c r="G48" i="24"/>
  <c r="D53" i="22"/>
  <c r="P53" i="22" s="1"/>
  <c r="AC24" i="29"/>
  <c r="G310" i="27"/>
  <c r="Z396" i="27"/>
  <c r="AA375" i="27"/>
  <c r="AA396" i="27" s="1"/>
  <c r="AA399" i="27" s="1"/>
  <c r="M272" i="27"/>
  <c r="M275" i="27" s="1"/>
  <c r="G12" i="24"/>
  <c r="AD101" i="17"/>
  <c r="F27" i="21"/>
  <c r="H59" i="21"/>
  <c r="G16" i="25"/>
  <c r="BE101" i="17"/>
  <c r="D39" i="22"/>
  <c r="P39" i="22" s="1"/>
  <c r="J27" i="21"/>
  <c r="AQ54" i="17"/>
  <c r="G241" i="27"/>
  <c r="G242" i="27" s="1"/>
  <c r="O9" i="26"/>
  <c r="P9" i="26" s="1"/>
  <c r="Q9" i="26" s="1"/>
  <c r="AB67" i="17"/>
  <c r="S191" i="29"/>
  <c r="S192" i="29" s="1"/>
  <c r="BC83" i="17"/>
  <c r="BF83" i="17" s="1"/>
  <c r="G121" i="27"/>
  <c r="G122" i="27" s="1"/>
  <c r="O10" i="26"/>
  <c r="AB29" i="17"/>
  <c r="G38" i="25"/>
  <c r="BD93" i="17" s="1"/>
  <c r="BF93" i="17" s="1"/>
  <c r="H14" i="22"/>
  <c r="P14" i="22" s="1"/>
  <c r="D46" i="20"/>
  <c r="N77" i="20"/>
  <c r="N78" i="20" s="1"/>
  <c r="N80" i="20" s="1"/>
  <c r="H13" i="21"/>
  <c r="N13" i="21" s="1"/>
  <c r="I54" i="17"/>
  <c r="N78" i="17"/>
  <c r="N89" i="17" s="1"/>
  <c r="G367" i="27"/>
  <c r="AB93" i="17"/>
  <c r="G29" i="27"/>
  <c r="G32" i="27" s="1"/>
  <c r="Z25" i="27"/>
  <c r="M6" i="26"/>
  <c r="N6" i="26" s="1"/>
  <c r="O239" i="27"/>
  <c r="O242" i="27" s="1"/>
  <c r="P227" i="27"/>
  <c r="H86" i="18"/>
  <c r="H78" i="18"/>
  <c r="H82" i="18" s="1"/>
  <c r="H97" i="18" s="1"/>
  <c r="H93" i="18" s="1"/>
  <c r="D34" i="20"/>
  <c r="F34" i="20" s="1"/>
  <c r="T15" i="20"/>
  <c r="L23" i="19" s="1"/>
  <c r="T23" i="19" s="1"/>
  <c r="AX73" i="18"/>
  <c r="G35" i="20"/>
  <c r="F35" i="22"/>
  <c r="F48" i="22" s="1"/>
  <c r="AR82" i="18"/>
  <c r="AR89" i="18" s="1"/>
  <c r="AR86" i="18" s="1"/>
  <c r="AR93" i="18"/>
  <c r="AR97" i="18" s="1"/>
  <c r="AB58" i="17"/>
  <c r="H78" i="17"/>
  <c r="H89" i="17" s="1"/>
  <c r="AI89" i="18"/>
  <c r="AK86" i="18"/>
  <c r="E12" i="30" s="1"/>
  <c r="E13" i="30" s="1"/>
  <c r="AK102" i="17"/>
  <c r="AI11" i="18" s="1"/>
  <c r="H59" i="25"/>
  <c r="J60" i="21"/>
  <c r="BD95" i="17"/>
  <c r="BF95" i="17" s="1"/>
  <c r="Z307" i="27"/>
  <c r="AB283" i="27"/>
  <c r="D92" i="22"/>
  <c r="H31" i="25"/>
  <c r="H32" i="25" s="1"/>
  <c r="F21" i="20"/>
  <c r="E23" i="20"/>
  <c r="G23" i="20" s="1"/>
  <c r="J36" i="22"/>
  <c r="J49" i="22" s="1"/>
  <c r="S274" i="27"/>
  <c r="S275" i="27" s="1"/>
  <c r="O59" i="26"/>
  <c r="P59" i="26" s="1"/>
  <c r="Q59" i="26" s="1"/>
  <c r="J92" i="22"/>
  <c r="J105" i="22" s="1"/>
  <c r="AJ37" i="17"/>
  <c r="BC15" i="17"/>
  <c r="P241" i="27"/>
  <c r="O27" i="26"/>
  <c r="AV78" i="17"/>
  <c r="AC167" i="29"/>
  <c r="AE154" i="29"/>
  <c r="AE167" i="29" s="1"/>
  <c r="Z179" i="27"/>
  <c r="AB179" i="27" s="1"/>
  <c r="Z157" i="27"/>
  <c r="Z159" i="27" s="1"/>
  <c r="H91" i="22"/>
  <c r="AW86" i="18"/>
  <c r="AU89" i="18"/>
  <c r="AU11" i="18"/>
  <c r="Z398" i="27"/>
  <c r="G398" i="27"/>
  <c r="G399" i="27" s="1"/>
  <c r="AB94" i="17"/>
  <c r="AE94" i="17" s="1"/>
  <c r="BD35" i="18"/>
  <c r="BD41" i="18" s="1"/>
  <c r="BA41" i="18"/>
  <c r="BA30" i="18"/>
  <c r="BD22" i="18"/>
  <c r="BD30" i="18" s="1"/>
  <c r="N17" i="21"/>
  <c r="P17" i="21" s="1"/>
  <c r="D31" i="21"/>
  <c r="V86" i="18"/>
  <c r="T89" i="18"/>
  <c r="T97" i="18" s="1"/>
  <c r="T11" i="18"/>
  <c r="J35" i="22"/>
  <c r="J48" i="22" s="1"/>
  <c r="O8" i="28"/>
  <c r="BC43" i="17"/>
  <c r="BF43" i="17" s="1"/>
  <c r="N16" i="21"/>
  <c r="P16" i="21" s="1"/>
  <c r="D30" i="21"/>
  <c r="P30" i="21" s="1"/>
  <c r="D85" i="20"/>
  <c r="F85" i="20" s="1"/>
  <c r="G86" i="20" s="1"/>
  <c r="L47" i="19"/>
  <c r="S98" i="29"/>
  <c r="S99" i="29" s="1"/>
  <c r="BC29" i="17"/>
  <c r="O57" i="26"/>
  <c r="P57" i="26" s="1"/>
  <c r="Q57" i="26" s="1"/>
  <c r="L89" i="17"/>
  <c r="Z66" i="27"/>
  <c r="E55" i="20"/>
  <c r="G55" i="20" s="1"/>
  <c r="F54" i="20"/>
  <c r="H7" i="24"/>
  <c r="H9" i="24" s="1"/>
  <c r="AC66" i="18"/>
  <c r="AB157" i="27"/>
  <c r="AB159" i="27" s="1"/>
  <c r="H39" i="24"/>
  <c r="AU82" i="18"/>
  <c r="AU97" i="18"/>
  <c r="AU93" i="18" s="1"/>
  <c r="H29" i="24"/>
  <c r="H30" i="24" s="1"/>
  <c r="I30" i="24" s="1"/>
  <c r="P45" i="21"/>
  <c r="D86" i="18"/>
  <c r="E102" i="17" s="1"/>
  <c r="D78" i="18"/>
  <c r="H53" i="25"/>
  <c r="H54" i="25" s="1"/>
  <c r="AS78" i="17"/>
  <c r="AS89" i="17" s="1"/>
  <c r="D38" i="22"/>
  <c r="P38" i="22" s="1"/>
  <c r="AB64" i="17"/>
  <c r="P49" i="21"/>
  <c r="D63" i="21"/>
  <c r="S241" i="27"/>
  <c r="S242" i="27" s="1"/>
  <c r="AG54" i="17"/>
  <c r="AY114" i="17"/>
  <c r="AY9" i="17" s="1"/>
  <c r="K78" i="18"/>
  <c r="K82" i="18" s="1"/>
  <c r="K97" i="18" s="1"/>
  <c r="K93" i="18" s="1"/>
  <c r="K86" i="18"/>
  <c r="S34" i="27"/>
  <c r="S35" i="27" s="1"/>
  <c r="O54" i="26"/>
  <c r="P54" i="26" s="1"/>
  <c r="Q54" i="26" s="1"/>
  <c r="BF98" i="17"/>
  <c r="G368" i="27"/>
  <c r="P99" i="29"/>
  <c r="S34" i="29"/>
  <c r="AE178" i="29"/>
  <c r="AB110" i="27"/>
  <c r="E90" i="20"/>
  <c r="U87" i="20" s="1"/>
  <c r="U93" i="20" s="1"/>
  <c r="F89" i="20"/>
  <c r="Z19" i="18"/>
  <c r="AC16" i="18"/>
  <c r="AC19" i="18" s="1"/>
  <c r="Z20" i="18"/>
  <c r="M146" i="29"/>
  <c r="M147" i="29" s="1"/>
  <c r="J146" i="29"/>
  <c r="J147" i="29" s="1"/>
  <c r="O13" i="28"/>
  <c r="P13" i="28" s="1"/>
  <c r="Q13" i="28" s="1"/>
  <c r="D95" i="22"/>
  <c r="P95" i="22" s="1"/>
  <c r="M309" i="27"/>
  <c r="M310" i="27" s="1"/>
  <c r="N52" i="17"/>
  <c r="F13" i="20"/>
  <c r="E14" i="20"/>
  <c r="V191" i="29"/>
  <c r="V192" i="29" s="1"/>
  <c r="O63" i="28"/>
  <c r="P63" i="28" s="1"/>
  <c r="Q63" i="28" s="1"/>
  <c r="AV87" i="17"/>
  <c r="I117" i="27"/>
  <c r="J103" i="27"/>
  <c r="H26" i="24"/>
  <c r="AC105" i="17"/>
  <c r="AE105" i="17" s="1"/>
  <c r="P196" i="27"/>
  <c r="P197" i="27" s="1"/>
  <c r="O25" i="26"/>
  <c r="P25" i="26" s="1"/>
  <c r="Q25" i="26" s="1"/>
  <c r="O272" i="27"/>
  <c r="O275" i="27" s="1"/>
  <c r="P265" i="27"/>
  <c r="Z265" i="27" s="1"/>
  <c r="AB265" i="27" s="1"/>
  <c r="D60" i="21"/>
  <c r="P46" i="21"/>
  <c r="Y192" i="29"/>
  <c r="N8" i="28"/>
  <c r="H67" i="25"/>
  <c r="AA252" i="27"/>
  <c r="AA272" i="27" s="1"/>
  <c r="AA275" i="27" s="1"/>
  <c r="Z365" i="27"/>
  <c r="AB342" i="27"/>
  <c r="G197" i="27"/>
  <c r="N86" i="18"/>
  <c r="N78" i="18"/>
  <c r="N82" i="18" s="1"/>
  <c r="AH32" i="18"/>
  <c r="AH52" i="18" s="1"/>
  <c r="AH59" i="18" s="1"/>
  <c r="AH63" i="18" s="1"/>
  <c r="BC94" i="17"/>
  <c r="P65" i="21"/>
  <c r="J126" i="21"/>
  <c r="J132" i="21" s="1"/>
  <c r="AL89" i="18"/>
  <c r="AN102" i="17"/>
  <c r="AL11" i="18" s="1"/>
  <c r="AB21" i="17"/>
  <c r="AE21" i="17" s="1"/>
  <c r="H23" i="25"/>
  <c r="H24" i="25" s="1"/>
  <c r="BD97" i="17"/>
  <c r="BF97" i="17" s="1"/>
  <c r="D35" i="22"/>
  <c r="K78" i="17"/>
  <c r="K89" i="17" s="1"/>
  <c r="J34" i="27"/>
  <c r="J35" i="27" s="1"/>
  <c r="O12" i="26"/>
  <c r="P12" i="26" s="1"/>
  <c r="Q12" i="26" s="1"/>
  <c r="H54" i="17"/>
  <c r="AD66" i="29"/>
  <c r="AE66" i="29" s="1"/>
  <c r="N14" i="21"/>
  <c r="P14" i="21" s="1"/>
  <c r="D28" i="21"/>
  <c r="J34" i="29"/>
  <c r="AA320" i="27"/>
  <c r="AB320" i="27" s="1"/>
  <c r="N7" i="26"/>
  <c r="G68" i="24"/>
  <c r="AB169" i="27"/>
  <c r="Z194" i="27"/>
  <c r="Z57" i="18"/>
  <c r="AC55" i="18"/>
  <c r="AC57" i="18" s="1"/>
  <c r="AN93" i="18"/>
  <c r="AN97" i="18" s="1"/>
  <c r="AN82" i="18"/>
  <c r="AN89" i="18"/>
  <c r="AN86" i="18" s="1"/>
  <c r="F12" i="30" s="1"/>
  <c r="F13" i="30" s="1"/>
  <c r="H25" i="19"/>
  <c r="D97" i="22"/>
  <c r="P97" i="22" s="1"/>
  <c r="AL93" i="18"/>
  <c r="AL97" i="18" s="1"/>
  <c r="AL82" i="18"/>
  <c r="BF105" i="17"/>
  <c r="N27" i="19" s="1"/>
  <c r="N28" i="19" s="1"/>
  <c r="AB97" i="17"/>
  <c r="M124" i="29"/>
  <c r="M125" i="29" s="1"/>
  <c r="J124" i="29"/>
  <c r="J125" i="29" s="1"/>
  <c r="AQ89" i="17"/>
  <c r="Z22" i="18"/>
  <c r="D27" i="21"/>
  <c r="AQ97" i="34" l="1"/>
  <c r="AQ4" i="34" s="1"/>
  <c r="G43" i="34"/>
  <c r="BE43" i="34"/>
  <c r="AD189" i="29"/>
  <c r="J17" i="30"/>
  <c r="BD66" i="18"/>
  <c r="I26" i="24"/>
  <c r="H23" i="30"/>
  <c r="H34" i="30" s="1"/>
  <c r="H21" i="30"/>
  <c r="E17" i="30"/>
  <c r="F17" i="30"/>
  <c r="F19" i="30" s="1"/>
  <c r="F23" i="30" s="1"/>
  <c r="F34" i="30" s="1"/>
  <c r="I32" i="25"/>
  <c r="M80" i="20"/>
  <c r="AM54" i="17"/>
  <c r="P10" i="26"/>
  <c r="Q10" i="26" s="1"/>
  <c r="P7" i="26"/>
  <c r="Q7" i="26" s="1"/>
  <c r="AC124" i="29"/>
  <c r="AC125" i="29" s="1"/>
  <c r="AS54" i="17"/>
  <c r="J11" i="30"/>
  <c r="L11" i="30" s="1"/>
  <c r="P27" i="19"/>
  <c r="P28" i="19" s="1"/>
  <c r="N54" i="17"/>
  <c r="AJ54" i="17"/>
  <c r="Z161" i="27"/>
  <c r="Z162" i="27" s="1"/>
  <c r="D17" i="30"/>
  <c r="BD16" i="18"/>
  <c r="BD19" i="18" s="1"/>
  <c r="D52" i="22"/>
  <c r="P52" i="22" s="1"/>
  <c r="V20" i="19" s="1"/>
  <c r="N187" i="22" s="1"/>
  <c r="H104" i="22"/>
  <c r="P104" i="22" s="1"/>
  <c r="P91" i="22"/>
  <c r="D49" i="22"/>
  <c r="P49" i="22" s="1"/>
  <c r="P36" i="22"/>
  <c r="D105" i="22"/>
  <c r="P105" i="22" s="1"/>
  <c r="P92" i="22"/>
  <c r="D108" i="22"/>
  <c r="P108" i="22" s="1"/>
  <c r="P59" i="21"/>
  <c r="V144" i="21"/>
  <c r="X144" i="21" s="1"/>
  <c r="R146" i="21"/>
  <c r="AB37" i="17"/>
  <c r="AD192" i="29"/>
  <c r="AD132" i="29"/>
  <c r="AD144" i="29" s="1"/>
  <c r="AD147" i="29" s="1"/>
  <c r="P6" i="26"/>
  <c r="Q6" i="26" s="1"/>
  <c r="AE70" i="17"/>
  <c r="G35" i="27"/>
  <c r="H44" i="25"/>
  <c r="I44" i="25" s="1"/>
  <c r="P60" i="21"/>
  <c r="F27" i="19"/>
  <c r="N36" i="19"/>
  <c r="J27" i="19"/>
  <c r="J28" i="19" s="1"/>
  <c r="L113" i="21"/>
  <c r="L119" i="21" s="1"/>
  <c r="L120" i="21"/>
  <c r="P31" i="21"/>
  <c r="AW89" i="18"/>
  <c r="AW11" i="18"/>
  <c r="E27" i="26"/>
  <c r="N27" i="26" s="1"/>
  <c r="P27" i="26" s="1"/>
  <c r="Q27" i="26" s="1"/>
  <c r="P239" i="27"/>
  <c r="P242" i="27" s="1"/>
  <c r="G81" i="24"/>
  <c r="Z227" i="27"/>
  <c r="Z239" i="27" s="1"/>
  <c r="H27" i="21"/>
  <c r="P27" i="21" s="1"/>
  <c r="Z241" i="27"/>
  <c r="AE87" i="17"/>
  <c r="AB204" i="27"/>
  <c r="AB216" i="27" s="1"/>
  <c r="D62" i="21"/>
  <c r="P62" i="21" s="1"/>
  <c r="P48" i="21"/>
  <c r="AC169" i="29"/>
  <c r="AC170" i="29" s="1"/>
  <c r="BF64" i="17"/>
  <c r="AE169" i="29" s="1"/>
  <c r="AE170" i="29" s="1"/>
  <c r="Z41" i="18"/>
  <c r="AC35" i="18"/>
  <c r="AC41" i="18" s="1"/>
  <c r="AQ93" i="18"/>
  <c r="AQ97" i="18" s="1"/>
  <c r="AQ82" i="18"/>
  <c r="AQ89" i="18"/>
  <c r="AQ86" i="18" s="1"/>
  <c r="G12" i="30" s="1"/>
  <c r="G13" i="30" s="1"/>
  <c r="AC146" i="29"/>
  <c r="AC147" i="29" s="1"/>
  <c r="BF61" i="17"/>
  <c r="AE146" i="29" s="1"/>
  <c r="P28" i="21"/>
  <c r="G14" i="20"/>
  <c r="AT102" i="17"/>
  <c r="D14" i="30" s="1"/>
  <c r="D15" i="30" s="1"/>
  <c r="D94" i="22"/>
  <c r="P94" i="22" s="1"/>
  <c r="D107" i="22"/>
  <c r="P107" i="22" s="1"/>
  <c r="AO93" i="18"/>
  <c r="AO97" i="18" s="1"/>
  <c r="AO82" i="18"/>
  <c r="AO86" i="18" s="1"/>
  <c r="G192" i="29"/>
  <c r="Z30" i="18"/>
  <c r="Z32" i="18" s="1"/>
  <c r="AC22" i="18"/>
  <c r="AC30" i="18" s="1"/>
  <c r="AC32" i="18" s="1"/>
  <c r="D110" i="22"/>
  <c r="P110" i="22" s="1"/>
  <c r="I54" i="25"/>
  <c r="H40" i="24"/>
  <c r="I40" i="24" s="1"/>
  <c r="AB66" i="27"/>
  <c r="Z82" i="27"/>
  <c r="Z84" i="27" s="1"/>
  <c r="H19" i="24"/>
  <c r="H20" i="24" s="1"/>
  <c r="AC97" i="17"/>
  <c r="AE97" i="17" s="1"/>
  <c r="P54" i="19" s="1"/>
  <c r="P55" i="19" s="1"/>
  <c r="AC33" i="29"/>
  <c r="BF18" i="17"/>
  <c r="AE33" i="29" s="1"/>
  <c r="Z196" i="27"/>
  <c r="Z197" i="27" s="1"/>
  <c r="AA332" i="27"/>
  <c r="AA335" i="27" s="1"/>
  <c r="J121" i="21"/>
  <c r="AC189" i="29"/>
  <c r="AE177" i="29"/>
  <c r="AE189" i="29" s="1"/>
  <c r="D17" i="20"/>
  <c r="D34" i="21"/>
  <c r="P34" i="21" s="1"/>
  <c r="H8" i="25"/>
  <c r="H89" i="18"/>
  <c r="I102" i="17"/>
  <c r="AW82" i="18"/>
  <c r="AW97" i="18"/>
  <c r="H52" i="19"/>
  <c r="H82" i="19" s="1"/>
  <c r="D48" i="22"/>
  <c r="BF94" i="17"/>
  <c r="H27" i="19" s="1"/>
  <c r="H28" i="19" s="1"/>
  <c r="H29" i="19" s="1"/>
  <c r="AB252" i="27"/>
  <c r="AB272" i="27" s="1"/>
  <c r="AB275" i="27" s="1"/>
  <c r="AB25" i="27"/>
  <c r="AB29" i="27" s="1"/>
  <c r="AB32" i="27" s="1"/>
  <c r="Z29" i="27"/>
  <c r="Z32" i="27" s="1"/>
  <c r="F46" i="20"/>
  <c r="E47" i="20"/>
  <c r="R11" i="20" s="1"/>
  <c r="AB375" i="27"/>
  <c r="AB396" i="27" s="1"/>
  <c r="BF87" i="17"/>
  <c r="BC87" i="17"/>
  <c r="D54" i="22"/>
  <c r="P54" i="22" s="1"/>
  <c r="H49" i="24"/>
  <c r="H73" i="24"/>
  <c r="I75" i="24" s="1"/>
  <c r="N8" i="26"/>
  <c r="P8" i="26" s="1"/>
  <c r="Q8" i="26" s="1"/>
  <c r="AE89" i="18"/>
  <c r="AE11" i="18"/>
  <c r="D97" i="20"/>
  <c r="AA176" i="27"/>
  <c r="AC61" i="17"/>
  <c r="AA196" i="27" s="1"/>
  <c r="AH86" i="18"/>
  <c r="C12" i="30" s="1"/>
  <c r="AH78" i="18"/>
  <c r="D93" i="18"/>
  <c r="D97" i="18" s="1"/>
  <c r="D98" i="18" s="1"/>
  <c r="D82" i="18"/>
  <c r="AC98" i="29"/>
  <c r="AC99" i="29" s="1"/>
  <c r="F183" i="22"/>
  <c r="F181" i="22"/>
  <c r="H35" i="22"/>
  <c r="P35" i="22" s="1"/>
  <c r="Z399" i="27"/>
  <c r="Z34" i="27"/>
  <c r="AB34" i="27"/>
  <c r="AB226" i="27"/>
  <c r="AB317" i="27"/>
  <c r="AB332" i="27" s="1"/>
  <c r="AB335" i="27" s="1"/>
  <c r="AC116" i="17"/>
  <c r="Z272" i="27"/>
  <c r="Z275" i="27" s="1"/>
  <c r="V89" i="18"/>
  <c r="V97" i="18" s="1"/>
  <c r="V93" i="18" s="1"/>
  <c r="V11" i="18"/>
  <c r="W119" i="17"/>
  <c r="W120" i="17" s="1"/>
  <c r="N10" i="28"/>
  <c r="P10" i="28" s="1"/>
  <c r="Q10" i="28" s="1"/>
  <c r="H66" i="25"/>
  <c r="H89" i="24"/>
  <c r="AC64" i="17"/>
  <c r="AA218" i="27" s="1"/>
  <c r="AA219" i="27" s="1"/>
  <c r="P13" i="21"/>
  <c r="BC37" i="17"/>
  <c r="BF15" i="17"/>
  <c r="G39" i="20"/>
  <c r="M89" i="18"/>
  <c r="N119" i="17"/>
  <c r="AB365" i="27"/>
  <c r="AE132" i="29"/>
  <c r="AE144" i="29" s="1"/>
  <c r="P63" i="21"/>
  <c r="L126" i="21"/>
  <c r="L132" i="21" s="1"/>
  <c r="D89" i="18"/>
  <c r="H102" i="17"/>
  <c r="AM102" i="17"/>
  <c r="AK109" i="17"/>
  <c r="AK112" i="17" s="1"/>
  <c r="AK114" i="17" s="1"/>
  <c r="AK9" i="17" s="1"/>
  <c r="Z367" i="27"/>
  <c r="Z368" i="27" s="1"/>
  <c r="H39" i="25"/>
  <c r="BD32" i="18"/>
  <c r="AB161" i="27"/>
  <c r="AB162" i="27" s="1"/>
  <c r="AC54" i="29"/>
  <c r="AB345" i="27"/>
  <c r="AC191" i="29"/>
  <c r="BF67" i="17"/>
  <c r="AE191" i="29" s="1"/>
  <c r="J78" i="18"/>
  <c r="J89" i="18"/>
  <c r="J86" i="18" s="1"/>
  <c r="E18" i="30" s="1"/>
  <c r="E19" i="30" s="1"/>
  <c r="I24" i="25"/>
  <c r="AD64" i="29"/>
  <c r="AE64" i="29" s="1"/>
  <c r="BE26" i="17"/>
  <c r="BF26" i="17" s="1"/>
  <c r="Z103" i="27"/>
  <c r="J117" i="27"/>
  <c r="J119" i="27" s="1"/>
  <c r="J122" i="27" s="1"/>
  <c r="T47" i="19"/>
  <c r="L134" i="21"/>
  <c r="D77" i="20"/>
  <c r="AV89" i="17"/>
  <c r="AK89" i="18"/>
  <c r="AM119" i="17"/>
  <c r="Z121" i="27"/>
  <c r="AC28" i="29"/>
  <c r="AC31" i="29" s="1"/>
  <c r="AE24" i="29"/>
  <c r="AE28" i="29" s="1"/>
  <c r="AE31" i="29" s="1"/>
  <c r="BF101" i="17"/>
  <c r="BA32" i="18"/>
  <c r="AE93" i="18"/>
  <c r="AE97" i="18" s="1"/>
  <c r="AE98" i="18" s="1"/>
  <c r="AE82" i="18"/>
  <c r="AN109" i="17"/>
  <c r="AN112" i="17" s="1"/>
  <c r="AN114" i="17" s="1"/>
  <c r="AN9" i="17" s="1"/>
  <c r="AP102" i="17"/>
  <c r="F14" i="30" s="1"/>
  <c r="F15" i="30" s="1"/>
  <c r="I9" i="24"/>
  <c r="AB78" i="17"/>
  <c r="AB89" i="17" s="1"/>
  <c r="AE58" i="17"/>
  <c r="AB9" i="32" s="1"/>
  <c r="AE8" i="34" s="1"/>
  <c r="M93" i="18"/>
  <c r="M82" i="18"/>
  <c r="M97" i="18" s="1"/>
  <c r="K89" i="18"/>
  <c r="L119" i="17"/>
  <c r="L102" i="17"/>
  <c r="N89" i="18"/>
  <c r="N97" i="18" s="1"/>
  <c r="P86" i="18"/>
  <c r="G18" i="30" s="1"/>
  <c r="O102" i="17"/>
  <c r="P8" i="28"/>
  <c r="Q8" i="28" s="1"/>
  <c r="Z218" i="27"/>
  <c r="Z219" i="27" s="1"/>
  <c r="AC93" i="17"/>
  <c r="AA367" i="27" s="1"/>
  <c r="AA368" i="27" s="1"/>
  <c r="AB398" i="27"/>
  <c r="H54" i="19"/>
  <c r="AX80" i="18"/>
  <c r="BA80" i="18" s="1"/>
  <c r="BA73" i="18"/>
  <c r="AX76" i="18"/>
  <c r="F116" i="21"/>
  <c r="D62" i="20"/>
  <c r="F114" i="21"/>
  <c r="P272" i="27"/>
  <c r="P275" i="27" s="1"/>
  <c r="D43" i="22"/>
  <c r="P43" i="22" s="1"/>
  <c r="I28" i="25"/>
  <c r="BC78" i="17"/>
  <c r="BF58" i="17"/>
  <c r="AB285" i="27"/>
  <c r="AB307" i="27" s="1"/>
  <c r="G90" i="20"/>
  <c r="L50" i="19"/>
  <c r="W73" i="18"/>
  <c r="D51" i="22"/>
  <c r="P51" i="22" s="1"/>
  <c r="T98" i="18"/>
  <c r="T93" i="18"/>
  <c r="N54" i="19"/>
  <c r="Z86" i="27"/>
  <c r="Q86" i="18"/>
  <c r="Q78" i="18"/>
  <c r="Q82" i="18" s="1"/>
  <c r="AC71" i="29"/>
  <c r="AC73" i="29" s="1"/>
  <c r="AC75" i="29"/>
  <c r="AE10" i="34" l="1"/>
  <c r="AE73" i="34" s="1"/>
  <c r="BE8" i="34"/>
  <c r="AB10" i="32"/>
  <c r="BA9" i="32"/>
  <c r="I20" i="24"/>
  <c r="AR11" i="18"/>
  <c r="AK11" i="18"/>
  <c r="E14" i="30"/>
  <c r="E15" i="30" s="1"/>
  <c r="L194" i="22"/>
  <c r="L200" i="22" s="1"/>
  <c r="V47" i="19" s="1"/>
  <c r="X47" i="19" s="1"/>
  <c r="L202" i="22"/>
  <c r="L203" i="22" s="1"/>
  <c r="N180" i="22"/>
  <c r="N186" i="22" s="1"/>
  <c r="N188" i="22" s="1"/>
  <c r="AC76" i="29"/>
  <c r="BC89" i="17"/>
  <c r="N11" i="18"/>
  <c r="H47" i="21"/>
  <c r="AE147" i="29"/>
  <c r="AB35" i="27"/>
  <c r="Z242" i="27"/>
  <c r="X20" i="19"/>
  <c r="C13" i="30"/>
  <c r="Z87" i="27"/>
  <c r="G17" i="30"/>
  <c r="G19" i="30" s="1"/>
  <c r="E23" i="30"/>
  <c r="E34" i="30" s="1"/>
  <c r="AE34" i="29"/>
  <c r="AE64" i="17"/>
  <c r="AC34" i="29"/>
  <c r="L121" i="21"/>
  <c r="BB73" i="18"/>
  <c r="BD73" i="18" s="1"/>
  <c r="BD76" i="18" s="1"/>
  <c r="BA76" i="18"/>
  <c r="P89" i="18"/>
  <c r="P97" i="18" s="1"/>
  <c r="P93" i="18" s="1"/>
  <c r="Q119" i="17"/>
  <c r="W80" i="18"/>
  <c r="Z80" i="18" s="1"/>
  <c r="Z73" i="18"/>
  <c r="W76" i="18"/>
  <c r="D56" i="22"/>
  <c r="P56" i="22" s="1"/>
  <c r="N93" i="18"/>
  <c r="N98" i="18"/>
  <c r="L135" i="21"/>
  <c r="H48" i="22"/>
  <c r="P48" i="22" s="1"/>
  <c r="AJ102" i="17"/>
  <c r="C14" i="30" s="1"/>
  <c r="AG109" i="17"/>
  <c r="AG112" i="17" s="1"/>
  <c r="AG114" i="17" s="1"/>
  <c r="AG9" i="17" s="1"/>
  <c r="F115" i="21"/>
  <c r="K102" i="17"/>
  <c r="E20" i="30" s="1"/>
  <c r="E21" i="30" s="1"/>
  <c r="I109" i="17"/>
  <c r="I112" i="17" s="1"/>
  <c r="I114" i="17" s="1"/>
  <c r="I9" i="17" s="1"/>
  <c r="AE192" i="29"/>
  <c r="J16" i="22"/>
  <c r="AV102" i="17"/>
  <c r="AT109" i="17"/>
  <c r="N102" i="17"/>
  <c r="L109" i="17"/>
  <c r="H40" i="25"/>
  <c r="AB399" i="27"/>
  <c r="H11" i="18"/>
  <c r="AC192" i="29"/>
  <c r="F113" i="21"/>
  <c r="I86" i="24"/>
  <c r="AC67" i="17"/>
  <c r="AA227" i="27"/>
  <c r="AA239" i="27" s="1"/>
  <c r="H36" i="25"/>
  <c r="F15" i="21"/>
  <c r="F16" i="22"/>
  <c r="D42" i="20"/>
  <c r="S10" i="20" s="1"/>
  <c r="AP118" i="17"/>
  <c r="AP120" i="17" s="1"/>
  <c r="AP109" i="17"/>
  <c r="L49" i="20"/>
  <c r="G47" i="20"/>
  <c r="AE93" i="17"/>
  <c r="AH93" i="18"/>
  <c r="AH82" i="18"/>
  <c r="AH89" i="18"/>
  <c r="AO89" i="18"/>
  <c r="AQ102" i="17"/>
  <c r="G14" i="30" s="1"/>
  <c r="G15" i="30" s="1"/>
  <c r="K11" i="18"/>
  <c r="AD71" i="29"/>
  <c r="AD73" i="29" s="1"/>
  <c r="AD75" i="29"/>
  <c r="BA86" i="18"/>
  <c r="AJ119" i="17"/>
  <c r="H50" i="24"/>
  <c r="I50" i="24" s="1"/>
  <c r="Z35" i="27"/>
  <c r="AE61" i="17"/>
  <c r="T36" i="19"/>
  <c r="X36" i="19" s="1"/>
  <c r="N52" i="19"/>
  <c r="Q89" i="18"/>
  <c r="Q97" i="18" s="1"/>
  <c r="S86" i="18"/>
  <c r="D18" i="30" s="1"/>
  <c r="D19" i="30" s="1"/>
  <c r="R102" i="17"/>
  <c r="AA105" i="27"/>
  <c r="AD29" i="17"/>
  <c r="AE29" i="17" s="1"/>
  <c r="H55" i="19"/>
  <c r="E63" i="20"/>
  <c r="F62" i="20"/>
  <c r="AB103" i="27"/>
  <c r="AB117" i="27" s="1"/>
  <c r="AB119" i="27" s="1"/>
  <c r="Z117" i="27"/>
  <c r="Z119" i="27" s="1"/>
  <c r="Z122" i="27" s="1"/>
  <c r="BF78" i="17"/>
  <c r="BF89" i="17" s="1"/>
  <c r="I89" i="24"/>
  <c r="F17" i="20"/>
  <c r="E18" i="20"/>
  <c r="R9" i="20" s="1"/>
  <c r="H10" i="25"/>
  <c r="AB176" i="27"/>
  <c r="AB194" i="27" s="1"/>
  <c r="AA194" i="27"/>
  <c r="AA197" i="27" s="1"/>
  <c r="J194" i="22"/>
  <c r="J200" i="22" s="1"/>
  <c r="J134" i="21"/>
  <c r="J135" i="21" s="1"/>
  <c r="T50" i="19"/>
  <c r="D16" i="22"/>
  <c r="H19" i="25"/>
  <c r="D15" i="21"/>
  <c r="D26" i="20"/>
  <c r="AM118" i="17"/>
  <c r="AM120" i="17" s="1"/>
  <c r="AM109" i="17"/>
  <c r="AD86" i="29"/>
  <c r="BE29" i="17"/>
  <c r="I67" i="25"/>
  <c r="AE71" i="29"/>
  <c r="AE73" i="29" s="1"/>
  <c r="AE75" i="29"/>
  <c r="O118" i="17"/>
  <c r="Q102" i="17"/>
  <c r="O109" i="17"/>
  <c r="O112" i="17" s="1"/>
  <c r="O114" i="17" s="1"/>
  <c r="O9" i="17" s="1"/>
  <c r="E78" i="20"/>
  <c r="R87" i="20" s="1"/>
  <c r="F126" i="21"/>
  <c r="F132" i="21" s="1"/>
  <c r="F77" i="20"/>
  <c r="K119" i="17"/>
  <c r="D11" i="18"/>
  <c r="E98" i="20"/>
  <c r="R89" i="20" s="1"/>
  <c r="F97" i="20"/>
  <c r="AN11" i="18"/>
  <c r="AA72" i="27"/>
  <c r="AD26" i="17"/>
  <c r="AE26" i="17" s="1"/>
  <c r="G86" i="18"/>
  <c r="C18" i="30" s="1"/>
  <c r="G78" i="18"/>
  <c r="J93" i="18"/>
  <c r="J82" i="18"/>
  <c r="J97" i="18" s="1"/>
  <c r="H118" i="17"/>
  <c r="L180" i="22"/>
  <c r="L186" i="22" s="1"/>
  <c r="V23" i="19"/>
  <c r="AE97" i="34" l="1"/>
  <c r="AE4" i="34" s="1"/>
  <c r="H73" i="34"/>
  <c r="AB73" i="32"/>
  <c r="AB97" i="32" s="1"/>
  <c r="AB4" i="32" s="1"/>
  <c r="F180" i="22"/>
  <c r="N55" i="19"/>
  <c r="N82" i="19"/>
  <c r="R93" i="20"/>
  <c r="D23" i="30"/>
  <c r="D34" i="30" s="1"/>
  <c r="AB218" i="27"/>
  <c r="AB219" i="27" s="1"/>
  <c r="AO11" i="18"/>
  <c r="G23" i="30"/>
  <c r="G34" i="30" s="1"/>
  <c r="AB227" i="27"/>
  <c r="AB239" i="27" s="1"/>
  <c r="C17" i="30"/>
  <c r="C15" i="30"/>
  <c r="AH11" i="18"/>
  <c r="J11" i="18"/>
  <c r="D93" i="20"/>
  <c r="F20" i="30"/>
  <c r="F21" i="30" s="1"/>
  <c r="P11" i="18"/>
  <c r="G20" i="30"/>
  <c r="G21" i="30" s="1"/>
  <c r="R12" i="20"/>
  <c r="G93" i="18"/>
  <c r="G82" i="18"/>
  <c r="AE76" i="29"/>
  <c r="T102" i="17"/>
  <c r="D20" i="30" s="1"/>
  <c r="D21" i="30" s="1"/>
  <c r="R109" i="17"/>
  <c r="R112" i="17" s="1"/>
  <c r="G57" i="25"/>
  <c r="J15" i="21"/>
  <c r="AV118" i="17"/>
  <c r="AV120" i="17" s="1"/>
  <c r="AV109" i="17"/>
  <c r="AV112" i="17" s="1"/>
  <c r="AV114" i="17" s="1"/>
  <c r="AV9" i="17" s="1"/>
  <c r="AT11" i="18"/>
  <c r="R10" i="19"/>
  <c r="AJ118" i="17"/>
  <c r="AJ120" i="17" s="1"/>
  <c r="E101" i="17"/>
  <c r="AJ109" i="17"/>
  <c r="AJ112" i="17" s="1"/>
  <c r="AJ114" i="17" s="1"/>
  <c r="AJ9" i="17" s="1"/>
  <c r="G63" i="20"/>
  <c r="Q11" i="18"/>
  <c r="V14" i="19"/>
  <c r="J37" i="22"/>
  <c r="J45" i="22" s="1"/>
  <c r="J24" i="22"/>
  <c r="J30" i="22" s="1"/>
  <c r="F182" i="22"/>
  <c r="F186" i="22" s="1"/>
  <c r="G89" i="18"/>
  <c r="G11" i="18"/>
  <c r="H119" i="17"/>
  <c r="H120" i="17" s="1"/>
  <c r="L187" i="22"/>
  <c r="L188" i="22" s="1"/>
  <c r="X23" i="19"/>
  <c r="AD98" i="29"/>
  <c r="BF29" i="17"/>
  <c r="BC119" i="17"/>
  <c r="AD94" i="29"/>
  <c r="AD96" i="29" s="1"/>
  <c r="AE86" i="29"/>
  <c r="AE94" i="29" s="1"/>
  <c r="AE96" i="29" s="1"/>
  <c r="D23" i="21"/>
  <c r="D31" i="22"/>
  <c r="AM112" i="17"/>
  <c r="AM114" i="17" s="1"/>
  <c r="AM9" i="17" s="1"/>
  <c r="I10" i="25"/>
  <c r="F31" i="22"/>
  <c r="F23" i="21"/>
  <c r="AP112" i="17"/>
  <c r="AP114" i="17" s="1"/>
  <c r="AP9" i="17" s="1"/>
  <c r="Q93" i="18"/>
  <c r="Q98" i="18"/>
  <c r="AB105" i="27"/>
  <c r="AA117" i="27"/>
  <c r="AA119" i="27" s="1"/>
  <c r="AD76" i="29"/>
  <c r="F37" i="22"/>
  <c r="F45" i="22" s="1"/>
  <c r="F50" i="22"/>
  <c r="F24" i="22"/>
  <c r="F30" i="22"/>
  <c r="F87" i="22"/>
  <c r="L112" i="17"/>
  <c r="L114" i="17" s="1"/>
  <c r="L9" i="17" s="1"/>
  <c r="H15" i="24"/>
  <c r="D71" i="22"/>
  <c r="D47" i="21"/>
  <c r="D81" i="20"/>
  <c r="S87" i="20" s="1"/>
  <c r="K118" i="17"/>
  <c r="K120" i="17" s="1"/>
  <c r="K109" i="17"/>
  <c r="F119" i="21"/>
  <c r="AA86" i="27"/>
  <c r="E27" i="20"/>
  <c r="O9" i="20" s="1"/>
  <c r="N120" i="20" s="1"/>
  <c r="F26" i="20"/>
  <c r="S9" i="20" s="1"/>
  <c r="F29" i="21"/>
  <c r="F22" i="21"/>
  <c r="G32" i="24"/>
  <c r="F47" i="21"/>
  <c r="F71" i="22"/>
  <c r="N118" i="17"/>
  <c r="N120" i="17" s="1"/>
  <c r="N109" i="17"/>
  <c r="M11" i="18"/>
  <c r="J23" i="21"/>
  <c r="AT112" i="17"/>
  <c r="G78" i="20"/>
  <c r="L41" i="19"/>
  <c r="M83" i="20"/>
  <c r="F194" i="22" s="1"/>
  <c r="AA121" i="27"/>
  <c r="E43" i="20"/>
  <c r="O10" i="20" s="1"/>
  <c r="AX46" i="18"/>
  <c r="BA46" i="18" s="1"/>
  <c r="F42" i="20"/>
  <c r="F37" i="21"/>
  <c r="G43" i="24"/>
  <c r="D101" i="20"/>
  <c r="H71" i="22"/>
  <c r="Q118" i="17"/>
  <c r="Q120" i="17" s="1"/>
  <c r="Q109" i="17"/>
  <c r="AH97" i="18"/>
  <c r="BA93" i="18"/>
  <c r="G34" i="25"/>
  <c r="G35" i="25" s="1"/>
  <c r="I40" i="25"/>
  <c r="S89" i="18"/>
  <c r="S97" i="18" s="1"/>
  <c r="S93" i="18" s="1"/>
  <c r="T119" i="17"/>
  <c r="G18" i="20"/>
  <c r="G98" i="20"/>
  <c r="N83" i="20"/>
  <c r="F196" i="22" s="1"/>
  <c r="G17" i="25"/>
  <c r="G15" i="25"/>
  <c r="AB196" i="27"/>
  <c r="AB197" i="27" s="1"/>
  <c r="AB367" i="27"/>
  <c r="AB368" i="27" s="1"/>
  <c r="F54" i="19"/>
  <c r="AA82" i="27"/>
  <c r="AA84" i="27" s="1"/>
  <c r="AA87" i="27" s="1"/>
  <c r="AB72" i="27"/>
  <c r="AB82" i="27" s="1"/>
  <c r="AB84" i="27" s="1"/>
  <c r="D29" i="21"/>
  <c r="D22" i="21"/>
  <c r="D37" i="22"/>
  <c r="D30" i="22"/>
  <c r="D24" i="22"/>
  <c r="AS102" i="17"/>
  <c r="AQ109" i="17"/>
  <c r="AQ112" i="17" s="1"/>
  <c r="AQ114" i="17" s="1"/>
  <c r="AQ9" i="17" s="1"/>
  <c r="AE67" i="17"/>
  <c r="AA241" i="27"/>
  <c r="AA242" i="27" s="1"/>
  <c r="AC73" i="18"/>
  <c r="AC76" i="18" s="1"/>
  <c r="Z76" i="18"/>
  <c r="BE73" i="34" l="1"/>
  <c r="G73" i="34"/>
  <c r="H83" i="34"/>
  <c r="G83" i="34" s="1"/>
  <c r="S11" i="18"/>
  <c r="AD117" i="17"/>
  <c r="D50" i="22"/>
  <c r="J180" i="22" s="1"/>
  <c r="J50" i="22"/>
  <c r="J183" i="22" s="1"/>
  <c r="P183" i="22" s="1"/>
  <c r="T183" i="22" s="1"/>
  <c r="D197" i="22" s="1"/>
  <c r="P10" i="20"/>
  <c r="N121" i="20"/>
  <c r="C19" i="30"/>
  <c r="L17" i="30"/>
  <c r="E94" i="20"/>
  <c r="O88" i="20"/>
  <c r="AD99" i="29"/>
  <c r="D70" i="21"/>
  <c r="R15" i="20"/>
  <c r="L14" i="19" s="1"/>
  <c r="F120" i="21" s="1"/>
  <c r="F121" i="21" s="1"/>
  <c r="F59" i="22"/>
  <c r="BB46" i="18"/>
  <c r="BD46" i="18" s="1"/>
  <c r="AB86" i="27"/>
  <c r="AB87" i="27" s="1"/>
  <c r="AE37" i="17"/>
  <c r="H15" i="21"/>
  <c r="D58" i="20"/>
  <c r="G47" i="25"/>
  <c r="H16" i="22"/>
  <c r="P16" i="22" s="1"/>
  <c r="AS118" i="17"/>
  <c r="AS120" i="17" s="1"/>
  <c r="AS109" i="17"/>
  <c r="AQ11" i="18"/>
  <c r="F55" i="21"/>
  <c r="N112" i="17"/>
  <c r="N114" i="17" s="1"/>
  <c r="N9" i="17" s="1"/>
  <c r="G43" i="20"/>
  <c r="W10" i="20"/>
  <c r="J29" i="21"/>
  <c r="J22" i="21"/>
  <c r="J24" i="21" s="1"/>
  <c r="J87" i="22"/>
  <c r="R114" i="17"/>
  <c r="R9" i="17" s="1"/>
  <c r="AX45" i="18"/>
  <c r="F93" i="22"/>
  <c r="F101" i="22" s="1"/>
  <c r="F80" i="22"/>
  <c r="F86" i="22" s="1"/>
  <c r="F200" i="22"/>
  <c r="F61" i="21"/>
  <c r="F54" i="21"/>
  <c r="J71" i="22"/>
  <c r="P71" i="22" s="1"/>
  <c r="J47" i="21"/>
  <c r="P47" i="21" s="1"/>
  <c r="P54" i="21" s="1"/>
  <c r="H56" i="24"/>
  <c r="G54" i="24" s="1"/>
  <c r="I56" i="24" s="1"/>
  <c r="T118" i="17"/>
  <c r="T120" i="17" s="1"/>
  <c r="T109" i="17"/>
  <c r="AB102" i="17"/>
  <c r="D93" i="22"/>
  <c r="D106" i="22" s="1"/>
  <c r="D80" i="22"/>
  <c r="G27" i="20"/>
  <c r="AB121" i="27"/>
  <c r="AB122" i="27" s="1"/>
  <c r="H60" i="25"/>
  <c r="H58" i="25"/>
  <c r="H93" i="22"/>
  <c r="H101" i="22" s="1"/>
  <c r="H80" i="22"/>
  <c r="H86" i="22" s="1"/>
  <c r="F134" i="21"/>
  <c r="F135" i="21" s="1"/>
  <c r="T41" i="19"/>
  <c r="H34" i="24"/>
  <c r="H35" i="24"/>
  <c r="AC102" i="17"/>
  <c r="D87" i="22"/>
  <c r="D55" i="21"/>
  <c r="K112" i="17"/>
  <c r="K114" i="17" s="1"/>
  <c r="K9" i="17" s="1"/>
  <c r="I36" i="25"/>
  <c r="D32" i="22"/>
  <c r="F24" i="21"/>
  <c r="H101" i="17"/>
  <c r="C20" i="30" s="1"/>
  <c r="E109" i="17"/>
  <c r="E112" i="17" s="1"/>
  <c r="E114" i="17" s="1"/>
  <c r="E9" i="17" s="1"/>
  <c r="F32" i="22"/>
  <c r="H55" i="21"/>
  <c r="H87" i="22"/>
  <c r="Q112" i="17"/>
  <c r="Q114" i="17" s="1"/>
  <c r="Q9" i="17" s="1"/>
  <c r="H114" i="21"/>
  <c r="N114" i="21" s="1"/>
  <c r="R114" i="21" s="1"/>
  <c r="D127" i="21" s="1"/>
  <c r="F36" i="21"/>
  <c r="F38" i="21" s="1"/>
  <c r="AA122" i="27"/>
  <c r="G97" i="18"/>
  <c r="Z93" i="18"/>
  <c r="F93" i="20"/>
  <c r="G94" i="20" s="1"/>
  <c r="I19" i="25"/>
  <c r="BD40" i="17"/>
  <c r="E82" i="20"/>
  <c r="O87" i="20" s="1"/>
  <c r="W45" i="18"/>
  <c r="F81" i="20"/>
  <c r="G82" i="20" s="1"/>
  <c r="D59" i="22"/>
  <c r="AE98" i="29"/>
  <c r="AE99" i="29" s="1"/>
  <c r="BF37" i="17"/>
  <c r="BC102" i="17"/>
  <c r="G13" i="24"/>
  <c r="G11" i="24"/>
  <c r="D45" i="22"/>
  <c r="J181" i="22"/>
  <c r="P181" i="22" s="1"/>
  <c r="T181" i="22" s="1"/>
  <c r="D195" i="22" s="1"/>
  <c r="F58" i="22"/>
  <c r="F62" i="22" s="1"/>
  <c r="D24" i="21"/>
  <c r="E102" i="20"/>
  <c r="M105" i="20" s="1"/>
  <c r="F101" i="20"/>
  <c r="H46" i="24"/>
  <c r="H44" i="24"/>
  <c r="H61" i="21"/>
  <c r="H54" i="21"/>
  <c r="AB241" i="27"/>
  <c r="AB242" i="27" s="1"/>
  <c r="AE78" i="17"/>
  <c r="AE89" i="17" s="1"/>
  <c r="H113" i="21"/>
  <c r="D36" i="21"/>
  <c r="BE102" i="17"/>
  <c r="J31" i="22"/>
  <c r="J32" i="22" s="1"/>
  <c r="AT114" i="17"/>
  <c r="AT9" i="17" s="1"/>
  <c r="D61" i="21"/>
  <c r="D54" i="21"/>
  <c r="F187" i="22"/>
  <c r="F188" i="22" s="1"/>
  <c r="R25" i="19"/>
  <c r="D37" i="21"/>
  <c r="AD102" i="17" l="1"/>
  <c r="J58" i="22"/>
  <c r="I46" i="24"/>
  <c r="I60" i="25"/>
  <c r="D58" i="22"/>
  <c r="D60" i="22" s="1"/>
  <c r="J18" i="30"/>
  <c r="J19" i="30" s="1"/>
  <c r="D62" i="22"/>
  <c r="F60" i="22"/>
  <c r="P88" i="20"/>
  <c r="O121" i="20"/>
  <c r="D50" i="30" s="1"/>
  <c r="S88" i="20"/>
  <c r="D3" i="20"/>
  <c r="E3" i="20" s="1"/>
  <c r="G102" i="20"/>
  <c r="S89" i="20" s="1"/>
  <c r="O89" i="20"/>
  <c r="O120" i="20"/>
  <c r="D49" i="30" s="1"/>
  <c r="P87" i="20"/>
  <c r="F56" i="21"/>
  <c r="C21" i="30"/>
  <c r="C23" i="30"/>
  <c r="T14" i="19"/>
  <c r="X14" i="19" s="1"/>
  <c r="D38" i="21"/>
  <c r="W46" i="18"/>
  <c r="Z46" i="18" s="1"/>
  <c r="F70" i="21"/>
  <c r="BC118" i="17"/>
  <c r="BA11" i="18"/>
  <c r="H88" i="22"/>
  <c r="H194" i="22"/>
  <c r="D114" i="22"/>
  <c r="H127" i="21"/>
  <c r="N127" i="21" s="1"/>
  <c r="D141" i="21" s="1"/>
  <c r="F69" i="21"/>
  <c r="D86" i="22"/>
  <c r="H29" i="21"/>
  <c r="H22" i="21"/>
  <c r="N15" i="21"/>
  <c r="N22" i="21" s="1"/>
  <c r="N24" i="21" s="1"/>
  <c r="D101" i="22"/>
  <c r="F203" i="22"/>
  <c r="V41" i="19"/>
  <c r="X41" i="19" s="1"/>
  <c r="AA87" i="18"/>
  <c r="AC110" i="17"/>
  <c r="H116" i="21"/>
  <c r="N116" i="21" s="1"/>
  <c r="R116" i="21" s="1"/>
  <c r="D129" i="21" s="1"/>
  <c r="D71" i="20"/>
  <c r="J36" i="21"/>
  <c r="H106" i="22"/>
  <c r="F88" i="22"/>
  <c r="AB118" i="17"/>
  <c r="AE102" i="17"/>
  <c r="F106" i="22"/>
  <c r="Z45" i="18"/>
  <c r="AD116" i="17"/>
  <c r="J59" i="22"/>
  <c r="J60" i="22" s="1"/>
  <c r="BE110" i="17"/>
  <c r="H31" i="22"/>
  <c r="H23" i="21"/>
  <c r="AS112" i="17"/>
  <c r="AS114" i="17" s="1"/>
  <c r="AS9" i="17" s="1"/>
  <c r="W47" i="18"/>
  <c r="Z47" i="18" s="1"/>
  <c r="AB87" i="18"/>
  <c r="AB94" i="18" s="1"/>
  <c r="AD110" i="17"/>
  <c r="J61" i="21"/>
  <c r="P61" i="21" s="1"/>
  <c r="J54" i="21"/>
  <c r="BA45" i="18"/>
  <c r="J55" i="21"/>
  <c r="T112" i="17"/>
  <c r="T114" i="17" s="1"/>
  <c r="T9" i="17" s="1"/>
  <c r="N113" i="21"/>
  <c r="AB101" i="17"/>
  <c r="AE101" i="17" s="1"/>
  <c r="H109" i="17"/>
  <c r="AD40" i="17"/>
  <c r="J93" i="22"/>
  <c r="J101" i="22" s="1"/>
  <c r="J80" i="22"/>
  <c r="J86" i="22" s="1"/>
  <c r="H37" i="22"/>
  <c r="P37" i="22" s="1"/>
  <c r="H50" i="22"/>
  <c r="P50" i="22" s="1"/>
  <c r="H24" i="22"/>
  <c r="P24" i="22" s="1"/>
  <c r="D56" i="21"/>
  <c r="H56" i="21"/>
  <c r="I15" i="24"/>
  <c r="AC40" i="17"/>
  <c r="I36" i="24"/>
  <c r="P9" i="20"/>
  <c r="W9" i="20" s="1"/>
  <c r="H50" i="25"/>
  <c r="BD102" i="17"/>
  <c r="H48" i="25"/>
  <c r="BE40" i="17" s="1"/>
  <c r="P180" i="22"/>
  <c r="H126" i="21"/>
  <c r="D69" i="21"/>
  <c r="D71" i="21" s="1"/>
  <c r="H128" i="21"/>
  <c r="H69" i="21"/>
  <c r="J62" i="22"/>
  <c r="E59" i="20"/>
  <c r="S11" i="20" s="1"/>
  <c r="F58" i="20"/>
  <c r="O11" i="20" s="1"/>
  <c r="N122" i="20" s="1"/>
  <c r="L18" i="30" l="1"/>
  <c r="L19" i="30" s="1"/>
  <c r="P93" i="22"/>
  <c r="P80" i="22"/>
  <c r="W87" i="20"/>
  <c r="P89" i="20"/>
  <c r="W89" i="20" s="1"/>
  <c r="O122" i="20"/>
  <c r="D51" i="30" s="1"/>
  <c r="BF102" i="17"/>
  <c r="L14" i="30" s="1"/>
  <c r="J12" i="30"/>
  <c r="L12" i="30" s="1"/>
  <c r="L13" i="30" s="1"/>
  <c r="C34" i="30"/>
  <c r="L23" i="30"/>
  <c r="L34" i="30" s="1"/>
  <c r="F71" i="21"/>
  <c r="AC9" i="17"/>
  <c r="L20" i="30"/>
  <c r="L21" i="30" s="1"/>
  <c r="W88" i="20"/>
  <c r="S12" i="20"/>
  <c r="AX48" i="18" s="1"/>
  <c r="BA48" i="18" s="1"/>
  <c r="P12" i="20"/>
  <c r="J56" i="21"/>
  <c r="AD9" i="17"/>
  <c r="R27" i="19"/>
  <c r="R28" i="19" s="1"/>
  <c r="AE118" i="17"/>
  <c r="T180" i="22"/>
  <c r="D105" i="20"/>
  <c r="S90" i="20" s="1"/>
  <c r="S93" i="20" s="1"/>
  <c r="H129" i="21"/>
  <c r="N129" i="21" s="1"/>
  <c r="D143" i="21" s="1"/>
  <c r="J69" i="21"/>
  <c r="P101" i="22"/>
  <c r="BB45" i="18"/>
  <c r="R54" i="19"/>
  <c r="J202" i="22"/>
  <c r="J203" i="22" s="1"/>
  <c r="V50" i="19"/>
  <c r="X50" i="19" s="1"/>
  <c r="I50" i="25"/>
  <c r="H24" i="21"/>
  <c r="H30" i="22"/>
  <c r="P30" i="22"/>
  <c r="R113" i="21"/>
  <c r="H115" i="21"/>
  <c r="H36" i="21"/>
  <c r="P29" i="21"/>
  <c r="P36" i="21" s="1"/>
  <c r="L44" i="19"/>
  <c r="P69" i="21"/>
  <c r="H112" i="17"/>
  <c r="H114" i="17" s="1"/>
  <c r="H9" i="17" s="1"/>
  <c r="H196" i="22"/>
  <c r="H114" i="22"/>
  <c r="H116" i="22" s="1"/>
  <c r="H59" i="22"/>
  <c r="BD110" i="17"/>
  <c r="BB87" i="18"/>
  <c r="J182" i="22"/>
  <c r="H58" i="22"/>
  <c r="F71" i="20"/>
  <c r="E72" i="20"/>
  <c r="O12" i="20" s="1"/>
  <c r="N123" i="20" s="1"/>
  <c r="J37" i="21"/>
  <c r="J38" i="21" s="1"/>
  <c r="P86" i="22"/>
  <c r="BE9" i="17"/>
  <c r="H45" i="22"/>
  <c r="P45" i="22"/>
  <c r="D116" i="22"/>
  <c r="D88" i="22"/>
  <c r="P15" i="21"/>
  <c r="P22" i="21" s="1"/>
  <c r="G59" i="20"/>
  <c r="H37" i="21"/>
  <c r="H70" i="21"/>
  <c r="H71" i="21" s="1"/>
  <c r="J88" i="22"/>
  <c r="AA45" i="18"/>
  <c r="AC45" i="18" s="1"/>
  <c r="AE110" i="17"/>
  <c r="H195" i="22"/>
  <c r="N195" i="22" s="1"/>
  <c r="R195" i="22" s="1"/>
  <c r="D210" i="22" s="1"/>
  <c r="F114" i="22"/>
  <c r="F116" i="22" s="1"/>
  <c r="J106" i="22"/>
  <c r="P106" i="22" s="1"/>
  <c r="AA47" i="18"/>
  <c r="AC47" i="18" s="1"/>
  <c r="AA94" i="18"/>
  <c r="AC94" i="18" s="1"/>
  <c r="AC87" i="18"/>
  <c r="AA46" i="18"/>
  <c r="AC46" i="18"/>
  <c r="BF118" i="17" l="1"/>
  <c r="H60" i="22"/>
  <c r="H132" i="21"/>
  <c r="H38" i="21"/>
  <c r="E106" i="20"/>
  <c r="O90" i="20" s="1"/>
  <c r="F105" i="20"/>
  <c r="W48" i="18"/>
  <c r="Y109" i="17"/>
  <c r="N120" i="21"/>
  <c r="P182" i="22"/>
  <c r="J186" i="22"/>
  <c r="H197" i="22"/>
  <c r="N197" i="22" s="1"/>
  <c r="R197" i="22" s="1"/>
  <c r="D212" i="22" s="1"/>
  <c r="J114" i="22"/>
  <c r="J116" i="22" s="1"/>
  <c r="BD45" i="18"/>
  <c r="H62" i="22"/>
  <c r="H32" i="22"/>
  <c r="N115" i="21"/>
  <c r="H119" i="21"/>
  <c r="P114" i="22"/>
  <c r="D126" i="21"/>
  <c r="P62" i="22"/>
  <c r="P11" i="20"/>
  <c r="H202" i="22"/>
  <c r="V44" i="19"/>
  <c r="D194" i="22"/>
  <c r="G72" i="20"/>
  <c r="O15" i="20"/>
  <c r="AZ40" i="17" s="1"/>
  <c r="V17" i="19"/>
  <c r="P58" i="22"/>
  <c r="BB94" i="18"/>
  <c r="BD94" i="18" s="1"/>
  <c r="BD87" i="18"/>
  <c r="BF110" i="17"/>
  <c r="BD9" i="17"/>
  <c r="AX47" i="18"/>
  <c r="S15" i="20"/>
  <c r="L17" i="19" s="1"/>
  <c r="V54" i="19"/>
  <c r="P115" i="22"/>
  <c r="N202" i="22"/>
  <c r="R202" i="22" s="1"/>
  <c r="BB48" i="18"/>
  <c r="BD48" i="18" s="1"/>
  <c r="H134" i="21"/>
  <c r="H135" i="21" s="1"/>
  <c r="T44" i="19"/>
  <c r="O123" i="20" l="1"/>
  <c r="D48" i="30" s="1"/>
  <c r="P90" i="20"/>
  <c r="P93" i="20" s="1"/>
  <c r="O93" i="20"/>
  <c r="P116" i="22"/>
  <c r="Z40" i="1"/>
  <c r="BC40" i="17"/>
  <c r="BF40" i="17" s="1"/>
  <c r="J187" i="22"/>
  <c r="J188" i="22" s="1"/>
  <c r="V25" i="19"/>
  <c r="T182" i="22"/>
  <c r="P186" i="22"/>
  <c r="Z48" i="18"/>
  <c r="W50" i="18"/>
  <c r="H200" i="22"/>
  <c r="H203" i="22" s="1"/>
  <c r="N194" i="22"/>
  <c r="BA47" i="18"/>
  <c r="AX61" i="18"/>
  <c r="BA61" i="18" s="1"/>
  <c r="BD61" i="18" s="1"/>
  <c r="AX50" i="18"/>
  <c r="AX52" i="18" s="1"/>
  <c r="AX59" i="18" s="1"/>
  <c r="AX63" i="18" s="1"/>
  <c r="AX78" i="18" s="1"/>
  <c r="AX82" i="18" s="1"/>
  <c r="G106" i="20"/>
  <c r="R115" i="21"/>
  <c r="N119" i="21"/>
  <c r="N121" i="21" s="1"/>
  <c r="X44" i="19"/>
  <c r="AA40" i="1"/>
  <c r="AA106" i="1" s="1"/>
  <c r="N126" i="21"/>
  <c r="D140" i="21" s="1"/>
  <c r="H120" i="21"/>
  <c r="H121" i="21" s="1"/>
  <c r="T17" i="19"/>
  <c r="L25" i="19"/>
  <c r="V27" i="19"/>
  <c r="P59" i="22"/>
  <c r="P60" i="22" s="1"/>
  <c r="W11" i="20"/>
  <c r="P15" i="20"/>
  <c r="D54" i="30" l="1"/>
  <c r="Z106" i="1"/>
  <c r="D148" i="21" s="1"/>
  <c r="W61" i="18"/>
  <c r="Z61" i="18" s="1"/>
  <c r="AC61" i="18" s="1"/>
  <c r="W52" i="18"/>
  <c r="W59" i="18" s="1"/>
  <c r="D134" i="21"/>
  <c r="R120" i="21"/>
  <c r="L52" i="19"/>
  <c r="X17" i="19"/>
  <c r="P188" i="22"/>
  <c r="D128" i="21"/>
  <c r="R119" i="21"/>
  <c r="D196" i="22"/>
  <c r="T186" i="22"/>
  <c r="T187" i="22"/>
  <c r="D202" i="22" s="1"/>
  <c r="P187" i="22"/>
  <c r="V52" i="19"/>
  <c r="D217" i="22" s="1"/>
  <c r="V28" i="19"/>
  <c r="W20" i="20"/>
  <c r="AZ106" i="17"/>
  <c r="AA48" i="18"/>
  <c r="AC48" i="18" s="1"/>
  <c r="AC50" i="18" s="1"/>
  <c r="AC52" i="18" s="1"/>
  <c r="AC59" i="18" s="1"/>
  <c r="Z50" i="18"/>
  <c r="Z52" i="18" s="1"/>
  <c r="Z59" i="18" s="1"/>
  <c r="BB47" i="18"/>
  <c r="BB50" i="18" s="1"/>
  <c r="BB52" i="18" s="1"/>
  <c r="BB59" i="18" s="1"/>
  <c r="BB63" i="18" s="1"/>
  <c r="BB78" i="18" s="1"/>
  <c r="BB82" i="18" s="1"/>
  <c r="BA50" i="18"/>
  <c r="BA52" i="18" s="1"/>
  <c r="BA59" i="18" s="1"/>
  <c r="BA63" i="18" s="1"/>
  <c r="BA78" i="18" s="1"/>
  <c r="R194" i="22"/>
  <c r="D209" i="22" s="1"/>
  <c r="BC52" i="17"/>
  <c r="BC54" i="17" s="1"/>
  <c r="BF52" i="17"/>
  <c r="BF54" i="17" s="1"/>
  <c r="AB40" i="17"/>
  <c r="AE40" i="17" s="1"/>
  <c r="Z63" i="18" l="1"/>
  <c r="Z89" i="18" s="1"/>
  <c r="Z86" i="18" s="1"/>
  <c r="AC63" i="18"/>
  <c r="W63" i="18"/>
  <c r="W78" i="18" s="1"/>
  <c r="W82" i="18" s="1"/>
  <c r="V55" i="19"/>
  <c r="T188" i="22"/>
  <c r="AC78" i="18"/>
  <c r="AC89" i="18"/>
  <c r="AC90" i="18" s="1"/>
  <c r="R38" i="19" s="1"/>
  <c r="T38" i="19" s="1"/>
  <c r="X38" i="19" s="1"/>
  <c r="AC86" i="18"/>
  <c r="BC106" i="17"/>
  <c r="AZ109" i="17"/>
  <c r="BA89" i="18"/>
  <c r="BA97" i="18"/>
  <c r="BA82" i="18"/>
  <c r="N134" i="21"/>
  <c r="BD47" i="18"/>
  <c r="BD50" i="18" s="1"/>
  <c r="BD52" i="18" s="1"/>
  <c r="BD59" i="18" s="1"/>
  <c r="BD63" i="18" s="1"/>
  <c r="N196" i="22"/>
  <c r="D200" i="22"/>
  <c r="D203" i="22" s="1"/>
  <c r="N128" i="21"/>
  <c r="D132" i="21"/>
  <c r="D135" i="21" s="1"/>
  <c r="Z78" i="18"/>
  <c r="Z82" i="18" s="1"/>
  <c r="Z97" i="18" s="1"/>
  <c r="AB52" i="17"/>
  <c r="AB54" i="17" s="1"/>
  <c r="R121" i="21"/>
  <c r="N132" i="21" l="1"/>
  <c r="D142" i="21"/>
  <c r="N135" i="21"/>
  <c r="Z11" i="18"/>
  <c r="AB119" i="17"/>
  <c r="AB120" i="17" s="1"/>
  <c r="R196" i="22"/>
  <c r="N200" i="22"/>
  <c r="N203" i="22" s="1"/>
  <c r="BF106" i="17"/>
  <c r="BC109" i="17"/>
  <c r="BC112" i="17" s="1"/>
  <c r="BC114" i="17" s="1"/>
  <c r="BC9" i="17" s="1"/>
  <c r="BD89" i="18"/>
  <c r="BD86" i="18" s="1"/>
  <c r="BD78" i="18"/>
  <c r="X109" i="17"/>
  <c r="AB109" i="17" s="1"/>
  <c r="AB112" i="17" s="1"/>
  <c r="AB114" i="17" s="1"/>
  <c r="AB9" i="17" s="1"/>
  <c r="AB106" i="17"/>
  <c r="R34" i="19"/>
  <c r="AE119" i="17"/>
  <c r="AC11" i="18"/>
  <c r="AB309" i="27"/>
  <c r="AB310" i="27" s="1"/>
  <c r="Z309" i="27"/>
  <c r="Z310" i="27" s="1"/>
  <c r="AE52" i="17"/>
  <c r="AE54" i="17" s="1"/>
  <c r="AC82" i="18"/>
  <c r="AC97" i="18"/>
  <c r="R200" i="22" l="1"/>
  <c r="R203" i="22" s="1"/>
  <c r="D211" i="22"/>
  <c r="D146" i="21"/>
  <c r="D149" i="21" s="1"/>
  <c r="AE120" i="17"/>
  <c r="L38" i="30"/>
  <c r="T34" i="19"/>
  <c r="R52" i="19"/>
  <c r="AC98" i="18"/>
  <c r="AC93" i="18"/>
  <c r="P37" i="21"/>
  <c r="P38" i="21" s="1"/>
  <c r="L27" i="19"/>
  <c r="L28" i="19" s="1"/>
  <c r="BF109" i="17"/>
  <c r="BD82" i="18"/>
  <c r="BD93" i="18"/>
  <c r="BD97" i="18" s="1"/>
  <c r="BD98" i="18" s="1"/>
  <c r="P70" i="21"/>
  <c r="P71" i="21" s="1"/>
  <c r="AE106" i="17"/>
  <c r="BF119" i="17"/>
  <c r="BF120" i="17" s="1"/>
  <c r="BD11" i="18"/>
  <c r="D215" i="22" l="1"/>
  <c r="D218" i="22" s="1"/>
  <c r="R55" i="19"/>
  <c r="L54" i="19"/>
  <c r="L55" i="19" s="1"/>
  <c r="AE109" i="17"/>
  <c r="T27" i="19"/>
  <c r="BF112" i="17"/>
  <c r="X34" i="19"/>
  <c r="X27" i="19" l="1"/>
  <c r="BF114" i="17"/>
  <c r="BF9" i="17" s="1"/>
  <c r="T54" i="19"/>
  <c r="AE112" i="17"/>
  <c r="X54" i="19" l="1"/>
  <c r="AE114" i="17"/>
  <c r="AE9" i="17" s="1"/>
  <c r="AD342" i="15" l="1"/>
  <c r="X342" i="15"/>
  <c r="W342" i="15"/>
  <c r="U342" i="15"/>
  <c r="T342" i="15"/>
  <c r="R342" i="15"/>
  <c r="R343" i="15" s="1"/>
  <c r="N342" i="15"/>
  <c r="N343" i="15" s="1"/>
  <c r="M342" i="15"/>
  <c r="K342" i="15"/>
  <c r="K343" i="15" s="1"/>
  <c r="AA340" i="15"/>
  <c r="AA343" i="15" s="1"/>
  <c r="W340" i="15"/>
  <c r="T340" i="15"/>
  <c r="P340" i="15"/>
  <c r="M340" i="15"/>
  <c r="K340" i="15"/>
  <c r="J340" i="15"/>
  <c r="I340" i="15"/>
  <c r="E340" i="15"/>
  <c r="Y338" i="15"/>
  <c r="S338" i="15"/>
  <c r="Y337" i="15"/>
  <c r="AC337" i="15" s="1"/>
  <c r="AE337" i="15" s="1"/>
  <c r="S337" i="15"/>
  <c r="AC336" i="15"/>
  <c r="AE336" i="15" s="1"/>
  <c r="Y336" i="15"/>
  <c r="S336" i="15"/>
  <c r="AC335" i="15"/>
  <c r="AE335" i="15" s="1"/>
  <c r="AC334" i="15"/>
  <c r="AE334" i="15" s="1"/>
  <c r="Y332" i="15"/>
  <c r="V332" i="15"/>
  <c r="S332" i="15"/>
  <c r="O332" i="15"/>
  <c r="L332" i="15"/>
  <c r="H332" i="15"/>
  <c r="Y331" i="15"/>
  <c r="V331" i="15"/>
  <c r="S331" i="15"/>
  <c r="O331" i="15"/>
  <c r="L331" i="15"/>
  <c r="H331" i="15"/>
  <c r="Y330" i="15"/>
  <c r="V330" i="15"/>
  <c r="S330" i="15"/>
  <c r="O330" i="15"/>
  <c r="L330" i="15"/>
  <c r="H330" i="15"/>
  <c r="Y329" i="15"/>
  <c r="U329" i="15"/>
  <c r="V329" i="15" s="1"/>
  <c r="S329" i="15"/>
  <c r="O329" i="15"/>
  <c r="L329" i="15"/>
  <c r="H329" i="15"/>
  <c r="Y328" i="15"/>
  <c r="V328" i="15"/>
  <c r="S328" i="15"/>
  <c r="O328" i="15"/>
  <c r="L328" i="15"/>
  <c r="H328" i="15"/>
  <c r="AC328" i="15" s="1"/>
  <c r="Y327" i="15"/>
  <c r="V327" i="15"/>
  <c r="S327" i="15"/>
  <c r="O327" i="15"/>
  <c r="L327" i="15"/>
  <c r="H327" i="15"/>
  <c r="Y326" i="15"/>
  <c r="U326" i="15"/>
  <c r="V326" i="15" s="1"/>
  <c r="S326" i="15"/>
  <c r="O326" i="15"/>
  <c r="L326" i="15"/>
  <c r="H326" i="15"/>
  <c r="X325" i="15"/>
  <c r="Y325" i="15" s="1"/>
  <c r="V325" i="15"/>
  <c r="N325" i="15"/>
  <c r="O325" i="15" s="1"/>
  <c r="L325" i="15"/>
  <c r="H325" i="15"/>
  <c r="X317" i="15"/>
  <c r="X318" i="15" s="1"/>
  <c r="W317" i="15"/>
  <c r="U317" i="15"/>
  <c r="U318" i="15" s="1"/>
  <c r="R317" i="15"/>
  <c r="R318" i="15" s="1"/>
  <c r="N317" i="15"/>
  <c r="N318" i="15" s="1"/>
  <c r="K317" i="15"/>
  <c r="AA315" i="15"/>
  <c r="AA318" i="15" s="1"/>
  <c r="W315" i="15"/>
  <c r="Y313" i="15"/>
  <c r="S313" i="15"/>
  <c r="H313" i="15"/>
  <c r="Y312" i="15"/>
  <c r="V312" i="15"/>
  <c r="S312" i="15"/>
  <c r="O312" i="15"/>
  <c r="L312" i="15"/>
  <c r="F312" i="15"/>
  <c r="Y311" i="15"/>
  <c r="V311" i="15"/>
  <c r="S311" i="15"/>
  <c r="K311" i="15"/>
  <c r="K315" i="15" s="1"/>
  <c r="Y310" i="15"/>
  <c r="Y309" i="15"/>
  <c r="S309" i="15"/>
  <c r="F309" i="15"/>
  <c r="H309" i="15" s="1"/>
  <c r="AC309" i="15" s="1"/>
  <c r="Y308" i="15"/>
  <c r="S308" i="15"/>
  <c r="F308" i="15"/>
  <c r="H308" i="15" s="1"/>
  <c r="Y307" i="15"/>
  <c r="S307" i="15"/>
  <c r="Y304" i="15"/>
  <c r="V304" i="15"/>
  <c r="S304" i="15"/>
  <c r="O304" i="15"/>
  <c r="L304" i="15"/>
  <c r="F304" i="15"/>
  <c r="H304" i="15" s="1"/>
  <c r="Y303" i="15"/>
  <c r="V303" i="15"/>
  <c r="S303" i="15"/>
  <c r="O303" i="15"/>
  <c r="L303" i="15"/>
  <c r="F303" i="15"/>
  <c r="H303" i="15" s="1"/>
  <c r="AC303" i="15" s="1"/>
  <c r="Y302" i="15"/>
  <c r="V302" i="15"/>
  <c r="S302" i="15"/>
  <c r="L302" i="15"/>
  <c r="F302" i="15"/>
  <c r="H302" i="15" s="1"/>
  <c r="Y301" i="15"/>
  <c r="V301" i="15"/>
  <c r="S301" i="15"/>
  <c r="O301" i="15"/>
  <c r="L301" i="15"/>
  <c r="Y300" i="15"/>
  <c r="V300" i="15"/>
  <c r="S300" i="15"/>
  <c r="O300" i="15"/>
  <c r="L300" i="15"/>
  <c r="Y299" i="15"/>
  <c r="V299" i="15"/>
  <c r="S299" i="15"/>
  <c r="O299" i="15"/>
  <c r="L299" i="15"/>
  <c r="Y298" i="15"/>
  <c r="V298" i="15"/>
  <c r="S298" i="15"/>
  <c r="O298" i="15"/>
  <c r="L298" i="15"/>
  <c r="Y297" i="15"/>
  <c r="V297" i="15"/>
  <c r="S297" i="15"/>
  <c r="O297" i="15"/>
  <c r="L297" i="15"/>
  <c r="F297" i="15"/>
  <c r="H297" i="15" s="1"/>
  <c r="AD289" i="15"/>
  <c r="Z289" i="15"/>
  <c r="X289" i="15"/>
  <c r="X290" i="15" s="1"/>
  <c r="W289" i="15"/>
  <c r="T289" i="15"/>
  <c r="R289" i="15"/>
  <c r="N289" i="15"/>
  <c r="N290" i="15" s="1"/>
  <c r="K289" i="15"/>
  <c r="AA287" i="15"/>
  <c r="AA290" i="15" s="1"/>
  <c r="W287" i="15"/>
  <c r="R287" i="15"/>
  <c r="M287" i="15"/>
  <c r="I287" i="15"/>
  <c r="Y285" i="15"/>
  <c r="V285" i="15"/>
  <c r="O285" i="15"/>
  <c r="L285" i="15"/>
  <c r="H285" i="15"/>
  <c r="Y284" i="15"/>
  <c r="V284" i="15"/>
  <c r="AC284" i="15" s="1"/>
  <c r="O284" i="15"/>
  <c r="L284" i="15"/>
  <c r="H284" i="15"/>
  <c r="Y283" i="15"/>
  <c r="V283" i="15"/>
  <c r="O283" i="15"/>
  <c r="L283" i="15"/>
  <c r="H283" i="15"/>
  <c r="Y282" i="15"/>
  <c r="V282" i="15"/>
  <c r="S282" i="15"/>
  <c r="O282" i="15"/>
  <c r="L282" i="15"/>
  <c r="H282" i="15"/>
  <c r="Y281" i="15"/>
  <c r="V281" i="15"/>
  <c r="S281" i="15"/>
  <c r="O281" i="15"/>
  <c r="L281" i="15"/>
  <c r="H281" i="15"/>
  <c r="AC281" i="15" s="1"/>
  <c r="AE281" i="15" s="1"/>
  <c r="Y278" i="15"/>
  <c r="V278" i="15"/>
  <c r="O278" i="15"/>
  <c r="K278" i="15"/>
  <c r="L278" i="15" s="1"/>
  <c r="H278" i="15"/>
  <c r="Y277" i="15"/>
  <c r="V277" i="15"/>
  <c r="S277" i="15"/>
  <c r="O277" i="15"/>
  <c r="L277" i="15"/>
  <c r="H277" i="15"/>
  <c r="Y276" i="15"/>
  <c r="V276" i="15"/>
  <c r="S276" i="15"/>
  <c r="O276" i="15"/>
  <c r="L276" i="15"/>
  <c r="H276" i="15"/>
  <c r="Y275" i="15"/>
  <c r="S275" i="15"/>
  <c r="O275" i="15"/>
  <c r="L275" i="15"/>
  <c r="F275" i="15"/>
  <c r="H275" i="15" s="1"/>
  <c r="Y274" i="15"/>
  <c r="V274" i="15"/>
  <c r="S274" i="15"/>
  <c r="O274" i="15"/>
  <c r="L274" i="15"/>
  <c r="F274" i="15"/>
  <c r="H274" i="15" s="1"/>
  <c r="Y273" i="15"/>
  <c r="S273" i="15"/>
  <c r="P287" i="15"/>
  <c r="O273" i="15"/>
  <c r="K273" i="15"/>
  <c r="L273" i="15" s="1"/>
  <c r="J287" i="15"/>
  <c r="F273" i="15"/>
  <c r="H273" i="15" s="1"/>
  <c r="Y272" i="15"/>
  <c r="V272" i="15"/>
  <c r="S272" i="15"/>
  <c r="O272" i="15"/>
  <c r="L272" i="15"/>
  <c r="F272" i="15"/>
  <c r="H272" i="15" s="1"/>
  <c r="Y271" i="15"/>
  <c r="O271" i="15"/>
  <c r="L271" i="15"/>
  <c r="H271" i="15"/>
  <c r="E287" i="15"/>
  <c r="X263" i="15"/>
  <c r="W263" i="15"/>
  <c r="U263" i="15"/>
  <c r="R263" i="15"/>
  <c r="N263" i="15"/>
  <c r="M263" i="15"/>
  <c r="K263" i="15"/>
  <c r="AA261" i="15"/>
  <c r="AA264" i="15" s="1"/>
  <c r="X261" i="15"/>
  <c r="W261" i="15"/>
  <c r="U261" i="15"/>
  <c r="R261" i="15"/>
  <c r="N261" i="15"/>
  <c r="M261" i="15"/>
  <c r="K261" i="15"/>
  <c r="E261" i="15"/>
  <c r="Y259" i="15"/>
  <c r="V259" i="15"/>
  <c r="S259" i="15"/>
  <c r="O259" i="15"/>
  <c r="L259" i="15"/>
  <c r="Y258" i="15"/>
  <c r="V258" i="15"/>
  <c r="S258" i="15"/>
  <c r="O258" i="15"/>
  <c r="L258" i="15"/>
  <c r="H258" i="15"/>
  <c r="Y257" i="15"/>
  <c r="V257" i="15"/>
  <c r="S257" i="15"/>
  <c r="O257" i="15"/>
  <c r="L257" i="15"/>
  <c r="H257" i="15"/>
  <c r="Y256" i="15"/>
  <c r="V256" i="15"/>
  <c r="S256" i="15"/>
  <c r="O256" i="15"/>
  <c r="L256" i="15"/>
  <c r="H256" i="15"/>
  <c r="Y255" i="15"/>
  <c r="V255" i="15"/>
  <c r="S255" i="15"/>
  <c r="O255" i="15"/>
  <c r="Y254" i="15"/>
  <c r="V254" i="15"/>
  <c r="S254" i="15"/>
  <c r="O254" i="15"/>
  <c r="Y253" i="15"/>
  <c r="V253" i="15"/>
  <c r="O253" i="15"/>
  <c r="L253" i="15"/>
  <c r="F261" i="15"/>
  <c r="Y252" i="15"/>
  <c r="V252" i="15"/>
  <c r="S252" i="15"/>
  <c r="O252" i="15"/>
  <c r="L252" i="15"/>
  <c r="H252" i="15"/>
  <c r="X243" i="15"/>
  <c r="W243" i="15"/>
  <c r="U243" i="15"/>
  <c r="R243" i="15"/>
  <c r="N243" i="15"/>
  <c r="K243" i="15"/>
  <c r="G243" i="15"/>
  <c r="AA244" i="15"/>
  <c r="K241" i="15"/>
  <c r="I241" i="15"/>
  <c r="Y238" i="15"/>
  <c r="S238" i="15"/>
  <c r="Y237" i="15"/>
  <c r="S237" i="15"/>
  <c r="Y234" i="15"/>
  <c r="V234" i="15"/>
  <c r="S234" i="15"/>
  <c r="O234" i="15"/>
  <c r="L234" i="15"/>
  <c r="H234" i="15"/>
  <c r="Y233" i="15"/>
  <c r="V233" i="15"/>
  <c r="S233" i="15"/>
  <c r="O233" i="15"/>
  <c r="L233" i="15"/>
  <c r="H233" i="15"/>
  <c r="Y232" i="15"/>
  <c r="V232" i="15"/>
  <c r="S232" i="15"/>
  <c r="O232" i="15"/>
  <c r="L232" i="15"/>
  <c r="H232" i="15"/>
  <c r="Y231" i="15"/>
  <c r="V231" i="15"/>
  <c r="O231" i="15"/>
  <c r="L231" i="15"/>
  <c r="H231" i="15"/>
  <c r="Y230" i="15"/>
  <c r="V230" i="15"/>
  <c r="S230" i="15"/>
  <c r="O230" i="15"/>
  <c r="L230" i="15"/>
  <c r="H230" i="15"/>
  <c r="Y229" i="15"/>
  <c r="V229" i="15"/>
  <c r="S229" i="15"/>
  <c r="O229" i="15"/>
  <c r="L229" i="15"/>
  <c r="H229" i="15"/>
  <c r="Y228" i="15"/>
  <c r="V228" i="15"/>
  <c r="G146" i="7" s="1"/>
  <c r="S228" i="15"/>
  <c r="O228" i="15"/>
  <c r="L228" i="15"/>
  <c r="Y227" i="15"/>
  <c r="O227" i="15"/>
  <c r="L227" i="15"/>
  <c r="H227" i="15"/>
  <c r="X218" i="15"/>
  <c r="W218" i="15"/>
  <c r="R218" i="15"/>
  <c r="R219" i="15" s="1"/>
  <c r="N218" i="15"/>
  <c r="N219" i="15" s="1"/>
  <c r="AA216" i="15"/>
  <c r="AA219" i="15" s="1"/>
  <c r="Y214" i="15"/>
  <c r="V214" i="15"/>
  <c r="S214" i="15"/>
  <c r="O214" i="15"/>
  <c r="L214" i="15"/>
  <c r="Y213" i="15"/>
  <c r="V213" i="15"/>
  <c r="S213" i="15"/>
  <c r="O213" i="15"/>
  <c r="G213" i="15"/>
  <c r="H213" i="15" s="1"/>
  <c r="Y212" i="15"/>
  <c r="V212" i="15"/>
  <c r="S212" i="15"/>
  <c r="O212" i="15"/>
  <c r="G212" i="15"/>
  <c r="Y211" i="15"/>
  <c r="V211" i="15"/>
  <c r="S211" i="15"/>
  <c r="O211" i="15"/>
  <c r="L211" i="15"/>
  <c r="H211" i="15"/>
  <c r="V207" i="15"/>
  <c r="Q207" i="15"/>
  <c r="S207" i="15" s="1"/>
  <c r="L207" i="15"/>
  <c r="V206" i="15"/>
  <c r="H206" i="15"/>
  <c r="X205" i="15"/>
  <c r="Y205" i="15" s="1"/>
  <c r="V205" i="15"/>
  <c r="S205" i="15"/>
  <c r="O205" i="15"/>
  <c r="K205" i="15"/>
  <c r="K216" i="15" s="1"/>
  <c r="Y204" i="15"/>
  <c r="V204" i="15"/>
  <c r="S204" i="15"/>
  <c r="O204" i="15"/>
  <c r="L204" i="15"/>
  <c r="H204" i="15"/>
  <c r="Y203" i="15"/>
  <c r="V203" i="15"/>
  <c r="S203" i="15"/>
  <c r="O203" i="15"/>
  <c r="X202" i="15"/>
  <c r="Y202" i="15" s="1"/>
  <c r="V202" i="15"/>
  <c r="S202" i="15"/>
  <c r="O202" i="15"/>
  <c r="H202" i="15"/>
  <c r="Y201" i="15"/>
  <c r="V201" i="15"/>
  <c r="S201" i="15"/>
  <c r="O201" i="15"/>
  <c r="Y210" i="15"/>
  <c r="V210" i="15"/>
  <c r="S210" i="15"/>
  <c r="O210" i="15"/>
  <c r="L210" i="15"/>
  <c r="H210" i="15"/>
  <c r="Y200" i="15"/>
  <c r="W216" i="15"/>
  <c r="W219" i="15" s="1"/>
  <c r="U200" i="15"/>
  <c r="V200" i="15" s="1"/>
  <c r="S200" i="15"/>
  <c r="O200" i="15"/>
  <c r="G89" i="7" s="1"/>
  <c r="L200" i="15"/>
  <c r="Y199" i="15"/>
  <c r="P216" i="15"/>
  <c r="X191" i="15"/>
  <c r="W191" i="15"/>
  <c r="U191" i="15"/>
  <c r="U192" i="15" s="1"/>
  <c r="R191" i="15"/>
  <c r="N191" i="15"/>
  <c r="G191" i="15"/>
  <c r="E191" i="15"/>
  <c r="AA189" i="15"/>
  <c r="AA192" i="15" s="1"/>
  <c r="W189" i="15"/>
  <c r="M189" i="15"/>
  <c r="Y187" i="15"/>
  <c r="V187" i="15"/>
  <c r="S187" i="15"/>
  <c r="O187" i="15"/>
  <c r="H187" i="15"/>
  <c r="Y186" i="15"/>
  <c r="V186" i="15"/>
  <c r="S186" i="15"/>
  <c r="O186" i="15"/>
  <c r="H186" i="15"/>
  <c r="Y184" i="15"/>
  <c r="V184" i="15"/>
  <c r="S184" i="15"/>
  <c r="O184" i="15"/>
  <c r="H184" i="15"/>
  <c r="Y183" i="15"/>
  <c r="V183" i="15"/>
  <c r="S183" i="15"/>
  <c r="O183" i="15"/>
  <c r="H183" i="15"/>
  <c r="Y182" i="15"/>
  <c r="V182" i="15"/>
  <c r="S182" i="15"/>
  <c r="O182" i="15"/>
  <c r="H182" i="15"/>
  <c r="Y181" i="15"/>
  <c r="V181" i="15"/>
  <c r="S181" i="15"/>
  <c r="O181" i="15"/>
  <c r="K181" i="15"/>
  <c r="K189" i="15" s="1"/>
  <c r="G181" i="15"/>
  <c r="Y180" i="15"/>
  <c r="V180" i="15"/>
  <c r="S180" i="15"/>
  <c r="O180" i="15"/>
  <c r="H180" i="15"/>
  <c r="Y179" i="15"/>
  <c r="V179" i="15"/>
  <c r="Q189" i="15"/>
  <c r="P189" i="15"/>
  <c r="O179" i="15"/>
  <c r="Y178" i="15"/>
  <c r="U178" i="15"/>
  <c r="V178" i="15" s="1"/>
  <c r="S178" i="15"/>
  <c r="O178" i="15"/>
  <c r="H178" i="15"/>
  <c r="Y177" i="15"/>
  <c r="S177" i="15"/>
  <c r="O177" i="15"/>
  <c r="AD169" i="15"/>
  <c r="X169" i="15"/>
  <c r="W169" i="15"/>
  <c r="U169" i="15"/>
  <c r="R169" i="15"/>
  <c r="N169" i="15"/>
  <c r="K169" i="15"/>
  <c r="G169" i="15"/>
  <c r="AD167" i="15"/>
  <c r="AA167" i="15"/>
  <c r="AA170" i="15" s="1"/>
  <c r="X167" i="15"/>
  <c r="W167" i="15"/>
  <c r="U167" i="15"/>
  <c r="T167" i="15"/>
  <c r="R167" i="15"/>
  <c r="N167" i="15"/>
  <c r="M167" i="15"/>
  <c r="J167" i="15"/>
  <c r="E167" i="15"/>
  <c r="Y165" i="15"/>
  <c r="V165" i="15"/>
  <c r="Q167" i="15"/>
  <c r="O165" i="15"/>
  <c r="L165" i="15"/>
  <c r="H165" i="15"/>
  <c r="Y164" i="15"/>
  <c r="V164" i="15"/>
  <c r="S164" i="15"/>
  <c r="O164" i="15"/>
  <c r="L164" i="15"/>
  <c r="G164" i="15"/>
  <c r="Y161" i="15"/>
  <c r="V161" i="15"/>
  <c r="S161" i="15"/>
  <c r="O161" i="15"/>
  <c r="L161" i="15"/>
  <c r="H161" i="15"/>
  <c r="Y160" i="15"/>
  <c r="V160" i="15"/>
  <c r="S160" i="15"/>
  <c r="O160" i="15"/>
  <c r="L160" i="15"/>
  <c r="H160" i="15"/>
  <c r="Y159" i="15"/>
  <c r="V159" i="15"/>
  <c r="S159" i="15"/>
  <c r="O159" i="15"/>
  <c r="L159" i="15"/>
  <c r="H159" i="15"/>
  <c r="Y158" i="15"/>
  <c r="V158" i="15"/>
  <c r="S158" i="15"/>
  <c r="O158" i="15"/>
  <c r="L158" i="15"/>
  <c r="H158" i="15"/>
  <c r="Y157" i="15"/>
  <c r="V157" i="15"/>
  <c r="S157" i="15"/>
  <c r="O157" i="15"/>
  <c r="L157" i="15"/>
  <c r="H157" i="15"/>
  <c r="Y156" i="15"/>
  <c r="V156" i="15"/>
  <c r="S156" i="15"/>
  <c r="O156" i="15"/>
  <c r="L156" i="15"/>
  <c r="H156" i="15"/>
  <c r="Y155" i="15"/>
  <c r="V155" i="15"/>
  <c r="S155" i="15"/>
  <c r="O155" i="15"/>
  <c r="H155" i="15"/>
  <c r="Y154" i="15"/>
  <c r="V154" i="15"/>
  <c r="S154" i="15"/>
  <c r="O154" i="15"/>
  <c r="K154" i="15"/>
  <c r="K167" i="15" s="1"/>
  <c r="H154" i="15"/>
  <c r="AD146" i="15"/>
  <c r="X146" i="15"/>
  <c r="W146" i="15"/>
  <c r="U146" i="15"/>
  <c r="N146" i="15"/>
  <c r="K146" i="15"/>
  <c r="G146" i="15"/>
  <c r="AD142" i="15"/>
  <c r="AD144" i="15" s="1"/>
  <c r="AA142" i="15"/>
  <c r="AA144" i="15" s="1"/>
  <c r="AA147" i="15" s="1"/>
  <c r="X142" i="15"/>
  <c r="U142" i="15"/>
  <c r="R142" i="15"/>
  <c r="P142" i="15"/>
  <c r="P144" i="15" s="1"/>
  <c r="M142" i="15"/>
  <c r="M144" i="15" s="1"/>
  <c r="K142" i="15"/>
  <c r="I142" i="15"/>
  <c r="I144" i="15" s="1"/>
  <c r="Y140" i="15"/>
  <c r="V140" i="15"/>
  <c r="O140" i="15"/>
  <c r="L140" i="15"/>
  <c r="W139" i="15"/>
  <c r="V139" i="15"/>
  <c r="N142" i="15"/>
  <c r="L139" i="15"/>
  <c r="V137" i="15"/>
  <c r="V136" i="15"/>
  <c r="S136" i="15"/>
  <c r="O136" i="15"/>
  <c r="L136" i="15"/>
  <c r="H136" i="15"/>
  <c r="H142" i="15" s="1"/>
  <c r="Y135" i="15"/>
  <c r="V135" i="15"/>
  <c r="S135" i="15"/>
  <c r="O135" i="15"/>
  <c r="L135" i="15"/>
  <c r="H135" i="15"/>
  <c r="Y134" i="15"/>
  <c r="V134" i="15"/>
  <c r="T142" i="15"/>
  <c r="T144" i="15" s="1"/>
  <c r="S134" i="15"/>
  <c r="O134" i="15"/>
  <c r="L134" i="15"/>
  <c r="H134" i="15"/>
  <c r="Y133" i="15"/>
  <c r="V133" i="15"/>
  <c r="S133" i="15"/>
  <c r="O133" i="15"/>
  <c r="L133" i="15"/>
  <c r="H133" i="15"/>
  <c r="Y132" i="15"/>
  <c r="V132" i="15"/>
  <c r="S132" i="15"/>
  <c r="O132" i="15"/>
  <c r="L132" i="15"/>
  <c r="H132" i="15"/>
  <c r="Y131" i="15"/>
  <c r="V131" i="15"/>
  <c r="S131" i="15"/>
  <c r="O131" i="15"/>
  <c r="L131" i="15"/>
  <c r="H131" i="15"/>
  <c r="Y130" i="15"/>
  <c r="V130" i="15"/>
  <c r="S130" i="15"/>
  <c r="O130" i="15"/>
  <c r="L130" i="15"/>
  <c r="H130" i="15"/>
  <c r="Y129" i="15"/>
  <c r="V129" i="15"/>
  <c r="S129" i="15"/>
  <c r="O129" i="15"/>
  <c r="L129" i="15"/>
  <c r="H129" i="15"/>
  <c r="Y128" i="15"/>
  <c r="V128" i="15"/>
  <c r="S128" i="15"/>
  <c r="O128" i="15"/>
  <c r="L128" i="15"/>
  <c r="H128" i="15"/>
  <c r="X121" i="15"/>
  <c r="W121" i="15"/>
  <c r="U121" i="15"/>
  <c r="T121" i="15"/>
  <c r="R121" i="15"/>
  <c r="N121" i="15"/>
  <c r="G121" i="15"/>
  <c r="AA117" i="15"/>
  <c r="AA119" i="15" s="1"/>
  <c r="AA122" i="15" s="1"/>
  <c r="X117" i="15"/>
  <c r="W117" i="15"/>
  <c r="W119" i="15" s="1"/>
  <c r="U117" i="15"/>
  <c r="T117" i="15"/>
  <c r="T119" i="15" s="1"/>
  <c r="R117" i="15"/>
  <c r="P117" i="15"/>
  <c r="P119" i="15" s="1"/>
  <c r="L115" i="15"/>
  <c r="AC115" i="15" s="1"/>
  <c r="AE115" i="15" s="1"/>
  <c r="L113" i="15"/>
  <c r="H113" i="15"/>
  <c r="AC113" i="15" s="1"/>
  <c r="AE113" i="15" s="1"/>
  <c r="Y112" i="15"/>
  <c r="V112" i="15"/>
  <c r="S112" i="15"/>
  <c r="O112" i="15"/>
  <c r="L112" i="15"/>
  <c r="H112" i="15"/>
  <c r="Y111" i="15"/>
  <c r="V111" i="15"/>
  <c r="S111" i="15"/>
  <c r="O111" i="15"/>
  <c r="H111" i="15"/>
  <c r="Y110" i="15"/>
  <c r="V110" i="15"/>
  <c r="S110" i="15"/>
  <c r="O110" i="15"/>
  <c r="L110" i="15"/>
  <c r="G107" i="15"/>
  <c r="H107" i="15" s="1"/>
  <c r="AC107" i="15" s="1"/>
  <c r="G106" i="15"/>
  <c r="H106" i="15" s="1"/>
  <c r="AC106" i="15" s="1"/>
  <c r="G105" i="15"/>
  <c r="H105" i="15" s="1"/>
  <c r="AC105" i="15" s="1"/>
  <c r="G104" i="15"/>
  <c r="H104" i="15" s="1"/>
  <c r="AC104" i="15" s="1"/>
  <c r="L103" i="15"/>
  <c r="G103" i="15"/>
  <c r="H103" i="15" s="1"/>
  <c r="Y102" i="15"/>
  <c r="V102" i="15"/>
  <c r="S102" i="15"/>
  <c r="O102" i="15"/>
  <c r="L102" i="15"/>
  <c r="H147" i="7" s="1"/>
  <c r="G102" i="15"/>
  <c r="Y101" i="15"/>
  <c r="V101" i="15"/>
  <c r="S101" i="15"/>
  <c r="O101" i="15"/>
  <c r="L101" i="15"/>
  <c r="H101" i="15"/>
  <c r="Y100" i="15"/>
  <c r="V100" i="15"/>
  <c r="S100" i="15"/>
  <c r="L100" i="15"/>
  <c r="H100" i="15"/>
  <c r="Y99" i="15"/>
  <c r="V99" i="15"/>
  <c r="S99" i="15"/>
  <c r="K99" i="15"/>
  <c r="H99" i="15"/>
  <c r="Y98" i="15"/>
  <c r="V98" i="15"/>
  <c r="S98" i="15"/>
  <c r="O98" i="15"/>
  <c r="L98" i="15"/>
  <c r="H98" i="15"/>
  <c r="Y97" i="15"/>
  <c r="V97" i="15"/>
  <c r="S97" i="15"/>
  <c r="O97" i="15"/>
  <c r="H97" i="15"/>
  <c r="Y96" i="15"/>
  <c r="V96" i="15"/>
  <c r="S96" i="15"/>
  <c r="L96" i="15"/>
  <c r="H96" i="15"/>
  <c r="Y95" i="15"/>
  <c r="V95" i="15"/>
  <c r="S95" i="15"/>
  <c r="O95" i="15"/>
  <c r="X87" i="15"/>
  <c r="X88" i="15" s="1"/>
  <c r="W87" i="15"/>
  <c r="R87" i="15"/>
  <c r="AA83" i="15"/>
  <c r="AA85" i="15" s="1"/>
  <c r="AA88" i="15" s="1"/>
  <c r="W83" i="15"/>
  <c r="W85" i="15" s="1"/>
  <c r="R83" i="15"/>
  <c r="R85" i="15" s="1"/>
  <c r="Q83" i="15"/>
  <c r="Q85" i="15" s="1"/>
  <c r="F83" i="15"/>
  <c r="F85" i="15" s="1"/>
  <c r="Y81" i="15"/>
  <c r="V81" i="15"/>
  <c r="O81" i="15"/>
  <c r="L81" i="15"/>
  <c r="H81" i="15"/>
  <c r="Y80" i="15"/>
  <c r="V80" i="15"/>
  <c r="S80" i="15"/>
  <c r="O80" i="15"/>
  <c r="L80" i="15"/>
  <c r="H80" i="15"/>
  <c r="Y79" i="15"/>
  <c r="S79" i="15"/>
  <c r="O79" i="15"/>
  <c r="L79" i="15"/>
  <c r="H79" i="15"/>
  <c r="Y78" i="15"/>
  <c r="V78" i="15"/>
  <c r="S78" i="15"/>
  <c r="O78" i="15"/>
  <c r="G78" i="15"/>
  <c r="Y77" i="15"/>
  <c r="V77" i="15"/>
  <c r="S77" i="15"/>
  <c r="O77" i="15"/>
  <c r="L77" i="15"/>
  <c r="H77" i="15"/>
  <c r="Y76" i="15"/>
  <c r="V76" i="15"/>
  <c r="S76" i="15"/>
  <c r="O76" i="15"/>
  <c r="L76" i="15"/>
  <c r="G76" i="15"/>
  <c r="H76" i="15" s="1"/>
  <c r="Y74" i="15"/>
  <c r="V74" i="15"/>
  <c r="O74" i="15"/>
  <c r="L74" i="15"/>
  <c r="H74" i="15"/>
  <c r="H71" i="15"/>
  <c r="AC71" i="15" s="1"/>
  <c r="Y70" i="15"/>
  <c r="S70" i="15"/>
  <c r="O70" i="15"/>
  <c r="K70" i="15"/>
  <c r="L70" i="15" s="1"/>
  <c r="Y69" i="15"/>
  <c r="S69" i="15"/>
  <c r="O69" i="15"/>
  <c r="L69" i="15"/>
  <c r="H69" i="15"/>
  <c r="Y68" i="15"/>
  <c r="S68" i="15"/>
  <c r="O68" i="15"/>
  <c r="L68" i="15"/>
  <c r="H68" i="15"/>
  <c r="Y67" i="15"/>
  <c r="V67" i="15"/>
  <c r="S67" i="15"/>
  <c r="O67" i="15"/>
  <c r="L67" i="15"/>
  <c r="H67" i="15"/>
  <c r="Y66" i="15"/>
  <c r="S66" i="15"/>
  <c r="O66" i="15"/>
  <c r="L66" i="15"/>
  <c r="H66" i="15"/>
  <c r="Y75" i="15"/>
  <c r="V75" i="15"/>
  <c r="S75" i="15"/>
  <c r="O75" i="15"/>
  <c r="K75" i="15"/>
  <c r="J83" i="15"/>
  <c r="J85" i="15" s="1"/>
  <c r="H75" i="15"/>
  <c r="Y65" i="15"/>
  <c r="S65" i="15"/>
  <c r="O65" i="15"/>
  <c r="G65" i="15"/>
  <c r="H65" i="15" s="1"/>
  <c r="Y64" i="15"/>
  <c r="V64" i="15"/>
  <c r="M83" i="15"/>
  <c r="M85" i="15" s="1"/>
  <c r="K64" i="15"/>
  <c r="L64" i="15" s="1"/>
  <c r="H64" i="15"/>
  <c r="X57" i="15"/>
  <c r="X58" i="15" s="1"/>
  <c r="W57" i="15"/>
  <c r="U57" i="15"/>
  <c r="U58" i="15" s="1"/>
  <c r="T57" i="15"/>
  <c r="R57" i="15"/>
  <c r="R58" i="15" s="1"/>
  <c r="N57" i="15"/>
  <c r="N58" i="15" s="1"/>
  <c r="K57" i="15"/>
  <c r="K58" i="15" s="1"/>
  <c r="G57" i="15"/>
  <c r="G58" i="15" s="1"/>
  <c r="AD52" i="15"/>
  <c r="AD55" i="15" s="1"/>
  <c r="AD58" i="15" s="1"/>
  <c r="AA52" i="15"/>
  <c r="AA55" i="15" s="1"/>
  <c r="AA58" i="15" s="1"/>
  <c r="Z52" i="15"/>
  <c r="X52" i="15"/>
  <c r="W52" i="15"/>
  <c r="W55" i="15" s="1"/>
  <c r="U52" i="15"/>
  <c r="T52" i="15"/>
  <c r="T55" i="15" s="1"/>
  <c r="R52" i="15"/>
  <c r="P52" i="15"/>
  <c r="P55" i="15" s="1"/>
  <c r="N52" i="15"/>
  <c r="M52" i="15"/>
  <c r="M55" i="15" s="1"/>
  <c r="K52" i="15"/>
  <c r="I52" i="15"/>
  <c r="I55" i="15" s="1"/>
  <c r="G52" i="15"/>
  <c r="E52" i="15"/>
  <c r="E55" i="15" s="1"/>
  <c r="Y49" i="15"/>
  <c r="V49" i="15"/>
  <c r="S49" i="15"/>
  <c r="O49" i="15"/>
  <c r="L49" i="15"/>
  <c r="H49" i="15"/>
  <c r="Y48" i="15"/>
  <c r="V48" i="15"/>
  <c r="S48" i="15"/>
  <c r="O48" i="15"/>
  <c r="L48" i="15"/>
  <c r="H48" i="15"/>
  <c r="Y47" i="15"/>
  <c r="V47" i="15"/>
  <c r="S47" i="15"/>
  <c r="O47" i="15"/>
  <c r="L47" i="15"/>
  <c r="H47" i="15"/>
  <c r="Y46" i="15"/>
  <c r="V46" i="15"/>
  <c r="S46" i="15"/>
  <c r="O46" i="15"/>
  <c r="L46" i="15"/>
  <c r="H46" i="15"/>
  <c r="Y45" i="15"/>
  <c r="V45" i="15"/>
  <c r="S45" i="15"/>
  <c r="O45" i="15"/>
  <c r="L45" i="15"/>
  <c r="H45" i="15"/>
  <c r="Y44" i="15"/>
  <c r="V44" i="15"/>
  <c r="S44" i="15"/>
  <c r="O44" i="15"/>
  <c r="L44" i="15"/>
  <c r="H44" i="15"/>
  <c r="Y43" i="15"/>
  <c r="V43" i="15"/>
  <c r="S43" i="15"/>
  <c r="O43" i="15"/>
  <c r="L43" i="15"/>
  <c r="H43" i="15"/>
  <c r="Y42" i="15"/>
  <c r="V42" i="15"/>
  <c r="S42" i="15"/>
  <c r="O42" i="15"/>
  <c r="L42" i="15"/>
  <c r="X35" i="15"/>
  <c r="X36" i="15" s="1"/>
  <c r="W35" i="15"/>
  <c r="U35" i="15"/>
  <c r="U36" i="15" s="1"/>
  <c r="R35" i="15"/>
  <c r="R36" i="15" s="1"/>
  <c r="N35" i="15"/>
  <c r="N36" i="15" s="1"/>
  <c r="AA30" i="15"/>
  <c r="AA33" i="15" s="1"/>
  <c r="AA36" i="15" s="1"/>
  <c r="X30" i="15"/>
  <c r="W30" i="15"/>
  <c r="W33" i="15" s="1"/>
  <c r="T30" i="15"/>
  <c r="T33" i="15" s="1"/>
  <c r="R30" i="15"/>
  <c r="N30" i="15"/>
  <c r="M30" i="15"/>
  <c r="M33" i="15" s="1"/>
  <c r="Y28" i="15"/>
  <c r="V28" i="15"/>
  <c r="S28" i="15"/>
  <c r="O28" i="15"/>
  <c r="L28" i="15"/>
  <c r="G28" i="15"/>
  <c r="H28" i="15" s="1"/>
  <c r="S27" i="15"/>
  <c r="L27" i="15"/>
  <c r="H27" i="15"/>
  <c r="Y26" i="15"/>
  <c r="V26" i="15"/>
  <c r="S26" i="15"/>
  <c r="O26" i="15"/>
  <c r="Y25" i="15"/>
  <c r="V25" i="15"/>
  <c r="S25" i="15"/>
  <c r="O25" i="15"/>
  <c r="H25" i="15"/>
  <c r="L22" i="15"/>
  <c r="Y21" i="15"/>
  <c r="V21" i="15"/>
  <c r="O21" i="15"/>
  <c r="L21" i="15"/>
  <c r="H21" i="15"/>
  <c r="Y20" i="15"/>
  <c r="V20" i="15"/>
  <c r="S20" i="15"/>
  <c r="O20" i="15"/>
  <c r="L20" i="15"/>
  <c r="Y19" i="15"/>
  <c r="V19" i="15"/>
  <c r="S19" i="15"/>
  <c r="O19" i="15"/>
  <c r="K30" i="15"/>
  <c r="K33" i="15" s="1"/>
  <c r="G19" i="15"/>
  <c r="H19" i="15" s="1"/>
  <c r="Y18" i="15"/>
  <c r="V18" i="15"/>
  <c r="S18" i="15"/>
  <c r="O18" i="15"/>
  <c r="L18" i="15"/>
  <c r="H18" i="15"/>
  <c r="Y17" i="15"/>
  <c r="V17" i="15"/>
  <c r="S17" i="15"/>
  <c r="O17" i="15"/>
  <c r="L17" i="15"/>
  <c r="H17" i="15"/>
  <c r="Y16" i="15"/>
  <c r="V16" i="15"/>
  <c r="O16" i="15"/>
  <c r="L16" i="15"/>
  <c r="G16" i="15"/>
  <c r="H16" i="15" s="1"/>
  <c r="Y15" i="15"/>
  <c r="U30" i="15"/>
  <c r="S15" i="15"/>
  <c r="O15" i="15"/>
  <c r="L15" i="15"/>
  <c r="H15" i="15"/>
  <c r="R47" i="12"/>
  <c r="R48" i="12" s="1"/>
  <c r="BE39" i="12"/>
  <c r="AO39" i="12"/>
  <c r="X39" i="12"/>
  <c r="V39" i="12"/>
  <c r="J39" i="12"/>
  <c r="G39" i="12"/>
  <c r="BC32" i="12"/>
  <c r="AB32" i="12"/>
  <c r="BA31" i="12"/>
  <c r="E31" i="12"/>
  <c r="BA29" i="12"/>
  <c r="AK29" i="12"/>
  <c r="T29" i="12"/>
  <c r="E29" i="12"/>
  <c r="BE25" i="12"/>
  <c r="BA25" i="12"/>
  <c r="BA32" i="12" s="1"/>
  <c r="AQ25" i="12"/>
  <c r="AO25" i="12"/>
  <c r="AO29" i="12" s="1"/>
  <c r="AM25" i="12"/>
  <c r="AM32" i="12" s="1"/>
  <c r="AK25" i="12"/>
  <c r="AK32" i="12" s="1"/>
  <c r="AD25" i="12"/>
  <c r="AD32" i="12" s="1"/>
  <c r="AB25" i="12"/>
  <c r="Z25" i="12"/>
  <c r="X25" i="12"/>
  <c r="V25" i="12"/>
  <c r="T25" i="12"/>
  <c r="T32" i="12" s="1"/>
  <c r="G25" i="12"/>
  <c r="G30" i="12" s="1"/>
  <c r="E25" i="12"/>
  <c r="BE24" i="12"/>
  <c r="BG24" i="12" s="1"/>
  <c r="BI24" i="12" s="1"/>
  <c r="BE23" i="12"/>
  <c r="BG23" i="12" s="1"/>
  <c r="BI23" i="12" s="1"/>
  <c r="BC23" i="12"/>
  <c r="N23" i="12"/>
  <c r="BE20" i="12"/>
  <c r="BG19" i="12"/>
  <c r="Z19" i="12"/>
  <c r="BG18" i="12"/>
  <c r="AQ18" i="12"/>
  <c r="Z18" i="12"/>
  <c r="BC17" i="12"/>
  <c r="BC31" i="12" s="1"/>
  <c r="AQ17" i="12"/>
  <c r="AQ31" i="12" s="1"/>
  <c r="AM31" i="12"/>
  <c r="D119" i="20" s="1"/>
  <c r="AK17" i="12"/>
  <c r="AK31" i="12" s="1"/>
  <c r="BC15" i="12"/>
  <c r="BG15" i="12" s="1"/>
  <c r="BI15" i="12" s="1"/>
  <c r="AS15" i="12"/>
  <c r="AQ15" i="12"/>
  <c r="BC14" i="12"/>
  <c r="AQ14" i="12"/>
  <c r="AS14" i="12" s="1"/>
  <c r="AU14" i="12" s="1"/>
  <c r="AB14" i="12"/>
  <c r="AD14" i="12" s="1"/>
  <c r="L14" i="12"/>
  <c r="N14" i="12" s="1"/>
  <c r="BI13" i="12"/>
  <c r="BG13" i="12"/>
  <c r="AU13" i="12"/>
  <c r="AQ13" i="12"/>
  <c r="AS13" i="12" s="1"/>
  <c r="Z13" i="12"/>
  <c r="AB13" i="12" s="1"/>
  <c r="BI12" i="12"/>
  <c r="BG12" i="12"/>
  <c r="AQ12" i="12"/>
  <c r="AS12" i="12" s="1"/>
  <c r="AU12" i="12" s="1"/>
  <c r="AB12" i="12"/>
  <c r="AD12" i="12" s="1"/>
  <c r="L12" i="12"/>
  <c r="N12" i="12" s="1"/>
  <c r="BA4" i="12"/>
  <c r="AK4" i="12"/>
  <c r="T4" i="12"/>
  <c r="E4" i="12"/>
  <c r="V2" i="12"/>
  <c r="D49" i="10"/>
  <c r="E48" i="10"/>
  <c r="C47" i="10"/>
  <c r="C46" i="10"/>
  <c r="E45" i="10"/>
  <c r="C45" i="10"/>
  <c r="C44" i="10"/>
  <c r="G34" i="10"/>
  <c r="Q22" i="10"/>
  <c r="N22" i="10"/>
  <c r="K22" i="10"/>
  <c r="C22" i="10"/>
  <c r="D22" i="10" s="1"/>
  <c r="E22" i="10" s="1"/>
  <c r="P20" i="10"/>
  <c r="O20" i="10"/>
  <c r="M20" i="10"/>
  <c r="L20" i="10"/>
  <c r="N20" i="10" s="1"/>
  <c r="J20" i="10"/>
  <c r="I20" i="10"/>
  <c r="G20" i="10"/>
  <c r="F20" i="10"/>
  <c r="C20" i="10"/>
  <c r="P19" i="10"/>
  <c r="O19" i="10"/>
  <c r="M19" i="10"/>
  <c r="L19" i="10"/>
  <c r="J19" i="10"/>
  <c r="I19" i="10"/>
  <c r="G19" i="10"/>
  <c r="F19" i="10"/>
  <c r="H19" i="10" s="1"/>
  <c r="P18" i="10"/>
  <c r="O18" i="10"/>
  <c r="M18" i="10"/>
  <c r="L18" i="10"/>
  <c r="J18" i="10"/>
  <c r="I18" i="10"/>
  <c r="G18" i="10"/>
  <c r="F18" i="10"/>
  <c r="C18" i="10"/>
  <c r="P17" i="10"/>
  <c r="O17" i="10"/>
  <c r="M17" i="10"/>
  <c r="L17" i="10"/>
  <c r="J17" i="10"/>
  <c r="I17" i="10"/>
  <c r="G17" i="10"/>
  <c r="F17" i="10"/>
  <c r="O16" i="10"/>
  <c r="C38" i="10" s="1"/>
  <c r="Q12" i="10"/>
  <c r="N12" i="10"/>
  <c r="K12" i="10"/>
  <c r="H12" i="10"/>
  <c r="E12" i="10"/>
  <c r="E20" i="10" s="1"/>
  <c r="H29" i="10" s="1"/>
  <c r="H34" i="10" s="1"/>
  <c r="Q11" i="10"/>
  <c r="N11" i="10"/>
  <c r="K11" i="10"/>
  <c r="H11" i="10"/>
  <c r="Q10" i="10"/>
  <c r="N10" i="10"/>
  <c r="K10" i="10"/>
  <c r="H10" i="10"/>
  <c r="E10" i="10"/>
  <c r="E18" i="10" s="1"/>
  <c r="F29" i="10" s="1"/>
  <c r="F34" i="10" s="1"/>
  <c r="Q9" i="10"/>
  <c r="N9" i="10"/>
  <c r="K9" i="10"/>
  <c r="H9" i="10"/>
  <c r="F8" i="10"/>
  <c r="T2" i="10"/>
  <c r="S2" i="10"/>
  <c r="R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P1" i="10"/>
  <c r="Q1" i="10" s="1"/>
  <c r="Q2" i="10" s="1"/>
  <c r="J96" i="9"/>
  <c r="J4" i="9" s="1"/>
  <c r="I4" i="9"/>
  <c r="J2" i="9"/>
  <c r="I2" i="9"/>
  <c r="F224" i="8"/>
  <c r="F226" i="8" s="1"/>
  <c r="J223" i="8"/>
  <c r="Z222" i="8"/>
  <c r="AB222" i="8" s="1"/>
  <c r="X222" i="8"/>
  <c r="U222" i="8"/>
  <c r="O222" i="8"/>
  <c r="H222" i="8"/>
  <c r="P222" i="8" s="1"/>
  <c r="X220" i="8"/>
  <c r="U220" i="8"/>
  <c r="O220" i="8"/>
  <c r="J220" i="8"/>
  <c r="L220" i="8" s="1"/>
  <c r="H220" i="8"/>
  <c r="L218" i="8"/>
  <c r="AB217" i="8"/>
  <c r="U217" i="8"/>
  <c r="L217" i="8"/>
  <c r="AB216" i="8"/>
  <c r="R216" i="8" s="1"/>
  <c r="U216" i="8"/>
  <c r="Q216" i="8"/>
  <c r="P216" i="8"/>
  <c r="O216" i="8"/>
  <c r="L216" i="8"/>
  <c r="X215" i="8"/>
  <c r="Z215" i="8" s="1"/>
  <c r="AB215" i="8" s="1"/>
  <c r="U215" i="8"/>
  <c r="R215" i="8"/>
  <c r="Q215" i="8"/>
  <c r="P215" i="8"/>
  <c r="O215" i="8"/>
  <c r="H215" i="8"/>
  <c r="J215" i="8" s="1"/>
  <c r="L215" i="8" s="1"/>
  <c r="F210" i="8"/>
  <c r="F212" i="8" s="1"/>
  <c r="J209" i="8"/>
  <c r="U208" i="8"/>
  <c r="O208" i="8"/>
  <c r="P208" i="8"/>
  <c r="U206" i="8"/>
  <c r="O206" i="8"/>
  <c r="H210" i="8"/>
  <c r="J210" i="8" s="1"/>
  <c r="U205" i="8"/>
  <c r="O205" i="8"/>
  <c r="P205" i="8"/>
  <c r="U204" i="8"/>
  <c r="O204" i="8"/>
  <c r="P204" i="8"/>
  <c r="P202" i="8"/>
  <c r="U202" i="8"/>
  <c r="R202" i="8"/>
  <c r="O202" i="8"/>
  <c r="O201" i="8"/>
  <c r="U201" i="8"/>
  <c r="U200" i="8"/>
  <c r="P200" i="8"/>
  <c r="O200" i="8"/>
  <c r="F195" i="8"/>
  <c r="F197" i="8" s="1"/>
  <c r="J194" i="8"/>
  <c r="O193" i="8"/>
  <c r="U193" i="8"/>
  <c r="P192" i="8"/>
  <c r="U192" i="8"/>
  <c r="U191" i="8"/>
  <c r="U190" i="8"/>
  <c r="O190" i="8"/>
  <c r="U189" i="8"/>
  <c r="P189" i="8"/>
  <c r="O189" i="8"/>
  <c r="U187" i="8"/>
  <c r="U186" i="8"/>
  <c r="U185" i="8"/>
  <c r="U183" i="8"/>
  <c r="P183" i="8"/>
  <c r="O183" i="8"/>
  <c r="Q183" i="8"/>
  <c r="U172" i="8"/>
  <c r="O171" i="8"/>
  <c r="U171" i="8"/>
  <c r="P170" i="8"/>
  <c r="O170" i="8"/>
  <c r="U170" i="8"/>
  <c r="O169" i="8"/>
  <c r="U169" i="8"/>
  <c r="U168" i="8"/>
  <c r="O168" i="8"/>
  <c r="O167" i="8"/>
  <c r="U167" i="8"/>
  <c r="P167" i="8"/>
  <c r="U166" i="8"/>
  <c r="O166" i="8"/>
  <c r="U165" i="8"/>
  <c r="F162" i="8"/>
  <c r="M160" i="8"/>
  <c r="F159" i="8"/>
  <c r="J158" i="8"/>
  <c r="AA157" i="8"/>
  <c r="W157" i="8"/>
  <c r="V157" i="8"/>
  <c r="U157" i="8"/>
  <c r="L157" i="8"/>
  <c r="H157" i="8"/>
  <c r="J157" i="8" s="1"/>
  <c r="Z156" i="8"/>
  <c r="AB156" i="8" s="1"/>
  <c r="R156" i="8" s="1"/>
  <c r="X156" i="8"/>
  <c r="V156" i="8"/>
  <c r="O156" i="8" s="1"/>
  <c r="P156" i="8"/>
  <c r="J156" i="8"/>
  <c r="L156" i="8" s="1"/>
  <c r="H156" i="8"/>
  <c r="X155" i="8"/>
  <c r="Z155" i="8" s="1"/>
  <c r="U155" i="8"/>
  <c r="P155" i="8"/>
  <c r="O155" i="8"/>
  <c r="H155" i="8"/>
  <c r="J155" i="8" s="1"/>
  <c r="L155" i="8" s="1"/>
  <c r="AA154" i="8"/>
  <c r="Z154" i="8"/>
  <c r="AB154" i="8" s="1"/>
  <c r="X154" i="8"/>
  <c r="U154" i="8"/>
  <c r="P154" i="8"/>
  <c r="O154" i="8"/>
  <c r="H154" i="8"/>
  <c r="J154" i="8" s="1"/>
  <c r="L154" i="8" s="1"/>
  <c r="R154" i="8" s="1"/>
  <c r="X153" i="8"/>
  <c r="Z153" i="8" s="1"/>
  <c r="AB153" i="8" s="1"/>
  <c r="U153" i="8"/>
  <c r="O153" i="8"/>
  <c r="H153" i="8"/>
  <c r="X152" i="8"/>
  <c r="Z152" i="8" s="1"/>
  <c r="AB152" i="8" s="1"/>
  <c r="U152" i="8"/>
  <c r="O152" i="8"/>
  <c r="H152" i="8"/>
  <c r="Z151" i="8"/>
  <c r="AB151" i="8" s="1"/>
  <c r="X151" i="8"/>
  <c r="P151" i="8" s="1"/>
  <c r="U151" i="8"/>
  <c r="O151" i="8"/>
  <c r="L151" i="8"/>
  <c r="J151" i="8"/>
  <c r="H151" i="8"/>
  <c r="Z150" i="8"/>
  <c r="AB150" i="8" s="1"/>
  <c r="R150" i="8" s="1"/>
  <c r="X150" i="8"/>
  <c r="U150" i="8"/>
  <c r="Q150" i="8"/>
  <c r="O150" i="8"/>
  <c r="J150" i="8"/>
  <c r="L150" i="8" s="1"/>
  <c r="H150" i="8"/>
  <c r="P150" i="8" s="1"/>
  <c r="Z149" i="8"/>
  <c r="AB149" i="8" s="1"/>
  <c r="X149" i="8"/>
  <c r="U149" i="8"/>
  <c r="O149" i="8"/>
  <c r="H149" i="8"/>
  <c r="X148" i="8"/>
  <c r="U148" i="8"/>
  <c r="O148" i="8"/>
  <c r="J148" i="8"/>
  <c r="L148" i="8" s="1"/>
  <c r="H148" i="8"/>
  <c r="AB147" i="8"/>
  <c r="Z147" i="8"/>
  <c r="X147" i="8"/>
  <c r="U147" i="8"/>
  <c r="P147" i="8"/>
  <c r="O147" i="8"/>
  <c r="H147" i="8"/>
  <c r="F141" i="8"/>
  <c r="F143" i="8" s="1"/>
  <c r="X139" i="8"/>
  <c r="Z139" i="8" s="1"/>
  <c r="U139" i="8"/>
  <c r="P139" i="8"/>
  <c r="O139" i="8"/>
  <c r="J139" i="8"/>
  <c r="H139" i="8"/>
  <c r="F134" i="8"/>
  <c r="F136" i="8" s="1"/>
  <c r="X132" i="8"/>
  <c r="P132" i="8" s="1"/>
  <c r="U132" i="8"/>
  <c r="O132" i="8"/>
  <c r="J132" i="8"/>
  <c r="H132" i="8"/>
  <c r="Z131" i="8"/>
  <c r="X131" i="8"/>
  <c r="P131" i="8" s="1"/>
  <c r="U131" i="8"/>
  <c r="O131" i="8"/>
  <c r="J131" i="8"/>
  <c r="H131" i="8"/>
  <c r="AB130" i="8"/>
  <c r="Z130" i="8"/>
  <c r="X130" i="8"/>
  <c r="U130" i="8"/>
  <c r="R130" i="8"/>
  <c r="Q130" i="8"/>
  <c r="P130" i="8"/>
  <c r="O130" i="8"/>
  <c r="J130" i="8"/>
  <c r="H130" i="8"/>
  <c r="X129" i="8"/>
  <c r="Z129" i="8" s="1"/>
  <c r="AB129" i="8" s="1"/>
  <c r="R129" i="8" s="1"/>
  <c r="U129" i="8"/>
  <c r="O129" i="8"/>
  <c r="J129" i="8"/>
  <c r="Q129" i="8" s="1"/>
  <c r="H129" i="8"/>
  <c r="P129" i="8" s="1"/>
  <c r="F126" i="8"/>
  <c r="F124" i="8"/>
  <c r="X122" i="8"/>
  <c r="Z122" i="8" s="1"/>
  <c r="AB122" i="8" s="1"/>
  <c r="R122" i="8" s="1"/>
  <c r="U122" i="8"/>
  <c r="P122" i="8"/>
  <c r="O122" i="8"/>
  <c r="H122" i="8"/>
  <c r="J122" i="8" s="1"/>
  <c r="Q122" i="8" s="1"/>
  <c r="AB121" i="8"/>
  <c r="X121" i="8"/>
  <c r="Z121" i="8" s="1"/>
  <c r="U121" i="8"/>
  <c r="R121" i="8"/>
  <c r="O121" i="8"/>
  <c r="H121" i="8"/>
  <c r="P121" i="8" s="1"/>
  <c r="F118" i="8"/>
  <c r="M117" i="8"/>
  <c r="F116" i="8"/>
  <c r="J115" i="8"/>
  <c r="AB114" i="8"/>
  <c r="R114" i="8" s="1"/>
  <c r="Z114" i="8"/>
  <c r="X114" i="8"/>
  <c r="U114" i="8"/>
  <c r="P114" i="8"/>
  <c r="O114" i="8"/>
  <c r="J114" i="8"/>
  <c r="Q114" i="8" s="1"/>
  <c r="H114" i="8"/>
  <c r="X113" i="8"/>
  <c r="Z113" i="8" s="1"/>
  <c r="AB113" i="8" s="1"/>
  <c r="R113" i="8" s="1"/>
  <c r="U113" i="8"/>
  <c r="Q113" i="8"/>
  <c r="P113" i="8"/>
  <c r="O113" i="8"/>
  <c r="J113" i="8"/>
  <c r="H113" i="8"/>
  <c r="X112" i="8"/>
  <c r="Z112" i="8" s="1"/>
  <c r="AB112" i="8" s="1"/>
  <c r="U112" i="8"/>
  <c r="R112" i="8"/>
  <c r="O112" i="8"/>
  <c r="H112" i="8"/>
  <c r="Z111" i="8"/>
  <c r="AB111" i="8" s="1"/>
  <c r="R111" i="8" s="1"/>
  <c r="X111" i="8"/>
  <c r="P111" i="8" s="1"/>
  <c r="U111" i="8"/>
  <c r="O111" i="8"/>
  <c r="H111" i="8"/>
  <c r="F106" i="8"/>
  <c r="F104" i="8"/>
  <c r="Z102" i="8"/>
  <c r="AB102" i="8" s="1"/>
  <c r="X102" i="8"/>
  <c r="U102" i="8"/>
  <c r="J102" i="8"/>
  <c r="Q102" i="8" s="1"/>
  <c r="H102" i="8"/>
  <c r="X101" i="8"/>
  <c r="Z101" i="8" s="1"/>
  <c r="AB101" i="8" s="1"/>
  <c r="U101" i="8"/>
  <c r="H101" i="8"/>
  <c r="X100" i="8"/>
  <c r="Z100" i="8" s="1"/>
  <c r="AB100" i="8" s="1"/>
  <c r="U100" i="8"/>
  <c r="H100" i="8"/>
  <c r="Z99" i="8"/>
  <c r="AB99" i="8" s="1"/>
  <c r="X99" i="8"/>
  <c r="P99" i="8" s="1"/>
  <c r="U99" i="8"/>
  <c r="R99" i="8"/>
  <c r="L99" i="8"/>
  <c r="J99" i="8"/>
  <c r="H99" i="8"/>
  <c r="O99" i="8" s="1"/>
  <c r="F96" i="8"/>
  <c r="F94" i="8"/>
  <c r="X92" i="8"/>
  <c r="Z92" i="8" s="1"/>
  <c r="AB92" i="8" s="1"/>
  <c r="U92" i="8"/>
  <c r="H92" i="8"/>
  <c r="Z91" i="8"/>
  <c r="AB91" i="8" s="1"/>
  <c r="X91" i="8"/>
  <c r="U91" i="8"/>
  <c r="H91" i="8"/>
  <c r="Z90" i="8"/>
  <c r="AB90" i="8" s="1"/>
  <c r="X90" i="8"/>
  <c r="P90" i="8" s="1"/>
  <c r="U90" i="8"/>
  <c r="L90" i="8"/>
  <c r="J90" i="8"/>
  <c r="Q90" i="8" s="1"/>
  <c r="H90" i="8"/>
  <c r="O90" i="8" s="1"/>
  <c r="F87" i="8"/>
  <c r="F85" i="8"/>
  <c r="X83" i="8"/>
  <c r="Z83" i="8" s="1"/>
  <c r="AB83" i="8" s="1"/>
  <c r="U83" i="8"/>
  <c r="J83" i="8"/>
  <c r="H83" i="8"/>
  <c r="X82" i="8"/>
  <c r="Z82" i="8" s="1"/>
  <c r="AB82" i="8" s="1"/>
  <c r="U82" i="8"/>
  <c r="H82" i="8"/>
  <c r="Z81" i="8"/>
  <c r="AB81" i="8" s="1"/>
  <c r="X81" i="8"/>
  <c r="P81" i="8" s="1"/>
  <c r="U81" i="8"/>
  <c r="L81" i="8"/>
  <c r="R81" i="8" s="1"/>
  <c r="J81" i="8"/>
  <c r="Q81" i="8" s="1"/>
  <c r="H81" i="8"/>
  <c r="O81" i="8" s="1"/>
  <c r="F78" i="8"/>
  <c r="F76" i="8"/>
  <c r="U74" i="8"/>
  <c r="J74" i="8"/>
  <c r="H74" i="8"/>
  <c r="Z73" i="8"/>
  <c r="AB73" i="8" s="1"/>
  <c r="X73" i="8"/>
  <c r="U73" i="8"/>
  <c r="H73" i="8"/>
  <c r="X72" i="8"/>
  <c r="Z72" i="8" s="1"/>
  <c r="AB72" i="8" s="1"/>
  <c r="U72" i="8"/>
  <c r="H72" i="8"/>
  <c r="Z71" i="8"/>
  <c r="AB71" i="8" s="1"/>
  <c r="X71" i="8"/>
  <c r="P71" i="8" s="1"/>
  <c r="U71" i="8"/>
  <c r="L71" i="8"/>
  <c r="J71" i="8"/>
  <c r="H71" i="8"/>
  <c r="O71" i="8" s="1"/>
  <c r="F68" i="8"/>
  <c r="H66" i="8"/>
  <c r="F66" i="8"/>
  <c r="U64" i="8"/>
  <c r="U63" i="8"/>
  <c r="U62" i="8"/>
  <c r="P62" i="8"/>
  <c r="U61" i="8"/>
  <c r="O61" i="8"/>
  <c r="R61" i="8"/>
  <c r="Q61" i="8"/>
  <c r="P61" i="8"/>
  <c r="U60" i="8"/>
  <c r="Q59" i="8"/>
  <c r="U59" i="8"/>
  <c r="U58" i="8"/>
  <c r="O58" i="8"/>
  <c r="G110" i="7"/>
  <c r="U57" i="8"/>
  <c r="P56" i="8"/>
  <c r="U56" i="8"/>
  <c r="O56" i="8"/>
  <c r="G104" i="7"/>
  <c r="P55" i="8"/>
  <c r="U55" i="8"/>
  <c r="O55" i="8"/>
  <c r="H50" i="8"/>
  <c r="H52" i="8" s="1"/>
  <c r="F50" i="8"/>
  <c r="F52" i="8" s="1"/>
  <c r="U48" i="8"/>
  <c r="P48" i="8"/>
  <c r="O48" i="8"/>
  <c r="L43" i="8"/>
  <c r="L45" i="8" s="1"/>
  <c r="J43" i="8"/>
  <c r="H43" i="8"/>
  <c r="H45" i="8" s="1"/>
  <c r="F43" i="8"/>
  <c r="U41" i="8"/>
  <c r="P41" i="8"/>
  <c r="O41" i="8"/>
  <c r="U40" i="8"/>
  <c r="O40" i="8"/>
  <c r="L37" i="8"/>
  <c r="G36" i="8"/>
  <c r="L35" i="8"/>
  <c r="J35" i="8"/>
  <c r="H35" i="8"/>
  <c r="F35" i="8"/>
  <c r="F37" i="8" s="1"/>
  <c r="U33" i="8"/>
  <c r="R33" i="8"/>
  <c r="Q33" i="8"/>
  <c r="P33" i="8"/>
  <c r="O33" i="8"/>
  <c r="U32" i="8"/>
  <c r="R32" i="8"/>
  <c r="Q32" i="8"/>
  <c r="P32" i="8"/>
  <c r="O32" i="8"/>
  <c r="U31" i="8"/>
  <c r="R31" i="8"/>
  <c r="Q31" i="8"/>
  <c r="P31" i="8"/>
  <c r="O31" i="8"/>
  <c r="U30" i="8"/>
  <c r="R30" i="8"/>
  <c r="Q30" i="8"/>
  <c r="P30" i="8"/>
  <c r="O30" i="8"/>
  <c r="U29" i="8"/>
  <c r="R29" i="8"/>
  <c r="Q29" i="8"/>
  <c r="P29" i="8"/>
  <c r="O29" i="8"/>
  <c r="U28" i="8"/>
  <c r="R28" i="8"/>
  <c r="Q28" i="8"/>
  <c r="P28" i="8"/>
  <c r="O28" i="8"/>
  <c r="U27" i="8"/>
  <c r="R27" i="8"/>
  <c r="Q27" i="8"/>
  <c r="P27" i="8"/>
  <c r="O27" i="8"/>
  <c r="U26" i="8"/>
  <c r="R26" i="8"/>
  <c r="Q26" i="8"/>
  <c r="P26" i="8"/>
  <c r="O26" i="8"/>
  <c r="F23" i="8"/>
  <c r="L20" i="8"/>
  <c r="J20" i="8"/>
  <c r="H20" i="8"/>
  <c r="F20" i="8"/>
  <c r="J19" i="8"/>
  <c r="L19" i="8" s="1"/>
  <c r="U18" i="8"/>
  <c r="R18" i="8"/>
  <c r="Q18" i="8"/>
  <c r="P18" i="8"/>
  <c r="O18" i="8"/>
  <c r="U17" i="8"/>
  <c r="R17" i="8"/>
  <c r="Q17" i="8"/>
  <c r="P17" i="8"/>
  <c r="O17" i="8"/>
  <c r="U16" i="8"/>
  <c r="R16" i="8"/>
  <c r="Q16" i="8"/>
  <c r="P16" i="8"/>
  <c r="O16" i="8"/>
  <c r="U15" i="8"/>
  <c r="R15" i="8"/>
  <c r="Q15" i="8"/>
  <c r="P15" i="8"/>
  <c r="O15" i="8"/>
  <c r="U14" i="8"/>
  <c r="R14" i="8"/>
  <c r="Q14" i="8"/>
  <c r="P14" i="8"/>
  <c r="O14" i="8"/>
  <c r="U13" i="8"/>
  <c r="R13" i="8"/>
  <c r="Q13" i="8"/>
  <c r="P13" i="8"/>
  <c r="O13" i="8"/>
  <c r="U11" i="8"/>
  <c r="R11" i="8"/>
  <c r="Q11" i="8"/>
  <c r="P11" i="8"/>
  <c r="O11" i="8"/>
  <c r="U10" i="8"/>
  <c r="R10" i="8"/>
  <c r="Q10" i="8"/>
  <c r="P10" i="8"/>
  <c r="O10" i="8"/>
  <c r="U9" i="8"/>
  <c r="R9" i="8"/>
  <c r="Q9" i="8"/>
  <c r="P9" i="8"/>
  <c r="O9" i="8"/>
  <c r="U8" i="8"/>
  <c r="R8" i="8"/>
  <c r="Q8" i="8"/>
  <c r="P8" i="8"/>
  <c r="O8" i="8"/>
  <c r="AQ7" i="8"/>
  <c r="AP7" i="8"/>
  <c r="AN7" i="8"/>
  <c r="U7" i="8"/>
  <c r="R7" i="8"/>
  <c r="Q7" i="8"/>
  <c r="P7" i="8"/>
  <c r="O7" i="8"/>
  <c r="AO7" i="8" s="1"/>
  <c r="H165" i="7"/>
  <c r="E165" i="7"/>
  <c r="AD234" i="15"/>
  <c r="E164" i="7"/>
  <c r="H162" i="7"/>
  <c r="AD16" i="15" s="1"/>
  <c r="E162" i="7"/>
  <c r="E161" i="7"/>
  <c r="E159" i="7"/>
  <c r="H159" i="7"/>
  <c r="E158" i="7"/>
  <c r="E156" i="7"/>
  <c r="E155" i="7"/>
  <c r="H153" i="7"/>
  <c r="G152" i="7" s="1"/>
  <c r="AD178" i="15" s="1"/>
  <c r="E153" i="7"/>
  <c r="E152" i="7"/>
  <c r="H150" i="7"/>
  <c r="E150" i="7"/>
  <c r="G149" i="7"/>
  <c r="E149" i="7"/>
  <c r="E147" i="7"/>
  <c r="E146" i="7"/>
  <c r="E144" i="7"/>
  <c r="E143" i="7"/>
  <c r="H129" i="7"/>
  <c r="AD107" i="15" s="1"/>
  <c r="E129" i="7"/>
  <c r="H128" i="7"/>
  <c r="AD106" i="15" s="1"/>
  <c r="E128" i="7"/>
  <c r="H127" i="7"/>
  <c r="AD104" i="15" s="1"/>
  <c r="E127" i="7"/>
  <c r="H126" i="7"/>
  <c r="AD103" i="15" s="1"/>
  <c r="E126" i="7"/>
  <c r="E125" i="7"/>
  <c r="H123" i="7"/>
  <c r="E123" i="7"/>
  <c r="E122" i="7"/>
  <c r="E120" i="7"/>
  <c r="E119" i="7"/>
  <c r="E117" i="7"/>
  <c r="E116" i="7"/>
  <c r="E114" i="7"/>
  <c r="E113" i="7"/>
  <c r="E111" i="7"/>
  <c r="E110" i="7"/>
  <c r="E108" i="7"/>
  <c r="E107" i="7"/>
  <c r="E105" i="7"/>
  <c r="E104" i="7"/>
  <c r="H102" i="7"/>
  <c r="G101" i="7" s="1"/>
  <c r="E102" i="7"/>
  <c r="E101" i="7"/>
  <c r="H99" i="7"/>
  <c r="G98" i="7" s="1"/>
  <c r="E99" i="7"/>
  <c r="E98" i="7"/>
  <c r="H96" i="7"/>
  <c r="E96" i="7"/>
  <c r="G95" i="7"/>
  <c r="E95" i="7"/>
  <c r="H93" i="7"/>
  <c r="E93" i="7"/>
  <c r="G92" i="7"/>
  <c r="E92" i="7"/>
  <c r="H90" i="7"/>
  <c r="E90" i="7"/>
  <c r="E89" i="7"/>
  <c r="H87" i="7"/>
  <c r="E87" i="7"/>
  <c r="G86" i="7"/>
  <c r="E86" i="7"/>
  <c r="H84" i="7"/>
  <c r="G81" i="7" s="1"/>
  <c r="E84" i="7"/>
  <c r="E83" i="7"/>
  <c r="G82" i="7"/>
  <c r="AF26" i="1" s="1"/>
  <c r="E82" i="7"/>
  <c r="E81" i="7"/>
  <c r="H79" i="7"/>
  <c r="E79" i="7"/>
  <c r="G78" i="7"/>
  <c r="E78" i="7"/>
  <c r="H76" i="7"/>
  <c r="E76" i="7"/>
  <c r="G75" i="7"/>
  <c r="E75" i="7"/>
  <c r="H73" i="7"/>
  <c r="E73" i="7"/>
  <c r="G72" i="7"/>
  <c r="E72" i="7"/>
  <c r="G56" i="7"/>
  <c r="G43" i="7"/>
  <c r="H44" i="7" s="1"/>
  <c r="G30" i="7"/>
  <c r="H31" i="7" s="1"/>
  <c r="H25" i="7"/>
  <c r="H7" i="7"/>
  <c r="AD297" i="15" s="1"/>
  <c r="H2" i="7"/>
  <c r="G2" i="7"/>
  <c r="Z109" i="1"/>
  <c r="Z97" i="2"/>
  <c r="W97" i="2"/>
  <c r="T97" i="2"/>
  <c r="P97" i="2"/>
  <c r="M97" i="2"/>
  <c r="I97" i="2"/>
  <c r="AG96" i="2"/>
  <c r="X95" i="2"/>
  <c r="U95" i="2"/>
  <c r="Q95" i="2"/>
  <c r="P95" i="2"/>
  <c r="M95" i="2"/>
  <c r="Z88" i="2"/>
  <c r="Z95" i="2" s="1"/>
  <c r="T88" i="2"/>
  <c r="T95" i="2" s="1"/>
  <c r="M88" i="2"/>
  <c r="I88" i="2"/>
  <c r="AA81" i="2"/>
  <c r="AC79" i="2"/>
  <c r="AB79" i="2"/>
  <c r="AA77" i="2"/>
  <c r="X77" i="2"/>
  <c r="U77" i="2"/>
  <c r="Q77" i="2"/>
  <c r="N77" i="2"/>
  <c r="J77" i="2"/>
  <c r="E77" i="2"/>
  <c r="AG75" i="2"/>
  <c r="AG74" i="2"/>
  <c r="AG73" i="2"/>
  <c r="Z71" i="2"/>
  <c r="Z77" i="2" s="1"/>
  <c r="W71" i="2"/>
  <c r="W77" i="2" s="1"/>
  <c r="T71" i="2"/>
  <c r="T77" i="2" s="1"/>
  <c r="P71" i="2"/>
  <c r="M71" i="2"/>
  <c r="I71" i="2"/>
  <c r="P68" i="2"/>
  <c r="M68" i="2"/>
  <c r="I68" i="2"/>
  <c r="P67" i="2"/>
  <c r="M67" i="2"/>
  <c r="AE67" i="2" s="1"/>
  <c r="I67" i="2"/>
  <c r="Z61" i="2"/>
  <c r="W61" i="2"/>
  <c r="T61" i="2"/>
  <c r="P61" i="2"/>
  <c r="M61" i="2"/>
  <c r="X57" i="2"/>
  <c r="U57" i="2"/>
  <c r="Q57" i="2"/>
  <c r="N57" i="2"/>
  <c r="J57" i="2"/>
  <c r="E57" i="2"/>
  <c r="Z56" i="2"/>
  <c r="W56" i="2"/>
  <c r="T56" i="2"/>
  <c r="P56" i="2"/>
  <c r="M56" i="2"/>
  <c r="Z55" i="2"/>
  <c r="W55" i="2"/>
  <c r="T55" i="2"/>
  <c r="T57" i="2" s="1"/>
  <c r="P55" i="2"/>
  <c r="M55" i="2"/>
  <c r="I55" i="2"/>
  <c r="Z50" i="2"/>
  <c r="X50" i="2"/>
  <c r="W50" i="2"/>
  <c r="U50" i="2"/>
  <c r="T50" i="2"/>
  <c r="R50" i="2"/>
  <c r="Q50" i="2"/>
  <c r="P50" i="2"/>
  <c r="N50" i="2"/>
  <c r="M50" i="2"/>
  <c r="K50" i="2"/>
  <c r="J50" i="2"/>
  <c r="AG49" i="2"/>
  <c r="I49" i="2"/>
  <c r="F50" i="2"/>
  <c r="I44" i="2"/>
  <c r="AD44" i="2" s="1"/>
  <c r="X41" i="2"/>
  <c r="Z39" i="2"/>
  <c r="W39" i="2"/>
  <c r="T39" i="2"/>
  <c r="P39" i="2"/>
  <c r="M39" i="2"/>
  <c r="I39" i="2"/>
  <c r="Z38" i="2"/>
  <c r="W38" i="2"/>
  <c r="T38" i="2"/>
  <c r="P38" i="2"/>
  <c r="M38" i="2"/>
  <c r="I38" i="2"/>
  <c r="Z37" i="2"/>
  <c r="W37" i="2"/>
  <c r="T37" i="2"/>
  <c r="P37" i="2"/>
  <c r="M37" i="2"/>
  <c r="I37" i="2"/>
  <c r="Z36" i="2"/>
  <c r="W36" i="2"/>
  <c r="M36" i="2"/>
  <c r="Z35" i="2"/>
  <c r="R41" i="2"/>
  <c r="X30" i="2"/>
  <c r="U30" i="2"/>
  <c r="Z28" i="2"/>
  <c r="W28" i="2"/>
  <c r="T28" i="2"/>
  <c r="P28" i="2"/>
  <c r="M28" i="2"/>
  <c r="I28" i="2"/>
  <c r="Z27" i="2"/>
  <c r="W27" i="2"/>
  <c r="T27" i="2"/>
  <c r="P27" i="2"/>
  <c r="M27" i="2"/>
  <c r="I27" i="2"/>
  <c r="Z26" i="2"/>
  <c r="W26" i="2"/>
  <c r="T26" i="2"/>
  <c r="P26" i="2"/>
  <c r="M26" i="2"/>
  <c r="I26" i="2"/>
  <c r="Z25" i="2"/>
  <c r="W25" i="2"/>
  <c r="T25" i="2"/>
  <c r="P25" i="2"/>
  <c r="K30" i="2"/>
  <c r="I25" i="2"/>
  <c r="Z24" i="2"/>
  <c r="W24" i="2"/>
  <c r="P24" i="2"/>
  <c r="M24" i="2"/>
  <c r="I24" i="2"/>
  <c r="Z23" i="2"/>
  <c r="W23" i="2"/>
  <c r="T23" i="2"/>
  <c r="P23" i="2"/>
  <c r="Z22" i="2"/>
  <c r="W22" i="2"/>
  <c r="P22" i="2"/>
  <c r="M22" i="2"/>
  <c r="I22" i="2"/>
  <c r="X19" i="2"/>
  <c r="U19" i="2"/>
  <c r="Z17" i="2"/>
  <c r="P17" i="2"/>
  <c r="L17" i="2"/>
  <c r="J19" i="2"/>
  <c r="H17" i="2"/>
  <c r="F19" i="2"/>
  <c r="Z16" i="2"/>
  <c r="W16" i="2"/>
  <c r="T16" i="2"/>
  <c r="L16" i="2"/>
  <c r="K19" i="2"/>
  <c r="Y11" i="2"/>
  <c r="V11" i="2"/>
  <c r="S11" i="2"/>
  <c r="O11" i="2"/>
  <c r="N119" i="1"/>
  <c r="Z118" i="1"/>
  <c r="Z120" i="1" s="1"/>
  <c r="X118" i="1"/>
  <c r="X120" i="1" s="1"/>
  <c r="R118" i="1"/>
  <c r="R120" i="1" s="1"/>
  <c r="K112" i="1"/>
  <c r="K114" i="1" s="1"/>
  <c r="Y110" i="1"/>
  <c r="V110" i="1"/>
  <c r="S110" i="1"/>
  <c r="O110" i="1"/>
  <c r="L110" i="1"/>
  <c r="H110" i="1"/>
  <c r="X109" i="1"/>
  <c r="U109" i="1"/>
  <c r="R109" i="1"/>
  <c r="Y106" i="1"/>
  <c r="V106" i="1"/>
  <c r="S106" i="1"/>
  <c r="O106" i="1"/>
  <c r="L106" i="1"/>
  <c r="Y105" i="1"/>
  <c r="S105" i="1"/>
  <c r="O105" i="1"/>
  <c r="L105" i="1"/>
  <c r="H105" i="1"/>
  <c r="Y104" i="1"/>
  <c r="V104" i="1"/>
  <c r="S104" i="1"/>
  <c r="O104" i="1"/>
  <c r="L104" i="1"/>
  <c r="D129" i="22" s="1"/>
  <c r="C7" i="10"/>
  <c r="Y103" i="1"/>
  <c r="V103" i="1"/>
  <c r="S103" i="1"/>
  <c r="L103" i="1"/>
  <c r="H103" i="1"/>
  <c r="K102" i="1"/>
  <c r="G102" i="1"/>
  <c r="Y101" i="1"/>
  <c r="V101" i="1"/>
  <c r="S101" i="1"/>
  <c r="H125" i="22" s="1"/>
  <c r="L101" i="1"/>
  <c r="G101" i="1"/>
  <c r="H101" i="1" s="1"/>
  <c r="Y99" i="1"/>
  <c r="V99" i="1"/>
  <c r="S99" i="1"/>
  <c r="O99" i="1"/>
  <c r="L99" i="1"/>
  <c r="H99" i="1"/>
  <c r="Y98" i="1"/>
  <c r="V98" i="1"/>
  <c r="S98" i="1"/>
  <c r="O98" i="1"/>
  <c r="I98" i="1"/>
  <c r="L98" i="1" s="1"/>
  <c r="D127" i="22" s="1"/>
  <c r="F98" i="1"/>
  <c r="Y96" i="1"/>
  <c r="V96" i="1"/>
  <c r="S96" i="1"/>
  <c r="O96" i="1"/>
  <c r="L96" i="1"/>
  <c r="Y95" i="1"/>
  <c r="S95" i="1"/>
  <c r="Y94" i="1"/>
  <c r="Y342" i="15" s="1"/>
  <c r="V94" i="1"/>
  <c r="V342" i="15" s="1"/>
  <c r="S94" i="1"/>
  <c r="Q342" i="15"/>
  <c r="P342" i="15"/>
  <c r="P343" i="15" s="1"/>
  <c r="O94" i="1"/>
  <c r="O342" i="15" s="1"/>
  <c r="J342" i="15"/>
  <c r="Y93" i="1"/>
  <c r="T317" i="15"/>
  <c r="L93" i="1"/>
  <c r="I317" i="15"/>
  <c r="E93" i="1"/>
  <c r="E317" i="15"/>
  <c r="W87" i="1"/>
  <c r="Y85" i="1"/>
  <c r="V85" i="1"/>
  <c r="S85" i="1"/>
  <c r="O85" i="1"/>
  <c r="L85" i="1"/>
  <c r="Y84" i="1"/>
  <c r="V84" i="1"/>
  <c r="P87" i="1"/>
  <c r="O84" i="1"/>
  <c r="L84" i="1"/>
  <c r="H84" i="1"/>
  <c r="Y83" i="1"/>
  <c r="V83" i="1"/>
  <c r="S83" i="1"/>
  <c r="O83" i="1"/>
  <c r="L83" i="1"/>
  <c r="H83" i="1"/>
  <c r="Y82" i="1"/>
  <c r="V82" i="1"/>
  <c r="S82" i="1"/>
  <c r="O82" i="1"/>
  <c r="L82" i="1"/>
  <c r="E87" i="1"/>
  <c r="H82" i="1"/>
  <c r="Y81" i="1"/>
  <c r="V81" i="1"/>
  <c r="S81" i="1"/>
  <c r="O81" i="1"/>
  <c r="J87" i="1"/>
  <c r="W78" i="1"/>
  <c r="Y76" i="1"/>
  <c r="V76" i="1"/>
  <c r="S76" i="1"/>
  <c r="O76" i="1"/>
  <c r="L76" i="1"/>
  <c r="H76" i="1"/>
  <c r="Y75" i="1"/>
  <c r="V75" i="1"/>
  <c r="S75" i="1"/>
  <c r="O75" i="1"/>
  <c r="L75" i="1"/>
  <c r="H75" i="1"/>
  <c r="Y74" i="1"/>
  <c r="V74" i="1"/>
  <c r="S74" i="1"/>
  <c r="O74" i="1"/>
  <c r="L74" i="1"/>
  <c r="H74" i="1"/>
  <c r="Y73" i="1"/>
  <c r="V73" i="1"/>
  <c r="S73" i="1"/>
  <c r="O73" i="1"/>
  <c r="L73" i="1"/>
  <c r="H73" i="1"/>
  <c r="Y72" i="1"/>
  <c r="V72" i="1"/>
  <c r="S72" i="1"/>
  <c r="O72" i="1"/>
  <c r="L72" i="1"/>
  <c r="H72" i="1"/>
  <c r="Y71" i="1"/>
  <c r="V71" i="1"/>
  <c r="S71" i="1"/>
  <c r="O71" i="1"/>
  <c r="L71" i="1"/>
  <c r="H71" i="1"/>
  <c r="Y70" i="1"/>
  <c r="V70" i="1"/>
  <c r="S70" i="1"/>
  <c r="O70" i="1"/>
  <c r="L70" i="1"/>
  <c r="Y69" i="1"/>
  <c r="Y243" i="15" s="1"/>
  <c r="T243" i="15"/>
  <c r="Q243" i="15"/>
  <c r="P243" i="15"/>
  <c r="M243" i="15"/>
  <c r="I243" i="15"/>
  <c r="H69" i="1"/>
  <c r="E243" i="15"/>
  <c r="Y68" i="1"/>
  <c r="V68" i="1"/>
  <c r="S68" i="1"/>
  <c r="O68" i="1"/>
  <c r="L68" i="1"/>
  <c r="G68" i="1"/>
  <c r="H68" i="1" s="1"/>
  <c r="Y66" i="1"/>
  <c r="Y218" i="15" s="1"/>
  <c r="U66" i="1"/>
  <c r="U218" i="15" s="1"/>
  <c r="Q218" i="15"/>
  <c r="P218" i="15"/>
  <c r="M218" i="15"/>
  <c r="K66" i="1"/>
  <c r="K218" i="15" s="1"/>
  <c r="J218" i="15"/>
  <c r="I218" i="15"/>
  <c r="G66" i="1"/>
  <c r="G218" i="15" s="1"/>
  <c r="F218" i="15"/>
  <c r="Y65" i="1"/>
  <c r="V65" i="1"/>
  <c r="S65" i="1"/>
  <c r="O65" i="1"/>
  <c r="L65" i="1"/>
  <c r="H65" i="1"/>
  <c r="Y64" i="1"/>
  <c r="V64" i="1"/>
  <c r="S64" i="1"/>
  <c r="O64" i="1"/>
  <c r="L64" i="1"/>
  <c r="H64" i="1"/>
  <c r="AE64" i="1" s="1"/>
  <c r="Y63" i="1"/>
  <c r="Y191" i="15" s="1"/>
  <c r="V63" i="1"/>
  <c r="V191" i="15" s="1"/>
  <c r="T191" i="15"/>
  <c r="Q191" i="15"/>
  <c r="P191" i="15"/>
  <c r="M191" i="15"/>
  <c r="K63" i="1"/>
  <c r="K191" i="15" s="1"/>
  <c r="G63" i="1"/>
  <c r="H63" i="1"/>
  <c r="Y62" i="1"/>
  <c r="V62" i="1"/>
  <c r="S62" i="1"/>
  <c r="L62" i="1"/>
  <c r="H62" i="1"/>
  <c r="Y60" i="1"/>
  <c r="Y169" i="15" s="1"/>
  <c r="V60" i="1"/>
  <c r="V169" i="15" s="1"/>
  <c r="T169" i="15"/>
  <c r="Q169" i="15"/>
  <c r="P169" i="15"/>
  <c r="O60" i="1"/>
  <c r="M169" i="15"/>
  <c r="I169" i="15"/>
  <c r="G60" i="1"/>
  <c r="Y59" i="1"/>
  <c r="V59" i="1"/>
  <c r="S59" i="1"/>
  <c r="N59" i="1"/>
  <c r="O59" i="1"/>
  <c r="L59" i="1"/>
  <c r="H59" i="1"/>
  <c r="Y57" i="1"/>
  <c r="V57" i="1"/>
  <c r="S57" i="1"/>
  <c r="O57" i="1"/>
  <c r="L57" i="1"/>
  <c r="H57" i="1"/>
  <c r="W51" i="1"/>
  <c r="T51" i="1"/>
  <c r="Y49" i="1"/>
  <c r="V49" i="1"/>
  <c r="S49" i="1"/>
  <c r="O49" i="1"/>
  <c r="L49" i="1"/>
  <c r="H49" i="1"/>
  <c r="Y48" i="1"/>
  <c r="V48" i="1"/>
  <c r="S48" i="1"/>
  <c r="O48" i="1"/>
  <c r="L48" i="1"/>
  <c r="H48" i="1"/>
  <c r="Y47" i="1"/>
  <c r="V47" i="1"/>
  <c r="S47" i="1"/>
  <c r="O47" i="1"/>
  <c r="L47" i="1"/>
  <c r="H47" i="1"/>
  <c r="Y46" i="1"/>
  <c r="Y146" i="15" s="1"/>
  <c r="M146" i="15"/>
  <c r="L46" i="1"/>
  <c r="L146" i="15" s="1"/>
  <c r="I146" i="15"/>
  <c r="Y45" i="1"/>
  <c r="V45" i="1"/>
  <c r="S45" i="1"/>
  <c r="O45" i="1"/>
  <c r="H45" i="1"/>
  <c r="Y44" i="1"/>
  <c r="V44" i="1"/>
  <c r="S44" i="1"/>
  <c r="O44" i="1"/>
  <c r="L44" i="1"/>
  <c r="H44" i="1"/>
  <c r="Y43" i="1"/>
  <c r="V43" i="1"/>
  <c r="I27" i="33" s="1"/>
  <c r="I28" i="33" s="1"/>
  <c r="S43" i="1"/>
  <c r="O43" i="1"/>
  <c r="L43" i="1"/>
  <c r="H43" i="1"/>
  <c r="AE43" i="1" s="1"/>
  <c r="K27" i="33" s="1"/>
  <c r="K28" i="33" s="1"/>
  <c r="Y42" i="1"/>
  <c r="V42" i="1"/>
  <c r="S42" i="1"/>
  <c r="O42" i="1"/>
  <c r="L42" i="1"/>
  <c r="H42" i="1"/>
  <c r="Y41" i="1"/>
  <c r="Y289" i="15" s="1"/>
  <c r="P289" i="15"/>
  <c r="J289" i="15"/>
  <c r="I289" i="15"/>
  <c r="F41" i="1"/>
  <c r="G289" i="15" s="1"/>
  <c r="E289" i="15"/>
  <c r="AA109" i="1"/>
  <c r="Y40" i="1"/>
  <c r="T263" i="15"/>
  <c r="S40" i="1"/>
  <c r="P263" i="15"/>
  <c r="O40" i="1"/>
  <c r="I263" i="15"/>
  <c r="F263" i="15"/>
  <c r="W37" i="1"/>
  <c r="W53" i="1" s="1"/>
  <c r="Y35" i="1"/>
  <c r="V35" i="1"/>
  <c r="S35" i="1"/>
  <c r="O35" i="1"/>
  <c r="K35" i="1"/>
  <c r="L35" i="1" s="1"/>
  <c r="H35" i="1"/>
  <c r="Y34" i="1"/>
  <c r="V34" i="1"/>
  <c r="S34" i="1"/>
  <c r="O34" i="1"/>
  <c r="L34" i="1"/>
  <c r="Y33" i="1"/>
  <c r="V33" i="1"/>
  <c r="O33" i="1"/>
  <c r="L33" i="1"/>
  <c r="H33" i="1"/>
  <c r="Y32" i="1"/>
  <c r="V32" i="1"/>
  <c r="S32" i="1"/>
  <c r="O32" i="1"/>
  <c r="L32" i="1"/>
  <c r="H32" i="1"/>
  <c r="Y31" i="1"/>
  <c r="V31" i="1"/>
  <c r="S31" i="1"/>
  <c r="O31" i="1"/>
  <c r="L31" i="1"/>
  <c r="H31" i="1"/>
  <c r="Y30" i="1"/>
  <c r="V30" i="1"/>
  <c r="S30" i="1"/>
  <c r="O30" i="1"/>
  <c r="L30" i="1"/>
  <c r="H30" i="1"/>
  <c r="Y29" i="1"/>
  <c r="Y121" i="15" s="1"/>
  <c r="V29" i="1"/>
  <c r="V121" i="15" s="1"/>
  <c r="P121" i="15"/>
  <c r="P122" i="15" s="1"/>
  <c r="O29" i="1"/>
  <c r="O121" i="15" s="1"/>
  <c r="M121" i="15"/>
  <c r="K29" i="1"/>
  <c r="J121" i="15"/>
  <c r="I121" i="15"/>
  <c r="G29" i="1"/>
  <c r="F121" i="15"/>
  <c r="E121" i="15"/>
  <c r="Y28" i="1"/>
  <c r="V28" i="1"/>
  <c r="S28" i="1"/>
  <c r="O28" i="1"/>
  <c r="L28" i="1"/>
  <c r="AE28" i="1" s="1"/>
  <c r="H28" i="1"/>
  <c r="Y26" i="1"/>
  <c r="Y87" i="15" s="1"/>
  <c r="U26" i="1"/>
  <c r="U87" i="15" s="1"/>
  <c r="T87" i="15"/>
  <c r="Q87" i="15"/>
  <c r="P87" i="15"/>
  <c r="N26" i="1"/>
  <c r="N87" i="15" s="1"/>
  <c r="N88" i="15" s="1"/>
  <c r="K26" i="1"/>
  <c r="J87" i="15"/>
  <c r="I87" i="15"/>
  <c r="G26" i="1"/>
  <c r="G87" i="15" s="1"/>
  <c r="F87" i="15"/>
  <c r="E87" i="15"/>
  <c r="Y25" i="1"/>
  <c r="V25" i="1"/>
  <c r="S25" i="1"/>
  <c r="O25" i="1"/>
  <c r="L25" i="1"/>
  <c r="G25" i="1"/>
  <c r="H25" i="1" s="1"/>
  <c r="AE25" i="1" s="1"/>
  <c r="Y23" i="1"/>
  <c r="V23" i="1"/>
  <c r="S23" i="1"/>
  <c r="O23" i="1"/>
  <c r="L23" i="1"/>
  <c r="H23" i="1"/>
  <c r="Y22" i="1"/>
  <c r="V22" i="1"/>
  <c r="S22" i="1"/>
  <c r="O22" i="1"/>
  <c r="L22" i="1"/>
  <c r="H22" i="1"/>
  <c r="AE22" i="1" s="1"/>
  <c r="Y21" i="1"/>
  <c r="Y57" i="15" s="1"/>
  <c r="V21" i="1"/>
  <c r="V57" i="15" s="1"/>
  <c r="S21" i="1"/>
  <c r="P57" i="15"/>
  <c r="M57" i="15"/>
  <c r="H21" i="1"/>
  <c r="E57" i="15"/>
  <c r="Y20" i="1"/>
  <c r="V20" i="1"/>
  <c r="S20" i="1"/>
  <c r="O20" i="1"/>
  <c r="L20" i="1"/>
  <c r="H20" i="1"/>
  <c r="Y18" i="1"/>
  <c r="Y35" i="15" s="1"/>
  <c r="V18" i="1"/>
  <c r="V35" i="15" s="1"/>
  <c r="T35" i="15"/>
  <c r="Q35" i="15"/>
  <c r="P35" i="15"/>
  <c r="O18" i="1"/>
  <c r="O35" i="15" s="1"/>
  <c r="M35" i="15"/>
  <c r="K18" i="1"/>
  <c r="K35" i="15" s="1"/>
  <c r="J35" i="15"/>
  <c r="I35" i="15"/>
  <c r="G18" i="1"/>
  <c r="F35" i="15"/>
  <c r="E35" i="15"/>
  <c r="Y17" i="1"/>
  <c r="V17" i="1"/>
  <c r="S17" i="1"/>
  <c r="O17" i="1"/>
  <c r="J37" i="1"/>
  <c r="L17" i="1"/>
  <c r="H17" i="1"/>
  <c r="Y15" i="1"/>
  <c r="V15" i="1"/>
  <c r="S15" i="1"/>
  <c r="Q37" i="1"/>
  <c r="P37" i="1"/>
  <c r="O15" i="1"/>
  <c r="AD9" i="1"/>
  <c r="AC9" i="1"/>
  <c r="AE20" i="1" l="1"/>
  <c r="AE30" i="1"/>
  <c r="AE32" i="1"/>
  <c r="AE72" i="1"/>
  <c r="AE74" i="1"/>
  <c r="AE82" i="1"/>
  <c r="AE57" i="1"/>
  <c r="AE42" i="1"/>
  <c r="AE44" i="1"/>
  <c r="K69" i="33" s="1"/>
  <c r="AE95" i="1"/>
  <c r="AE99" i="1"/>
  <c r="AE17" i="1"/>
  <c r="AE76" i="1"/>
  <c r="D78" i="21"/>
  <c r="D124" i="22"/>
  <c r="D146" i="22" s="1"/>
  <c r="D159" i="22" s="1"/>
  <c r="AE96" i="1"/>
  <c r="AE110" i="1"/>
  <c r="AE47" i="1"/>
  <c r="AE49" i="1"/>
  <c r="AH49" i="1" s="1"/>
  <c r="AE31" i="1"/>
  <c r="AH31" i="1" s="1"/>
  <c r="O8" i="32" s="1"/>
  <c r="O10" i="32" s="1"/>
  <c r="O49" i="32" s="1"/>
  <c r="F49" i="32" s="1"/>
  <c r="AE71" i="1"/>
  <c r="AH71" i="1" s="1"/>
  <c r="AE73" i="1"/>
  <c r="AH73" i="1" s="1"/>
  <c r="AG8" i="32" s="1"/>
  <c r="AG10" i="32" s="1"/>
  <c r="W89" i="1"/>
  <c r="AE59" i="1"/>
  <c r="AE23" i="1"/>
  <c r="AE65" i="1"/>
  <c r="AE83" i="1"/>
  <c r="AH83" i="1" s="1"/>
  <c r="AE85" i="1"/>
  <c r="AE75" i="1"/>
  <c r="P127" i="22"/>
  <c r="D149" i="22"/>
  <c r="P149" i="22" s="1"/>
  <c r="D162" i="22"/>
  <c r="P162" i="22" s="1"/>
  <c r="D79" i="21"/>
  <c r="D93" i="21" s="1"/>
  <c r="D125" i="22"/>
  <c r="AE34" i="1"/>
  <c r="AH34" i="1" s="1"/>
  <c r="AE48" i="1"/>
  <c r="AE68" i="1"/>
  <c r="AC330" i="15"/>
  <c r="AE330" i="15" s="1"/>
  <c r="AC308" i="15"/>
  <c r="W264" i="15"/>
  <c r="AC312" i="15"/>
  <c r="AC326" i="15"/>
  <c r="T343" i="15"/>
  <c r="AC277" i="15"/>
  <c r="AC332" i="15"/>
  <c r="AC327" i="15"/>
  <c r="AC331" i="15"/>
  <c r="AC272" i="15"/>
  <c r="AC276" i="15"/>
  <c r="AC282" i="15"/>
  <c r="AE282" i="15" s="1"/>
  <c r="R290" i="15"/>
  <c r="AC304" i="15"/>
  <c r="AC274" i="15"/>
  <c r="AD274" i="15" s="1"/>
  <c r="AE274" i="15" s="1"/>
  <c r="AC278" i="15"/>
  <c r="AC297" i="15"/>
  <c r="AC313" i="15"/>
  <c r="AE313" i="15" s="1"/>
  <c r="N19" i="10"/>
  <c r="K20" i="10"/>
  <c r="K18" i="10"/>
  <c r="Q19" i="10"/>
  <c r="Q17" i="10"/>
  <c r="N18" i="10"/>
  <c r="N17" i="10"/>
  <c r="H18" i="10"/>
  <c r="H17" i="10"/>
  <c r="AC329" i="15"/>
  <c r="L66" i="1"/>
  <c r="L218" i="15" s="1"/>
  <c r="AE35" i="1"/>
  <c r="AH35" i="1" s="1"/>
  <c r="P8" i="32" s="1"/>
  <c r="P10" i="32" s="1"/>
  <c r="P36" i="32" s="1"/>
  <c r="H147" i="22"/>
  <c r="H160" i="22"/>
  <c r="S342" i="15"/>
  <c r="AH82" i="1"/>
  <c r="AH74" i="1"/>
  <c r="AH68" i="1"/>
  <c r="AH76" i="1"/>
  <c r="AH20" i="1"/>
  <c r="O169" i="15"/>
  <c r="AH22" i="1"/>
  <c r="J8" i="32" s="1"/>
  <c r="J10" i="32" s="1"/>
  <c r="AH25" i="1"/>
  <c r="AH17" i="1"/>
  <c r="AH23" i="1"/>
  <c r="AH28" i="1"/>
  <c r="AH30" i="1"/>
  <c r="AH32" i="1"/>
  <c r="S57" i="15"/>
  <c r="W57" i="2"/>
  <c r="AD27" i="2"/>
  <c r="AD67" i="2"/>
  <c r="AD81" i="2"/>
  <c r="AG81" i="2" s="1"/>
  <c r="AD97" i="2"/>
  <c r="AG97" i="2" s="1"/>
  <c r="AD38" i="2"/>
  <c r="AG38" i="2" s="1"/>
  <c r="I57" i="2"/>
  <c r="AD55" i="2"/>
  <c r="P77" i="2"/>
  <c r="I77" i="2"/>
  <c r="AD68" i="2"/>
  <c r="AD26" i="2"/>
  <c r="AD37" i="2"/>
  <c r="AD28" i="2"/>
  <c r="AD71" i="2"/>
  <c r="AG71" i="2" s="1"/>
  <c r="T105" i="1" s="1"/>
  <c r="V105" i="1" s="1"/>
  <c r="AD39" i="2"/>
  <c r="AD56" i="2"/>
  <c r="AG56" i="2" s="1"/>
  <c r="P129" i="22"/>
  <c r="D151" i="22"/>
  <c r="D164" i="22"/>
  <c r="H41" i="1"/>
  <c r="AE41" i="1" s="1"/>
  <c r="AH59" i="1"/>
  <c r="AD228" i="15"/>
  <c r="AD199" i="15"/>
  <c r="AC237" i="15"/>
  <c r="AE237" i="15" s="1"/>
  <c r="O241" i="15"/>
  <c r="AC232" i="15"/>
  <c r="AC234" i="15"/>
  <c r="AC157" i="15"/>
  <c r="AC159" i="15"/>
  <c r="AE159" i="15" s="1"/>
  <c r="AC161" i="15"/>
  <c r="AE161" i="15" s="1"/>
  <c r="AD170" i="15"/>
  <c r="AC230" i="15"/>
  <c r="AE230" i="15" s="1"/>
  <c r="AC18" i="15"/>
  <c r="AC67" i="15"/>
  <c r="AC258" i="15"/>
  <c r="AD147" i="15"/>
  <c r="L241" i="15"/>
  <c r="I244" i="15"/>
  <c r="AC80" i="15"/>
  <c r="Y241" i="15"/>
  <c r="AC256" i="15"/>
  <c r="AE256" i="15" s="1"/>
  <c r="U216" i="15"/>
  <c r="U219" i="15" s="1"/>
  <c r="AC44" i="15"/>
  <c r="AE44" i="15" s="1"/>
  <c r="AC46" i="15"/>
  <c r="AE46" i="15" s="1"/>
  <c r="AC48" i="15"/>
  <c r="AE48" i="15" s="1"/>
  <c r="AC156" i="15"/>
  <c r="AE156" i="15" s="1"/>
  <c r="AC158" i="15"/>
  <c r="AC160" i="15"/>
  <c r="AC183" i="15"/>
  <c r="AC233" i="15"/>
  <c r="AE233" i="15" s="1"/>
  <c r="AC17" i="15"/>
  <c r="AE17" i="15" s="1"/>
  <c r="AC211" i="15"/>
  <c r="AE211" i="15" s="1"/>
  <c r="AC229" i="15"/>
  <c r="AD229" i="15" s="1"/>
  <c r="AC238" i="15"/>
  <c r="AE238" i="15" s="1"/>
  <c r="AC252" i="15"/>
  <c r="AC257" i="15"/>
  <c r="AE257" i="15" s="1"/>
  <c r="AC182" i="15"/>
  <c r="AE182" i="15" s="1"/>
  <c r="AC129" i="15"/>
  <c r="AE129" i="15" s="1"/>
  <c r="AC131" i="15"/>
  <c r="AE131" i="15" s="1"/>
  <c r="AC133" i="15"/>
  <c r="AC180" i="15"/>
  <c r="AE180" i="15" s="1"/>
  <c r="AC76" i="15"/>
  <c r="AE76" i="15" s="1"/>
  <c r="AC101" i="15"/>
  <c r="AC135" i="15"/>
  <c r="AC204" i="15"/>
  <c r="AE204" i="15" s="1"/>
  <c r="X264" i="15"/>
  <c r="AC42" i="15"/>
  <c r="AE328" i="15"/>
  <c r="AC112" i="15"/>
  <c r="AE112" i="15" s="1"/>
  <c r="K170" i="15"/>
  <c r="AC178" i="15"/>
  <c r="AE178" i="15" s="1"/>
  <c r="W290" i="15"/>
  <c r="AC27" i="15"/>
  <c r="T122" i="15"/>
  <c r="AC128" i="15"/>
  <c r="AE128" i="15" s="1"/>
  <c r="AC130" i="15"/>
  <c r="AC132" i="15"/>
  <c r="AE132" i="15" s="1"/>
  <c r="AC134" i="15"/>
  <c r="AE134" i="15" s="1"/>
  <c r="AC140" i="15"/>
  <c r="AE140" i="15" s="1"/>
  <c r="L154" i="15"/>
  <c r="AC154" i="15" s="1"/>
  <c r="AC210" i="15"/>
  <c r="AE210" i="15" s="1"/>
  <c r="AD200" i="15"/>
  <c r="AC77" i="15"/>
  <c r="N170" i="15"/>
  <c r="AC187" i="15"/>
  <c r="AC22" i="15"/>
  <c r="AE22" i="15" s="1"/>
  <c r="AE27" i="15"/>
  <c r="AC43" i="15"/>
  <c r="AE43" i="15" s="1"/>
  <c r="AC45" i="15"/>
  <c r="AE45" i="15" s="1"/>
  <c r="AC47" i="15"/>
  <c r="AE47" i="15" s="1"/>
  <c r="AC49" i="15"/>
  <c r="AE49" i="15" s="1"/>
  <c r="AC28" i="15"/>
  <c r="AE28" i="15" s="1"/>
  <c r="AC98" i="15"/>
  <c r="AE98" i="15" s="1"/>
  <c r="AC184" i="15"/>
  <c r="AE184" i="15" s="1"/>
  <c r="AC186" i="15"/>
  <c r="AC136" i="15"/>
  <c r="AE136" i="15" s="1"/>
  <c r="I93" i="7"/>
  <c r="J79" i="21"/>
  <c r="J87" i="21" s="1"/>
  <c r="J125" i="22"/>
  <c r="M170" i="15"/>
  <c r="G83" i="15"/>
  <c r="G85" i="15" s="1"/>
  <c r="G88" i="15" s="1"/>
  <c r="W244" i="15"/>
  <c r="X244" i="15"/>
  <c r="AE329" i="15"/>
  <c r="K117" i="15"/>
  <c r="K119" i="15" s="1"/>
  <c r="M244" i="15"/>
  <c r="V52" i="15"/>
  <c r="V55" i="15" s="1"/>
  <c r="V58" i="15" s="1"/>
  <c r="V315" i="15"/>
  <c r="Y52" i="15"/>
  <c r="Y55" i="15" s="1"/>
  <c r="Y58" i="15" s="1"/>
  <c r="X216" i="15"/>
  <c r="X219" i="15" s="1"/>
  <c r="G216" i="15"/>
  <c r="G219" i="15" s="1"/>
  <c r="C54" i="30"/>
  <c r="C55" i="30" s="1"/>
  <c r="W343" i="15"/>
  <c r="H212" i="15"/>
  <c r="AE331" i="15"/>
  <c r="K244" i="15"/>
  <c r="O311" i="15"/>
  <c r="M315" i="15"/>
  <c r="W122" i="15"/>
  <c r="H78" i="15"/>
  <c r="Y117" i="15"/>
  <c r="Y119" i="15" s="1"/>
  <c r="Y122" i="15" s="1"/>
  <c r="O167" i="15"/>
  <c r="U264" i="15"/>
  <c r="R264" i="15"/>
  <c r="S52" i="15"/>
  <c r="S55" i="15" s="1"/>
  <c r="AD232" i="15"/>
  <c r="AE232" i="15" s="1"/>
  <c r="AE326" i="15"/>
  <c r="U244" i="15"/>
  <c r="AD327" i="15"/>
  <c r="AE327" i="15" s="1"/>
  <c r="AE77" i="15"/>
  <c r="AE101" i="15"/>
  <c r="Y189" i="15"/>
  <c r="Y261" i="15"/>
  <c r="K264" i="15"/>
  <c r="W58" i="15"/>
  <c r="Y83" i="15"/>
  <c r="Y85" i="15" s="1"/>
  <c r="Y88" i="15" s="1"/>
  <c r="L287" i="15"/>
  <c r="U340" i="15"/>
  <c r="U343" i="15" s="1"/>
  <c r="W192" i="15"/>
  <c r="G244" i="15"/>
  <c r="K287" i="15"/>
  <c r="K290" i="15" s="1"/>
  <c r="T170" i="15"/>
  <c r="AE183" i="15"/>
  <c r="Y216" i="15"/>
  <c r="Y219" i="15" s="1"/>
  <c r="O287" i="15"/>
  <c r="I73" i="7"/>
  <c r="I96" i="7"/>
  <c r="O186" i="8"/>
  <c r="P191" i="8"/>
  <c r="O185" i="8"/>
  <c r="P185" i="8"/>
  <c r="R191" i="8"/>
  <c r="Q191" i="8"/>
  <c r="M196" i="8"/>
  <c r="O192" i="8"/>
  <c r="P186" i="8"/>
  <c r="R186" i="8"/>
  <c r="O191" i="8"/>
  <c r="AD19" i="15"/>
  <c r="AD105" i="15"/>
  <c r="AE105" i="15" s="1"/>
  <c r="I90" i="7"/>
  <c r="AD15" i="15"/>
  <c r="Z57" i="2"/>
  <c r="V26" i="1"/>
  <c r="V87" i="15" s="1"/>
  <c r="L311" i="15"/>
  <c r="V16" i="12"/>
  <c r="Z16" i="12" s="1"/>
  <c r="H79" i="21"/>
  <c r="H93" i="21" s="1"/>
  <c r="J93" i="21"/>
  <c r="J103" i="21" s="1"/>
  <c r="D92" i="21"/>
  <c r="P92" i="21" s="1"/>
  <c r="P78" i="21"/>
  <c r="AA46" i="2"/>
  <c r="H141" i="21" s="1"/>
  <c r="N141" i="21" s="1"/>
  <c r="P141" i="21" s="1"/>
  <c r="T141" i="21" s="1"/>
  <c r="F104" i="21"/>
  <c r="AG26" i="2"/>
  <c r="Z30" i="2"/>
  <c r="AG27" i="2"/>
  <c r="W30" i="2"/>
  <c r="AG28" i="2"/>
  <c r="AG37" i="2"/>
  <c r="M57" i="2"/>
  <c r="K32" i="2"/>
  <c r="M77" i="2"/>
  <c r="L24" i="12"/>
  <c r="J24" i="12" s="1"/>
  <c r="J25" i="12" s="1"/>
  <c r="J29" i="12" s="1"/>
  <c r="BC29" i="12"/>
  <c r="F16" i="10"/>
  <c r="E46" i="10" s="1"/>
  <c r="BC39" i="12"/>
  <c r="BG39" i="12" s="1"/>
  <c r="BG14" i="12"/>
  <c r="BI14" i="12" s="1"/>
  <c r="AQ32" i="12"/>
  <c r="G32" i="12"/>
  <c r="G29" i="12"/>
  <c r="L39" i="12"/>
  <c r="E120" i="20"/>
  <c r="F119" i="20"/>
  <c r="P2" i="10"/>
  <c r="H32" i="7"/>
  <c r="I32" i="7" s="1"/>
  <c r="AG18" i="1"/>
  <c r="AD35" i="15" s="1"/>
  <c r="H45" i="7"/>
  <c r="I45" i="7" s="1"/>
  <c r="I76" i="7"/>
  <c r="G125" i="7"/>
  <c r="L18" i="1"/>
  <c r="L35" i="15" s="1"/>
  <c r="G117" i="15"/>
  <c r="O87" i="1"/>
  <c r="W88" i="15"/>
  <c r="M343" i="15"/>
  <c r="AH48" i="1"/>
  <c r="H26" i="1"/>
  <c r="W36" i="15"/>
  <c r="U170" i="15"/>
  <c r="N244" i="15"/>
  <c r="AH47" i="1"/>
  <c r="R244" i="15"/>
  <c r="W318" i="15"/>
  <c r="AH43" i="1"/>
  <c r="AG39" i="2"/>
  <c r="H191" i="15"/>
  <c r="E16" i="12"/>
  <c r="H13" i="7"/>
  <c r="C11" i="10"/>
  <c r="E19" i="12"/>
  <c r="J19" i="12" s="1"/>
  <c r="G16" i="7"/>
  <c r="L116" i="1"/>
  <c r="AH72" i="1"/>
  <c r="AH8" i="32" s="1"/>
  <c r="H57" i="15"/>
  <c r="AH75" i="1"/>
  <c r="P190" i="8"/>
  <c r="K87" i="15"/>
  <c r="L26" i="1"/>
  <c r="L87" i="15" s="1"/>
  <c r="I23" i="2"/>
  <c r="E30" i="2"/>
  <c r="D37" i="1"/>
  <c r="H18" i="1"/>
  <c r="M87" i="15"/>
  <c r="M88" i="15" s="1"/>
  <c r="M89" i="15" s="1"/>
  <c r="F44" i="8"/>
  <c r="F45" i="8" s="1"/>
  <c r="I78" i="1"/>
  <c r="L81" i="1"/>
  <c r="J78" i="1"/>
  <c r="J89" i="1" s="1"/>
  <c r="O69" i="1"/>
  <c r="O243" i="15" s="1"/>
  <c r="O244" i="15" s="1"/>
  <c r="Y37" i="1"/>
  <c r="S29" i="1"/>
  <c r="S121" i="15" s="1"/>
  <c r="M78" i="1"/>
  <c r="Q78" i="1"/>
  <c r="I342" i="15"/>
  <c r="I343" i="15" s="1"/>
  <c r="L94" i="1"/>
  <c r="L342" i="15" s="1"/>
  <c r="M7" i="10"/>
  <c r="L7" i="10"/>
  <c r="L15" i="10" s="1"/>
  <c r="BA16" i="12"/>
  <c r="BI16" i="12"/>
  <c r="H63" i="7"/>
  <c r="M23" i="2"/>
  <c r="J30" i="2"/>
  <c r="J32" i="2" s="1"/>
  <c r="O103" i="15"/>
  <c r="AC103" i="15" s="1"/>
  <c r="M117" i="15"/>
  <c r="M119" i="15" s="1"/>
  <c r="M122" i="15" s="1"/>
  <c r="E117" i="15"/>
  <c r="E119" i="15" s="1"/>
  <c r="E122" i="15" s="1"/>
  <c r="H110" i="15"/>
  <c r="AC110" i="15" s="1"/>
  <c r="AE110" i="15" s="1"/>
  <c r="S33" i="1"/>
  <c r="AE33" i="1" s="1"/>
  <c r="O263" i="15"/>
  <c r="AH42" i="1"/>
  <c r="T146" i="15"/>
  <c r="T147" i="15" s="1"/>
  <c r="V46" i="1"/>
  <c r="V146" i="15" s="1"/>
  <c r="M51" i="1"/>
  <c r="T78" i="1"/>
  <c r="C15" i="10"/>
  <c r="D7" i="10"/>
  <c r="T36" i="2"/>
  <c r="K41" i="2"/>
  <c r="Q62" i="8"/>
  <c r="R62" i="8"/>
  <c r="Y263" i="15"/>
  <c r="Y51" i="1"/>
  <c r="U289" i="15"/>
  <c r="V41" i="1"/>
  <c r="V289" i="15" s="1"/>
  <c r="E78" i="1"/>
  <c r="E89" i="1" s="1"/>
  <c r="AH92" i="1"/>
  <c r="E51" i="1"/>
  <c r="E218" i="15"/>
  <c r="H66" i="1"/>
  <c r="S66" i="1"/>
  <c r="S218" i="15" s="1"/>
  <c r="G107" i="7"/>
  <c r="AD202" i="15" s="1"/>
  <c r="S84" i="1"/>
  <c r="S87" i="1" s="1"/>
  <c r="J51" i="1"/>
  <c r="J53" i="1" s="1"/>
  <c r="P146" i="15"/>
  <c r="P147" i="15" s="1"/>
  <c r="S46" i="1"/>
  <c r="S146" i="15" s="1"/>
  <c r="I191" i="15"/>
  <c r="L63" i="1"/>
  <c r="L191" i="15" s="1"/>
  <c r="M37" i="1"/>
  <c r="V66" i="1"/>
  <c r="S69" i="1"/>
  <c r="S243" i="15" s="1"/>
  <c r="T35" i="2"/>
  <c r="P36" i="2"/>
  <c r="I37" i="1"/>
  <c r="I57" i="15"/>
  <c r="I58" i="15" s="1"/>
  <c r="L21" i="1"/>
  <c r="L57" i="15" s="1"/>
  <c r="O26" i="1"/>
  <c r="O87" i="15" s="1"/>
  <c r="H29" i="1"/>
  <c r="L41" i="1"/>
  <c r="L289" i="15" s="1"/>
  <c r="L45" i="1"/>
  <c r="P51" i="1"/>
  <c r="P53" i="1" s="1"/>
  <c r="AH99" i="1"/>
  <c r="N19" i="2"/>
  <c r="F30" i="2"/>
  <c r="F32" i="2" s="1"/>
  <c r="W35" i="2"/>
  <c r="Q60" i="8"/>
  <c r="R60" i="8"/>
  <c r="Z148" i="8"/>
  <c r="P148" i="8"/>
  <c r="J153" i="8"/>
  <c r="P153" i="8"/>
  <c r="T37" i="1"/>
  <c r="T53" i="1" s="1"/>
  <c r="I51" i="1"/>
  <c r="G311" i="15"/>
  <c r="G338" i="15" s="1"/>
  <c r="H338" i="15" s="1"/>
  <c r="P35" i="2"/>
  <c r="O46" i="1"/>
  <c r="H93" i="1"/>
  <c r="J7" i="10"/>
  <c r="I7" i="10"/>
  <c r="I15" i="10" s="1"/>
  <c r="AB16" i="12"/>
  <c r="G47" i="7"/>
  <c r="M317" i="15"/>
  <c r="M318" i="15" s="1"/>
  <c r="O93" i="1"/>
  <c r="G17" i="7"/>
  <c r="D20" i="10"/>
  <c r="P30" i="2"/>
  <c r="P57" i="2"/>
  <c r="H98" i="1"/>
  <c r="AE98" i="1" s="1"/>
  <c r="S263" i="15"/>
  <c r="S60" i="1"/>
  <c r="S169" i="15" s="1"/>
  <c r="H243" i="15"/>
  <c r="H81" i="1"/>
  <c r="AE81" i="1" s="1"/>
  <c r="D87" i="1"/>
  <c r="P317" i="15"/>
  <c r="S93" i="1"/>
  <c r="I16" i="2"/>
  <c r="E19" i="2"/>
  <c r="L102" i="8"/>
  <c r="R102" i="8" s="1"/>
  <c r="P112" i="8"/>
  <c r="J112" i="8"/>
  <c r="Q112" i="8" s="1"/>
  <c r="V87" i="1"/>
  <c r="T87" i="1"/>
  <c r="M17" i="2"/>
  <c r="E18" i="12"/>
  <c r="J18" i="12" s="1"/>
  <c r="G21" i="7"/>
  <c r="AF104" i="1" s="1"/>
  <c r="C9" i="10"/>
  <c r="N41" i="2"/>
  <c r="M289" i="15"/>
  <c r="M290" i="15" s="1"/>
  <c r="O41" i="1"/>
  <c r="O289" i="15" s="1"/>
  <c r="S26" i="1"/>
  <c r="R30" i="2"/>
  <c r="F41" i="2"/>
  <c r="I35" i="2"/>
  <c r="U41" i="2"/>
  <c r="AE68" i="2"/>
  <c r="P58" i="8"/>
  <c r="AH65" i="1"/>
  <c r="AI8" i="32" s="1"/>
  <c r="AI10" i="32" s="1"/>
  <c r="AI42" i="32" s="1"/>
  <c r="F42" i="32" s="1"/>
  <c r="AH85" i="1"/>
  <c r="R151" i="8"/>
  <c r="J169" i="15"/>
  <c r="L60" i="1"/>
  <c r="L169" i="15" s="1"/>
  <c r="E342" i="15"/>
  <c r="E343" i="15" s="1"/>
  <c r="H94" i="1"/>
  <c r="Q170" i="8"/>
  <c r="R170" i="8"/>
  <c r="Q51" i="1"/>
  <c r="Q53" i="1" s="1"/>
  <c r="E146" i="15"/>
  <c r="H46" i="1"/>
  <c r="AE46" i="1" s="1"/>
  <c r="AH64" i="1"/>
  <c r="Y78" i="1"/>
  <c r="Q87" i="1"/>
  <c r="R71" i="8"/>
  <c r="I117" i="7"/>
  <c r="J149" i="8"/>
  <c r="P149" i="8"/>
  <c r="K121" i="15"/>
  <c r="L29" i="1"/>
  <c r="E263" i="15"/>
  <c r="E264" i="15" s="1"/>
  <c r="D51" i="1"/>
  <c r="V40" i="1"/>
  <c r="Q289" i="15"/>
  <c r="S41" i="1"/>
  <c r="D78" i="1"/>
  <c r="E169" i="15"/>
  <c r="E170" i="15" s="1"/>
  <c r="E171" i="15" s="1"/>
  <c r="H60" i="1"/>
  <c r="S63" i="1"/>
  <c r="S191" i="15" s="1"/>
  <c r="J243" i="15"/>
  <c r="L69" i="1"/>
  <c r="L243" i="15" s="1"/>
  <c r="H70" i="1"/>
  <c r="I87" i="1"/>
  <c r="Y317" i="15"/>
  <c r="G69" i="7"/>
  <c r="H70" i="7" s="1"/>
  <c r="Z19" i="2"/>
  <c r="T218" i="15"/>
  <c r="Y87" i="1"/>
  <c r="AH95" i="1"/>
  <c r="R19" i="2"/>
  <c r="X32" i="2"/>
  <c r="X52" i="2" s="1"/>
  <c r="X59" i="2" s="1"/>
  <c r="X63" i="2" s="1"/>
  <c r="Q30" i="2"/>
  <c r="T22" i="2"/>
  <c r="AD22" i="2" s="1"/>
  <c r="AB131" i="8"/>
  <c r="R131" i="8" s="1"/>
  <c r="Q131" i="8"/>
  <c r="P168" i="8"/>
  <c r="J290" i="15"/>
  <c r="M87" i="1"/>
  <c r="Q19" i="2"/>
  <c r="M25" i="2"/>
  <c r="E41" i="2"/>
  <c r="Z41" i="2"/>
  <c r="H57" i="7"/>
  <c r="L15" i="1"/>
  <c r="S18" i="1"/>
  <c r="L40" i="1"/>
  <c r="P78" i="1"/>
  <c r="P89" i="1" s="1"/>
  <c r="L317" i="15"/>
  <c r="G6" i="7"/>
  <c r="T17" i="2"/>
  <c r="O92" i="8"/>
  <c r="P92" i="8"/>
  <c r="J92" i="8"/>
  <c r="O21" i="1"/>
  <c r="O57" i="15" s="1"/>
  <c r="O63" i="1"/>
  <c r="O66" i="1"/>
  <c r="V69" i="1"/>
  <c r="M16" i="2"/>
  <c r="I17" i="2"/>
  <c r="T24" i="2"/>
  <c r="J41" i="2"/>
  <c r="M35" i="2"/>
  <c r="E50" i="2"/>
  <c r="W88" i="2"/>
  <c r="AD88" i="2" s="1"/>
  <c r="O73" i="8"/>
  <c r="P73" i="8"/>
  <c r="J73" i="8"/>
  <c r="D18" i="10"/>
  <c r="P16" i="2"/>
  <c r="U32" i="2"/>
  <c r="N30" i="2"/>
  <c r="P7" i="10"/>
  <c r="O7" i="10"/>
  <c r="O15" i="10" s="1"/>
  <c r="O24" i="10" s="1"/>
  <c r="E44" i="10" s="1"/>
  <c r="Q41" i="2"/>
  <c r="P64" i="8"/>
  <c r="O64" i="8"/>
  <c r="L74" i="8"/>
  <c r="V93" i="1"/>
  <c r="J124" i="22" s="1"/>
  <c r="W17" i="2"/>
  <c r="P166" i="8"/>
  <c r="K36" i="15"/>
  <c r="P192" i="15"/>
  <c r="P40" i="8"/>
  <c r="R41" i="8"/>
  <c r="AD205" i="15"/>
  <c r="R183" i="8"/>
  <c r="O187" i="8"/>
  <c r="J88" i="15"/>
  <c r="J50" i="8"/>
  <c r="Q48" i="8"/>
  <c r="L48" i="8"/>
  <c r="P72" i="8"/>
  <c r="J72" i="8"/>
  <c r="R90" i="8"/>
  <c r="O101" i="8"/>
  <c r="P101" i="8"/>
  <c r="J101" i="8"/>
  <c r="K139" i="8"/>
  <c r="L139" i="8" s="1"/>
  <c r="R139" i="8" s="1"/>
  <c r="Q139" i="8"/>
  <c r="AB155" i="8"/>
  <c r="R155" i="8" s="1"/>
  <c r="Q155" i="8"/>
  <c r="V32" i="12"/>
  <c r="V29" i="12"/>
  <c r="I36" i="2"/>
  <c r="I87" i="7"/>
  <c r="O72" i="8"/>
  <c r="Q186" i="8"/>
  <c r="AD67" i="15"/>
  <c r="I79" i="7"/>
  <c r="H114" i="7"/>
  <c r="AD70" i="15" s="1"/>
  <c r="BG17" i="12"/>
  <c r="L8" i="10" s="1"/>
  <c r="L16" i="10" s="1"/>
  <c r="I2" i="7"/>
  <c r="P60" i="8"/>
  <c r="O60" i="8"/>
  <c r="P220" i="8"/>
  <c r="Z220" i="8"/>
  <c r="J30" i="15"/>
  <c r="J33" i="15" s="1"/>
  <c r="J36" i="15" s="1"/>
  <c r="L25" i="15"/>
  <c r="AC25" i="15" s="1"/>
  <c r="F88" i="15"/>
  <c r="AO30" i="12"/>
  <c r="AO31" i="12"/>
  <c r="AO35" i="12" s="1"/>
  <c r="AO41" i="12" s="1"/>
  <c r="AO32" i="12"/>
  <c r="P57" i="8"/>
  <c r="O57" i="8"/>
  <c r="R59" i="8"/>
  <c r="O83" i="8"/>
  <c r="P83" i="8"/>
  <c r="AB139" i="8"/>
  <c r="AA139" i="8"/>
  <c r="X30" i="12"/>
  <c r="X32" i="12"/>
  <c r="X29" i="12"/>
  <c r="AB29" i="12" s="1"/>
  <c r="AD29" i="12" s="1"/>
  <c r="T36" i="15"/>
  <c r="M58" i="15"/>
  <c r="V177" i="15"/>
  <c r="V189" i="15" s="1"/>
  <c r="V192" i="15" s="1"/>
  <c r="T189" i="15"/>
  <c r="T192" i="15" s="1"/>
  <c r="Q83" i="8"/>
  <c r="L83" i="8"/>
  <c r="R83" i="8" s="1"/>
  <c r="Z32" i="12"/>
  <c r="BE31" i="12"/>
  <c r="BG31" i="12" s="1"/>
  <c r="D135" i="20" s="1"/>
  <c r="BE32" i="12"/>
  <c r="BG25" i="12"/>
  <c r="BE30" i="12"/>
  <c r="BE29" i="12"/>
  <c r="P58" i="15"/>
  <c r="Q99" i="8"/>
  <c r="AD181" i="15"/>
  <c r="L25" i="12"/>
  <c r="N24" i="12"/>
  <c r="G30" i="15"/>
  <c r="G33" i="15" s="1"/>
  <c r="G36" i="15" s="1"/>
  <c r="R58" i="8"/>
  <c r="R193" i="8"/>
  <c r="P193" i="8"/>
  <c r="L26" i="15"/>
  <c r="I30" i="15"/>
  <c r="I33" i="15" s="1"/>
  <c r="I36" i="15" s="1"/>
  <c r="Q41" i="8"/>
  <c r="P59" i="8"/>
  <c r="O59" i="8"/>
  <c r="Q20" i="10"/>
  <c r="L111" i="15"/>
  <c r="AC111" i="15" s="1"/>
  <c r="AE111" i="15" s="1"/>
  <c r="AD206" i="15"/>
  <c r="AD71" i="15"/>
  <c r="AE71" i="15" s="1"/>
  <c r="H83" i="7"/>
  <c r="AG66" i="1" s="1"/>
  <c r="Q71" i="8"/>
  <c r="P152" i="8"/>
  <c r="J152" i="8"/>
  <c r="Q189" i="8"/>
  <c r="R189" i="8"/>
  <c r="S16" i="15"/>
  <c r="AC16" i="15" s="1"/>
  <c r="O52" i="15"/>
  <c r="O55" i="15" s="1"/>
  <c r="O99" i="15"/>
  <c r="N117" i="15"/>
  <c r="E83" i="15"/>
  <c r="E85" i="15" s="1"/>
  <c r="E88" i="15" s="1"/>
  <c r="Q88" i="15"/>
  <c r="V15" i="15"/>
  <c r="V30" i="15" s="1"/>
  <c r="V33" i="15" s="1"/>
  <c r="V36" i="15" s="1"/>
  <c r="AE106" i="15"/>
  <c r="J117" i="15"/>
  <c r="J119" i="15" s="1"/>
  <c r="J122" i="15" s="1"/>
  <c r="O62" i="8"/>
  <c r="P82" i="8"/>
  <c r="J82" i="8"/>
  <c r="P91" i="8"/>
  <c r="J91" i="8"/>
  <c r="P100" i="8"/>
  <c r="J100" i="8"/>
  <c r="H116" i="8"/>
  <c r="J116" i="8" s="1"/>
  <c r="J111" i="8"/>
  <c r="Q111" i="8" s="1"/>
  <c r="Z132" i="8"/>
  <c r="AB132" i="8" s="1"/>
  <c r="R132" i="8" s="1"/>
  <c r="Q154" i="8"/>
  <c r="Q200" i="8"/>
  <c r="I216" i="15"/>
  <c r="I219" i="15" s="1"/>
  <c r="L206" i="15"/>
  <c r="AC206" i="15" s="1"/>
  <c r="O82" i="8"/>
  <c r="O91" i="8"/>
  <c r="O100" i="8"/>
  <c r="P102" i="8"/>
  <c r="O102" i="8"/>
  <c r="J121" i="8"/>
  <c r="Q121" i="8" s="1"/>
  <c r="Q151" i="8"/>
  <c r="O157" i="8"/>
  <c r="X157" i="8"/>
  <c r="H195" i="8"/>
  <c r="J195" i="8" s="1"/>
  <c r="R200" i="8"/>
  <c r="K19" i="10"/>
  <c r="H20" i="10"/>
  <c r="P83" i="15"/>
  <c r="P85" i="15" s="1"/>
  <c r="P88" i="15" s="1"/>
  <c r="L75" i="15"/>
  <c r="AC75" i="15" s="1"/>
  <c r="P219" i="15"/>
  <c r="O30" i="15"/>
  <c r="O33" i="15" s="1"/>
  <c r="O36" i="15" s="1"/>
  <c r="H102" i="15"/>
  <c r="AC102" i="15" s="1"/>
  <c r="AE234" i="15"/>
  <c r="AD66" i="15"/>
  <c r="Q18" i="10"/>
  <c r="P30" i="15"/>
  <c r="P33" i="15" s="1"/>
  <c r="P36" i="15" s="1"/>
  <c r="V117" i="15"/>
  <c r="V119" i="15" s="1"/>
  <c r="V122" i="15" s="1"/>
  <c r="AE104" i="15"/>
  <c r="AE107" i="15"/>
  <c r="V167" i="15"/>
  <c r="V170" i="15" s="1"/>
  <c r="H164" i="15"/>
  <c r="G167" i="15"/>
  <c r="Q208" i="8"/>
  <c r="Q30" i="15"/>
  <c r="Q33" i="15" s="1"/>
  <c r="Q36" i="15" s="1"/>
  <c r="Y167" i="15"/>
  <c r="Y170" i="15" s="1"/>
  <c r="AE160" i="15"/>
  <c r="G122" i="7"/>
  <c r="AF63" i="1" s="1"/>
  <c r="Q156" i="8"/>
  <c r="F175" i="8"/>
  <c r="F178" i="8" s="1"/>
  <c r="O165" i="8"/>
  <c r="R208" i="8"/>
  <c r="L52" i="15"/>
  <c r="L55" i="15" s="1"/>
  <c r="V69" i="15"/>
  <c r="AC69" i="15" s="1"/>
  <c r="AE80" i="15"/>
  <c r="AE130" i="15"/>
  <c r="W142" i="15"/>
  <c r="W144" i="15" s="1"/>
  <c r="W147" i="15" s="1"/>
  <c r="Y139" i="15"/>
  <c r="Y142" i="15" s="1"/>
  <c r="Y144" i="15" s="1"/>
  <c r="Y147" i="15" s="1"/>
  <c r="H159" i="8"/>
  <c r="J159" i="8" s="1"/>
  <c r="P171" i="8"/>
  <c r="P201" i="8"/>
  <c r="P206" i="8"/>
  <c r="AE18" i="15"/>
  <c r="V142" i="15"/>
  <c r="V144" i="15" s="1"/>
  <c r="H181" i="15"/>
  <c r="AC181" i="15" s="1"/>
  <c r="M216" i="15"/>
  <c r="M219" i="15" s="1"/>
  <c r="O199" i="15"/>
  <c r="O216" i="15" s="1"/>
  <c r="J147" i="8"/>
  <c r="Q202" i="8"/>
  <c r="K17" i="10"/>
  <c r="E30" i="15"/>
  <c r="E33" i="15" s="1"/>
  <c r="E36" i="15" s="1"/>
  <c r="L78" i="15"/>
  <c r="L99" i="15"/>
  <c r="P223" i="15" s="1"/>
  <c r="F117" i="15"/>
  <c r="F119" i="15" s="1"/>
  <c r="F122" i="15" s="1"/>
  <c r="AE133" i="15"/>
  <c r="H228" i="15"/>
  <c r="AC228" i="15" s="1"/>
  <c r="E241" i="15"/>
  <c r="E244" i="15" s="1"/>
  <c r="S21" i="15"/>
  <c r="S30" i="15" s="1"/>
  <c r="S33" i="15" s="1"/>
  <c r="V70" i="15"/>
  <c r="I117" i="15"/>
  <c r="I119" i="15" s="1"/>
  <c r="I122" i="15" s="1"/>
  <c r="I147" i="15"/>
  <c r="Q192" i="15"/>
  <c r="F264" i="15"/>
  <c r="J222" i="8"/>
  <c r="H224" i="8"/>
  <c r="J224" i="8" s="1"/>
  <c r="L19" i="15"/>
  <c r="AC19" i="15" s="1"/>
  <c r="M36" i="15"/>
  <c r="M147" i="15"/>
  <c r="E189" i="15"/>
  <c r="E192" i="15" s="1"/>
  <c r="S310" i="15"/>
  <c r="S315" i="15" s="1"/>
  <c r="P315" i="15"/>
  <c r="H20" i="15"/>
  <c r="F30" i="15"/>
  <c r="F33" i="15" s="1"/>
  <c r="F36" i="15" s="1"/>
  <c r="R88" i="15"/>
  <c r="H95" i="15"/>
  <c r="L203" i="15"/>
  <c r="J216" i="15"/>
  <c r="J219" i="15" s="1"/>
  <c r="O261" i="15"/>
  <c r="F299" i="15"/>
  <c r="H299" i="15" s="1"/>
  <c r="H26" i="15"/>
  <c r="AE135" i="15"/>
  <c r="Q244" i="15"/>
  <c r="I290" i="15"/>
  <c r="I315" i="15"/>
  <c r="I318" i="15" s="1"/>
  <c r="Y30" i="15"/>
  <c r="Y33" i="15" s="1"/>
  <c r="Y36" i="15" s="1"/>
  <c r="L95" i="15"/>
  <c r="AD95" i="15" s="1"/>
  <c r="T58" i="15"/>
  <c r="V66" i="15"/>
  <c r="AC66" i="15" s="1"/>
  <c r="H70" i="15"/>
  <c r="H83" i="15" s="1"/>
  <c r="H85" i="15" s="1"/>
  <c r="V79" i="15"/>
  <c r="AC79" i="15" s="1"/>
  <c r="Q287" i="15"/>
  <c r="P290" i="15"/>
  <c r="O64" i="15"/>
  <c r="O83" i="15" s="1"/>
  <c r="O85" i="15" s="1"/>
  <c r="T83" i="15"/>
  <c r="T85" i="15" s="1"/>
  <c r="T88" i="15" s="1"/>
  <c r="S81" i="15"/>
  <c r="O100" i="15"/>
  <c r="I189" i="15"/>
  <c r="S179" i="15"/>
  <c r="S189" i="15" s="1"/>
  <c r="S199" i="15"/>
  <c r="S216" i="15" s="1"/>
  <c r="S219" i="15" s="1"/>
  <c r="Q216" i="15"/>
  <c r="Q219" i="15" s="1"/>
  <c r="Q220" i="15" s="1"/>
  <c r="H52" i="15"/>
  <c r="H55" i="15" s="1"/>
  <c r="U83" i="15"/>
  <c r="U85" i="15" s="1"/>
  <c r="U88" i="15" s="1"/>
  <c r="S117" i="15"/>
  <c r="S119" i="15" s="1"/>
  <c r="H144" i="15"/>
  <c r="AE157" i="15"/>
  <c r="L189" i="15"/>
  <c r="AE187" i="15"/>
  <c r="T216" i="15"/>
  <c r="V199" i="15"/>
  <c r="V216" i="15" s="1"/>
  <c r="S231" i="15"/>
  <c r="AC231" i="15" s="1"/>
  <c r="E58" i="15"/>
  <c r="V65" i="15"/>
  <c r="S74" i="15"/>
  <c r="I167" i="15"/>
  <c r="I170" i="15" s="1"/>
  <c r="H203" i="15"/>
  <c r="P261" i="15"/>
  <c r="P264" i="15" s="1"/>
  <c r="S253" i="15"/>
  <c r="S64" i="15"/>
  <c r="L65" i="15"/>
  <c r="I83" i="15"/>
  <c r="I85" i="15" s="1"/>
  <c r="I88" i="15" s="1"/>
  <c r="E144" i="15"/>
  <c r="L340" i="15"/>
  <c r="V68" i="15"/>
  <c r="L97" i="15"/>
  <c r="AC97" i="15" s="1"/>
  <c r="O139" i="15"/>
  <c r="O142" i="15" s="1"/>
  <c r="O144" i="15" s="1"/>
  <c r="L155" i="15"/>
  <c r="AE186" i="15"/>
  <c r="O96" i="15"/>
  <c r="S139" i="15"/>
  <c r="O189" i="15"/>
  <c r="F216" i="15"/>
  <c r="F219" i="15" s="1"/>
  <c r="H199" i="15"/>
  <c r="L202" i="15"/>
  <c r="AC202" i="15" s="1"/>
  <c r="E290" i="15"/>
  <c r="AE276" i="15"/>
  <c r="T315" i="15"/>
  <c r="T318" i="15" s="1"/>
  <c r="K83" i="15"/>
  <c r="K85" i="15" s="1"/>
  <c r="AE158" i="15"/>
  <c r="P167" i="15"/>
  <c r="P170" i="15" s="1"/>
  <c r="P171" i="15" s="1"/>
  <c r="H205" i="15"/>
  <c r="V261" i="15"/>
  <c r="H287" i="15"/>
  <c r="Y287" i="15"/>
  <c r="Y290" i="15" s="1"/>
  <c r="H311" i="15"/>
  <c r="K192" i="15"/>
  <c r="AE277" i="15"/>
  <c r="O340" i="15"/>
  <c r="O343" i="15" s="1"/>
  <c r="F307" i="15"/>
  <c r="H307" i="15" s="1"/>
  <c r="AC307" i="15" s="1"/>
  <c r="Q340" i="15"/>
  <c r="S325" i="15"/>
  <c r="S340" i="15" s="1"/>
  <c r="S343" i="15" s="1"/>
  <c r="M264" i="15"/>
  <c r="F300" i="15"/>
  <c r="H300" i="15" s="1"/>
  <c r="AC300" i="15" s="1"/>
  <c r="F301" i="15"/>
  <c r="H301" i="15" s="1"/>
  <c r="AC301" i="15" s="1"/>
  <c r="H201" i="15"/>
  <c r="Y340" i="15"/>
  <c r="Y343" i="15" s="1"/>
  <c r="K219" i="15"/>
  <c r="U287" i="15"/>
  <c r="AE284" i="15"/>
  <c r="K318" i="15"/>
  <c r="L142" i="15"/>
  <c r="L144" i="15" s="1"/>
  <c r="L147" i="15" s="1"/>
  <c r="H179" i="15"/>
  <c r="H200" i="15"/>
  <c r="AC200" i="15" s="1"/>
  <c r="E216" i="15"/>
  <c r="L205" i="15"/>
  <c r="H207" i="15"/>
  <c r="P244" i="15"/>
  <c r="P245" i="15" s="1"/>
  <c r="S227" i="15"/>
  <c r="S278" i="15"/>
  <c r="V340" i="15"/>
  <c r="V343" i="15" s="1"/>
  <c r="Y315" i="15"/>
  <c r="H177" i="15"/>
  <c r="V227" i="15"/>
  <c r="V241" i="15" s="1"/>
  <c r="T244" i="15"/>
  <c r="N264" i="15"/>
  <c r="O302" i="15"/>
  <c r="AC302" i="15" s="1"/>
  <c r="S165" i="15"/>
  <c r="AC165" i="15" s="1"/>
  <c r="W170" i="15"/>
  <c r="L212" i="15"/>
  <c r="T261" i="15"/>
  <c r="T264" i="15" s="1"/>
  <c r="L254" i="15"/>
  <c r="L315" i="15"/>
  <c r="E315" i="15"/>
  <c r="E318" i="15" s="1"/>
  <c r="F298" i="15"/>
  <c r="H298" i="15" s="1"/>
  <c r="AC298" i="15" s="1"/>
  <c r="L199" i="15"/>
  <c r="I261" i="15"/>
  <c r="I264" i="15" s="1"/>
  <c r="L255" i="15"/>
  <c r="S271" i="15"/>
  <c r="AC271" i="15" s="1"/>
  <c r="AE332" i="15"/>
  <c r="S285" i="15"/>
  <c r="AE303" i="15"/>
  <c r="F310" i="15"/>
  <c r="H310" i="15" s="1"/>
  <c r="AC310" i="15" s="1"/>
  <c r="T287" i="15"/>
  <c r="T290" i="15" s="1"/>
  <c r="L201" i="15"/>
  <c r="H214" i="15"/>
  <c r="Y244" i="15"/>
  <c r="V271" i="15"/>
  <c r="S283" i="15"/>
  <c r="AC283" i="15" s="1"/>
  <c r="X340" i="15"/>
  <c r="X343" i="15" s="1"/>
  <c r="M192" i="15"/>
  <c r="L213" i="15"/>
  <c r="S261" i="15"/>
  <c r="H312" i="15"/>
  <c r="V275" i="15"/>
  <c r="AC275" i="15" s="1"/>
  <c r="V273" i="15"/>
  <c r="AC273" i="15" s="1"/>
  <c r="J41" i="37" l="1"/>
  <c r="J45" i="37"/>
  <c r="J50" i="37" s="1"/>
  <c r="AL8" i="32"/>
  <c r="AL10" i="32" s="1"/>
  <c r="AH44" i="1"/>
  <c r="M69" i="33"/>
  <c r="J54" i="37"/>
  <c r="AQ8" i="32"/>
  <c r="AQ10" i="32" s="1"/>
  <c r="M27" i="33"/>
  <c r="M28" i="33" s="1"/>
  <c r="S8" i="32"/>
  <c r="S10" i="32" s="1"/>
  <c r="S97" i="32" s="1"/>
  <c r="S4" i="32" s="1"/>
  <c r="J26" i="37"/>
  <c r="J31" i="37"/>
  <c r="X8" i="32"/>
  <c r="X10" i="32" s="1"/>
  <c r="X37" i="32" s="1"/>
  <c r="F37" i="32" s="1"/>
  <c r="N8" i="32"/>
  <c r="N10" i="32" s="1"/>
  <c r="J19" i="37"/>
  <c r="AI97" i="32"/>
  <c r="AI4" i="32" s="1"/>
  <c r="AH10" i="32"/>
  <c r="O97" i="32"/>
  <c r="O4" i="32" s="1"/>
  <c r="AC311" i="15"/>
  <c r="N79" i="32"/>
  <c r="F79" i="32" s="1"/>
  <c r="AE84" i="1"/>
  <c r="S58" i="15"/>
  <c r="AE21" i="1"/>
  <c r="AH21" i="1" s="1"/>
  <c r="AE69" i="1"/>
  <c r="D147" i="22"/>
  <c r="D160" i="22"/>
  <c r="AH33" i="1"/>
  <c r="M10" i="32" s="1"/>
  <c r="M36" i="32" s="1"/>
  <c r="AE94" i="1"/>
  <c r="AE93" i="1"/>
  <c r="AH105" i="1"/>
  <c r="J48" i="32"/>
  <c r="F48" i="32" s="1"/>
  <c r="AE45" i="1"/>
  <c r="AH45" i="1" s="1"/>
  <c r="L343" i="15"/>
  <c r="J146" i="22"/>
  <c r="J159" i="22"/>
  <c r="AE60" i="1"/>
  <c r="AE105" i="1"/>
  <c r="AE278" i="15"/>
  <c r="AE283" i="15"/>
  <c r="AC179" i="15"/>
  <c r="L167" i="15"/>
  <c r="L170" i="15" s="1"/>
  <c r="AC299" i="15"/>
  <c r="AC315" i="15" s="1"/>
  <c r="AD258" i="15"/>
  <c r="AE258" i="15" s="1"/>
  <c r="AC285" i="15"/>
  <c r="AE285" i="15" s="1"/>
  <c r="L290" i="15"/>
  <c r="AE66" i="1"/>
  <c r="L22" i="8"/>
  <c r="L23" i="8" s="1"/>
  <c r="AE26" i="1"/>
  <c r="AE29" i="1"/>
  <c r="H289" i="15"/>
  <c r="AD17" i="2"/>
  <c r="AE63" i="1"/>
  <c r="AE18" i="1"/>
  <c r="V37" i="1"/>
  <c r="H124" i="22"/>
  <c r="O170" i="15"/>
  <c r="L87" i="1"/>
  <c r="AE70" i="1"/>
  <c r="AH70" i="1" s="1"/>
  <c r="O218" i="15"/>
  <c r="O191" i="15"/>
  <c r="O146" i="15"/>
  <c r="O147" i="15" s="1"/>
  <c r="S35" i="15"/>
  <c r="S36" i="15" s="1"/>
  <c r="S87" i="15"/>
  <c r="Z32" i="2"/>
  <c r="K52" i="2"/>
  <c r="AD16" i="2"/>
  <c r="AD23" i="2"/>
  <c r="AG23" i="2" s="1"/>
  <c r="AD24" i="2"/>
  <c r="AG24" i="2" s="1"/>
  <c r="AD36" i="2"/>
  <c r="M30" i="2"/>
  <c r="AD35" i="2"/>
  <c r="AD25" i="2"/>
  <c r="AG25" i="2" s="1"/>
  <c r="P164" i="22"/>
  <c r="P151" i="22"/>
  <c r="H290" i="15"/>
  <c r="L121" i="15"/>
  <c r="AF66" i="1"/>
  <c r="AC325" i="15"/>
  <c r="S289" i="15"/>
  <c r="S241" i="15"/>
  <c r="S244" i="15" s="1"/>
  <c r="AC212" i="15"/>
  <c r="AE212" i="15" s="1"/>
  <c r="AC214" i="15"/>
  <c r="AE214" i="15" s="1"/>
  <c r="AC213" i="15"/>
  <c r="AE213" i="15" s="1"/>
  <c r="AC203" i="15"/>
  <c r="AC227" i="15"/>
  <c r="AC241" i="15" s="1"/>
  <c r="AC65" i="15"/>
  <c r="H241" i="15"/>
  <c r="AE229" i="15"/>
  <c r="AC15" i="15"/>
  <c r="AE15" i="15" s="1"/>
  <c r="AE100" i="15"/>
  <c r="AC164" i="15"/>
  <c r="AE164" i="15" s="1"/>
  <c r="AC81" i="15"/>
  <c r="AE81" i="15" s="1"/>
  <c r="O315" i="15"/>
  <c r="AC207" i="15"/>
  <c r="AE207" i="15" s="1"/>
  <c r="AC199" i="15"/>
  <c r="AC100" i="15"/>
  <c r="K122" i="15"/>
  <c r="AC74" i="15"/>
  <c r="AE74" i="15" s="1"/>
  <c r="AC177" i="15"/>
  <c r="AC95" i="15"/>
  <c r="AE95" i="15" s="1"/>
  <c r="AC205" i="15"/>
  <c r="AE205" i="15" s="1"/>
  <c r="AC68" i="15"/>
  <c r="AE68" i="15" s="1"/>
  <c r="AC139" i="15"/>
  <c r="AE79" i="15"/>
  <c r="AE16" i="15"/>
  <c r="AC78" i="15"/>
  <c r="AE78" i="15" s="1"/>
  <c r="AC99" i="15"/>
  <c r="AC64" i="15"/>
  <c r="AE103" i="15"/>
  <c r="AC70" i="15"/>
  <c r="AE70" i="15" s="1"/>
  <c r="AC155" i="15"/>
  <c r="AE155" i="15" s="1"/>
  <c r="AE97" i="15"/>
  <c r="AC201" i="15"/>
  <c r="AE165" i="15"/>
  <c r="AC20" i="15"/>
  <c r="AE20" i="15" s="1"/>
  <c r="V147" i="15"/>
  <c r="AC21" i="15"/>
  <c r="AE21" i="15" s="1"/>
  <c r="AC96" i="15"/>
  <c r="AE96" i="15" s="1"/>
  <c r="S142" i="15"/>
  <c r="S144" i="15" s="1"/>
  <c r="S147" i="15" s="1"/>
  <c r="AC26" i="15"/>
  <c r="H117" i="15"/>
  <c r="H119" i="15" s="1"/>
  <c r="V243" i="15"/>
  <c r="V244" i="15" s="1"/>
  <c r="J147" i="22"/>
  <c r="J160" i="22"/>
  <c r="P169" i="8"/>
  <c r="AE19" i="15"/>
  <c r="AF93" i="1"/>
  <c r="H58" i="15"/>
  <c r="O290" i="15"/>
  <c r="Q290" i="15"/>
  <c r="L261" i="15"/>
  <c r="O219" i="15"/>
  <c r="S122" i="15"/>
  <c r="L117" i="15"/>
  <c r="L119" i="15" s="1"/>
  <c r="S167" i="15"/>
  <c r="S170" i="15" s="1"/>
  <c r="V287" i="15"/>
  <c r="V290" i="15" s="1"/>
  <c r="S83" i="15"/>
  <c r="S85" i="15" s="1"/>
  <c r="S88" i="15" s="1"/>
  <c r="AE179" i="15"/>
  <c r="AD325" i="15"/>
  <c r="AD340" i="15" s="1"/>
  <c r="AD343" i="15" s="1"/>
  <c r="S264" i="15"/>
  <c r="S265" i="15" s="1"/>
  <c r="Y264" i="15"/>
  <c r="AD30" i="15"/>
  <c r="AD33" i="15" s="1"/>
  <c r="AD36" i="15" s="1"/>
  <c r="Q193" i="8"/>
  <c r="R185" i="8"/>
  <c r="Q185" i="8"/>
  <c r="AE206" i="15"/>
  <c r="I114" i="7"/>
  <c r="AE75" i="15"/>
  <c r="AE181" i="15"/>
  <c r="U52" i="2"/>
  <c r="U59" i="2" s="1"/>
  <c r="U63" i="2" s="1"/>
  <c r="U87" i="2" s="1"/>
  <c r="I89" i="1"/>
  <c r="L192" i="15"/>
  <c r="I13" i="7"/>
  <c r="AG101" i="1"/>
  <c r="O264" i="15"/>
  <c r="K88" i="15"/>
  <c r="AA48" i="2"/>
  <c r="H143" i="21" s="1"/>
  <c r="N143" i="21" s="1"/>
  <c r="P143" i="21" s="1"/>
  <c r="T143" i="21" s="1"/>
  <c r="J104" i="21"/>
  <c r="J105" i="21" s="1"/>
  <c r="F52" i="2"/>
  <c r="F59" i="2" s="1"/>
  <c r="F63" i="2" s="1"/>
  <c r="E102" i="1" s="1"/>
  <c r="E109" i="1" s="1"/>
  <c r="E112" i="1" s="1"/>
  <c r="E114" i="1" s="1"/>
  <c r="N32" i="2"/>
  <c r="N52" i="2" s="1"/>
  <c r="N59" i="2" s="1"/>
  <c r="N63" i="2" s="1"/>
  <c r="R32" i="2"/>
  <c r="R52" i="2" s="1"/>
  <c r="R59" i="2" s="1"/>
  <c r="R63" i="2" s="1"/>
  <c r="H58" i="7"/>
  <c r="I58" i="7" s="1"/>
  <c r="F135" i="20"/>
  <c r="E136" i="20"/>
  <c r="G136" i="20" s="1"/>
  <c r="J33" i="12"/>
  <c r="L33" i="12" s="1"/>
  <c r="L19" i="12"/>
  <c r="N19" i="12" s="1"/>
  <c r="D81" i="21"/>
  <c r="G120" i="20"/>
  <c r="J32" i="12"/>
  <c r="L32" i="12" s="1"/>
  <c r="N32" i="12" s="1"/>
  <c r="N18" i="12"/>
  <c r="D83" i="21"/>
  <c r="AE200" i="15"/>
  <c r="H18" i="7"/>
  <c r="AF98" i="1"/>
  <c r="AH98" i="1" s="1"/>
  <c r="I84" i="7"/>
  <c r="S51" i="1"/>
  <c r="V218" i="15"/>
  <c r="V219" i="15" s="1"/>
  <c r="M89" i="1"/>
  <c r="O51" i="1"/>
  <c r="Y318" i="15"/>
  <c r="H87" i="15"/>
  <c r="H88" i="15" s="1"/>
  <c r="L318" i="15"/>
  <c r="AD275" i="15"/>
  <c r="AE275" i="15" s="1"/>
  <c r="H315" i="15"/>
  <c r="AD300" i="15"/>
  <c r="AE300" i="15" s="1"/>
  <c r="H244" i="15"/>
  <c r="AE228" i="15"/>
  <c r="BG32" i="12"/>
  <c r="BI25" i="12"/>
  <c r="AG22" i="2"/>
  <c r="H121" i="15"/>
  <c r="O117" i="15"/>
  <c r="O119" i="15" s="1"/>
  <c r="O122" i="15" s="1"/>
  <c r="G11" i="7"/>
  <c r="T19" i="2"/>
  <c r="BA30" i="12"/>
  <c r="BA35" i="12" s="1"/>
  <c r="BC16" i="12"/>
  <c r="BA20" i="12"/>
  <c r="Y53" i="1"/>
  <c r="S37" i="1"/>
  <c r="L244" i="15"/>
  <c r="Q152" i="8"/>
  <c r="L152" i="8"/>
  <c r="R152" i="8" s="1"/>
  <c r="U79" i="2"/>
  <c r="U83" i="2" s="1"/>
  <c r="M41" i="2"/>
  <c r="G60" i="7"/>
  <c r="P318" i="15"/>
  <c r="R187" i="8"/>
  <c r="Q187" i="8"/>
  <c r="P19" i="2"/>
  <c r="P32" i="2" s="1"/>
  <c r="AG44" i="2"/>
  <c r="Q56" i="8"/>
  <c r="V317" i="15"/>
  <c r="V318" i="15" s="1"/>
  <c r="Q92" i="8"/>
  <c r="L92" i="8"/>
  <c r="R92" i="8" s="1"/>
  <c r="H87" i="1"/>
  <c r="AE302" i="15"/>
  <c r="AE203" i="15"/>
  <c r="Q100" i="8"/>
  <c r="L100" i="8"/>
  <c r="AE66" i="15"/>
  <c r="AG36" i="2"/>
  <c r="Q101" i="8"/>
  <c r="L101" i="8"/>
  <c r="R101" i="8" s="1"/>
  <c r="H50" i="7"/>
  <c r="P187" i="8"/>
  <c r="S287" i="15"/>
  <c r="AD301" i="15"/>
  <c r="AE301" i="15" s="1"/>
  <c r="O58" i="15"/>
  <c r="L149" i="8"/>
  <c r="R149" i="8" s="1"/>
  <c r="Q149" i="8"/>
  <c r="T16" i="12"/>
  <c r="V30" i="12"/>
  <c r="Z30" i="12"/>
  <c r="N7" i="10"/>
  <c r="N15" i="10" s="1"/>
  <c r="M15" i="10"/>
  <c r="Q205" i="8"/>
  <c r="R205" i="8"/>
  <c r="R210" i="8" s="1"/>
  <c r="Q171" i="8"/>
  <c r="R171" i="8"/>
  <c r="M19" i="2"/>
  <c r="M32" i="2" s="1"/>
  <c r="C17" i="10"/>
  <c r="D17" i="10" s="1"/>
  <c r="E9" i="10"/>
  <c r="E17" i="10" s="1"/>
  <c r="E29" i="10" s="1"/>
  <c r="E34" i="10" s="1"/>
  <c r="F104" i="1" s="1"/>
  <c r="H104" i="1" s="1"/>
  <c r="AE104" i="1" s="1"/>
  <c r="E32" i="2"/>
  <c r="E52" i="2" s="1"/>
  <c r="E59" i="2" s="1"/>
  <c r="E63" i="2" s="1"/>
  <c r="O88" i="15"/>
  <c r="Q204" i="8"/>
  <c r="R204" i="8"/>
  <c r="AE42" i="15"/>
  <c r="AE52" i="15" s="1"/>
  <c r="AE55" i="15" s="1"/>
  <c r="AE58" i="15" s="1"/>
  <c r="AC52" i="15"/>
  <c r="AC55" i="15" s="1"/>
  <c r="AC58" i="15" s="1"/>
  <c r="L147" i="8"/>
  <c r="Q147" i="8"/>
  <c r="AD177" i="15"/>
  <c r="AD189" i="15" s="1"/>
  <c r="I123" i="7"/>
  <c r="I102" i="7"/>
  <c r="Q64" i="8"/>
  <c r="R64" i="8"/>
  <c r="Q32" i="2"/>
  <c r="Q52" i="2" s="1"/>
  <c r="Q59" i="2" s="1"/>
  <c r="Q63" i="2" s="1"/>
  <c r="AD77" i="2"/>
  <c r="AG67" i="2"/>
  <c r="D89" i="1"/>
  <c r="AG68" i="2"/>
  <c r="H24" i="7"/>
  <c r="H23" i="7"/>
  <c r="I19" i="2"/>
  <c r="O317" i="15"/>
  <c r="D53" i="1"/>
  <c r="N87" i="2"/>
  <c r="N79" i="2"/>
  <c r="N83" i="2" s="1"/>
  <c r="N98" i="2" s="1"/>
  <c r="N94" i="2" s="1"/>
  <c r="C37" i="10"/>
  <c r="L24" i="10"/>
  <c r="AD95" i="2"/>
  <c r="Q206" i="8"/>
  <c r="R206" i="8"/>
  <c r="L30" i="15"/>
  <c r="L33" i="15" s="1"/>
  <c r="L36" i="15" s="1"/>
  <c r="V74" i="8"/>
  <c r="H8" i="7"/>
  <c r="Q168" i="8"/>
  <c r="H169" i="15"/>
  <c r="H146" i="15"/>
  <c r="H147" i="15" s="1"/>
  <c r="I53" i="1"/>
  <c r="M53" i="1"/>
  <c r="E20" i="12"/>
  <c r="J16" i="12"/>
  <c r="E30" i="12"/>
  <c r="O37" i="1"/>
  <c r="T219" i="15"/>
  <c r="Q222" i="8"/>
  <c r="L222" i="8"/>
  <c r="Q166" i="8"/>
  <c r="Z52" i="2"/>
  <c r="Z59" i="2" s="1"/>
  <c r="Z63" i="2" s="1"/>
  <c r="Z79" i="2" s="1"/>
  <c r="Z83" i="2" s="1"/>
  <c r="AD304" i="15"/>
  <c r="AE304" i="15" s="1"/>
  <c r="H30" i="15"/>
  <c r="H33" i="15" s="1"/>
  <c r="AE26" i="15"/>
  <c r="P157" i="8"/>
  <c r="Z157" i="8"/>
  <c r="Q91" i="8"/>
  <c r="L91" i="8"/>
  <c r="V78" i="1"/>
  <c r="V89" i="1" s="1"/>
  <c r="AB30" i="12"/>
  <c r="H35" i="15"/>
  <c r="U290" i="15"/>
  <c r="AD272" i="15"/>
  <c r="AE272" i="15" s="1"/>
  <c r="E147" i="15"/>
  <c r="Q201" i="8"/>
  <c r="Q82" i="8"/>
  <c r="L82" i="8"/>
  <c r="Q72" i="8"/>
  <c r="L72" i="8"/>
  <c r="R192" i="8"/>
  <c r="Q192" i="8"/>
  <c r="L263" i="15"/>
  <c r="L51" i="1"/>
  <c r="S78" i="1"/>
  <c r="S89" i="1" s="1"/>
  <c r="J15" i="10"/>
  <c r="K7" i="10"/>
  <c r="K15" i="10" s="1"/>
  <c r="AQ19" i="12"/>
  <c r="P41" i="2"/>
  <c r="W41" i="2"/>
  <c r="Q190" i="8"/>
  <c r="Q57" i="8"/>
  <c r="V83" i="15"/>
  <c r="V85" i="15" s="1"/>
  <c r="V88" i="15" s="1"/>
  <c r="AE67" i="15"/>
  <c r="W19" i="2"/>
  <c r="W32" i="2" s="1"/>
  <c r="R87" i="2"/>
  <c r="R79" i="2"/>
  <c r="R83" i="2" s="1"/>
  <c r="C19" i="10"/>
  <c r="D19" i="10" s="1"/>
  <c r="E11" i="10"/>
  <c r="E19" i="10" s="1"/>
  <c r="L78" i="1"/>
  <c r="L89" i="1" s="1"/>
  <c r="Y89" i="1"/>
  <c r="AE202" i="15"/>
  <c r="L58" i="15"/>
  <c r="H177" i="8"/>
  <c r="P165" i="8"/>
  <c r="Q55" i="8"/>
  <c r="J66" i="8"/>
  <c r="H342" i="15"/>
  <c r="AC338" i="15"/>
  <c r="AE338" i="15" s="1"/>
  <c r="H340" i="15"/>
  <c r="L216" i="15"/>
  <c r="L219" i="15" s="1"/>
  <c r="H189" i="15"/>
  <c r="H192" i="15" s="1"/>
  <c r="H216" i="15"/>
  <c r="AE154" i="15"/>
  <c r="S192" i="15"/>
  <c r="L29" i="12"/>
  <c r="N25" i="12"/>
  <c r="Q132" i="8"/>
  <c r="Q220" i="8"/>
  <c r="AB220" i="8"/>
  <c r="R220" i="8" s="1"/>
  <c r="Q40" i="8"/>
  <c r="Z159" i="8"/>
  <c r="Q73" i="8"/>
  <c r="L73" i="8"/>
  <c r="T30" i="2"/>
  <c r="AH57" i="1"/>
  <c r="H116" i="1"/>
  <c r="Q153" i="8"/>
  <c r="L153" i="8"/>
  <c r="R153" i="8" s="1"/>
  <c r="H218" i="15"/>
  <c r="E7" i="10"/>
  <c r="E15" i="10" s="1"/>
  <c r="D15" i="10"/>
  <c r="K59" i="2"/>
  <c r="K63" i="2" s="1"/>
  <c r="J102" i="1"/>
  <c r="J52" i="2"/>
  <c r="J59" i="2" s="1"/>
  <c r="J63" i="2" s="1"/>
  <c r="AD273" i="15"/>
  <c r="AE273" i="15" s="1"/>
  <c r="H167" i="15"/>
  <c r="I192" i="15"/>
  <c r="AE297" i="15"/>
  <c r="Q169" i="8"/>
  <c r="R169" i="8"/>
  <c r="BE35" i="12"/>
  <c r="BE41" i="12" s="1"/>
  <c r="R48" i="8"/>
  <c r="L50" i="8"/>
  <c r="L52" i="8" s="1"/>
  <c r="P15" i="10"/>
  <c r="Q7" i="10"/>
  <c r="Q15" i="10" s="1"/>
  <c r="W95" i="2"/>
  <c r="L37" i="1"/>
  <c r="V263" i="15"/>
  <c r="V264" i="15" s="1"/>
  <c r="V51" i="1"/>
  <c r="I41" i="2"/>
  <c r="H78" i="1"/>
  <c r="S317" i="15"/>
  <c r="S318" i="15" s="1"/>
  <c r="H317" i="15"/>
  <c r="AG55" i="2"/>
  <c r="AG57" i="2" s="1"/>
  <c r="AD57" i="2"/>
  <c r="T41" i="2"/>
  <c r="Q89" i="1"/>
  <c r="AD312" i="15"/>
  <c r="AE312" i="15" s="1"/>
  <c r="E219" i="15"/>
  <c r="L83" i="15"/>
  <c r="L85" i="15" s="1"/>
  <c r="L88" i="15" s="1"/>
  <c r="Q167" i="8"/>
  <c r="R167" i="8"/>
  <c r="Q58" i="8"/>
  <c r="AE252" i="15"/>
  <c r="X79" i="2"/>
  <c r="X83" i="2" s="1"/>
  <c r="X87" i="2"/>
  <c r="I30" i="2"/>
  <c r="AB148" i="8"/>
  <c r="R148" i="8" s="1"/>
  <c r="Q148" i="8"/>
  <c r="T89" i="1"/>
  <c r="AH84" i="1"/>
  <c r="F36" i="32" l="1"/>
  <c r="BA36" i="32" s="1"/>
  <c r="AL73" i="32"/>
  <c r="AL97" i="32" s="1"/>
  <c r="AL4" i="32" s="1"/>
  <c r="J28" i="37"/>
  <c r="V8" i="32"/>
  <c r="V10" i="32" s="1"/>
  <c r="V97" i="32" s="1"/>
  <c r="V4" i="32" s="1"/>
  <c r="J33" i="37"/>
  <c r="BA38" i="32"/>
  <c r="X97" i="32"/>
  <c r="X4" i="32" s="1"/>
  <c r="N97" i="32"/>
  <c r="N4" i="32" s="1"/>
  <c r="BA42" i="32"/>
  <c r="M97" i="32"/>
  <c r="M4" i="32" s="1"/>
  <c r="BA49" i="32"/>
  <c r="BA48" i="32"/>
  <c r="P97" i="32"/>
  <c r="P4" i="32" s="1"/>
  <c r="BA79" i="32"/>
  <c r="J97" i="32"/>
  <c r="J4" i="32" s="1"/>
  <c r="AE299" i="15"/>
  <c r="S290" i="15"/>
  <c r="O318" i="15"/>
  <c r="L122" i="15"/>
  <c r="H122" i="15"/>
  <c r="H36" i="15"/>
  <c r="V53" i="1"/>
  <c r="P124" i="22"/>
  <c r="H146" i="22"/>
  <c r="P146" i="22" s="1"/>
  <c r="H159" i="22"/>
  <c r="P159" i="22" s="1"/>
  <c r="F79" i="2"/>
  <c r="F87" i="2"/>
  <c r="C24" i="30"/>
  <c r="L264" i="15"/>
  <c r="H219" i="15"/>
  <c r="AE167" i="15"/>
  <c r="AC167" i="15"/>
  <c r="AC117" i="15"/>
  <c r="AC119" i="15" s="1"/>
  <c r="H343" i="15"/>
  <c r="AE325" i="15"/>
  <c r="AE340" i="15" s="1"/>
  <c r="P84" i="19"/>
  <c r="P85" i="19" s="1"/>
  <c r="AH104" i="1"/>
  <c r="N84" i="19" s="1"/>
  <c r="H170" i="15"/>
  <c r="O53" i="1"/>
  <c r="S53" i="1"/>
  <c r="AG77" i="2"/>
  <c r="C35" i="30"/>
  <c r="I32" i="2"/>
  <c r="W52" i="2"/>
  <c r="W59" i="2" s="1"/>
  <c r="W63" i="2" s="1"/>
  <c r="W79" i="2" s="1"/>
  <c r="W83" i="2" s="1"/>
  <c r="W90" i="2" s="1"/>
  <c r="W98" i="2" s="1"/>
  <c r="W94" i="2" s="1"/>
  <c r="D95" i="21"/>
  <c r="P95" i="21" s="1"/>
  <c r="P81" i="21"/>
  <c r="D97" i="21"/>
  <c r="P97" i="21" s="1"/>
  <c r="P83" i="21"/>
  <c r="AD311" i="15"/>
  <c r="AE311" i="15" s="1"/>
  <c r="H19" i="7"/>
  <c r="AE227" i="15"/>
  <c r="I8" i="7"/>
  <c r="L53" i="1"/>
  <c r="M119" i="1"/>
  <c r="M102" i="1"/>
  <c r="F27" i="30" s="1"/>
  <c r="N90" i="2"/>
  <c r="AD298" i="15"/>
  <c r="R73" i="8"/>
  <c r="I120" i="7"/>
  <c r="F83" i="2"/>
  <c r="F94" i="2"/>
  <c r="F98" i="2" s="1"/>
  <c r="R55" i="8"/>
  <c r="L66" i="8"/>
  <c r="L68" i="8" s="1"/>
  <c r="H105" i="7"/>
  <c r="R190" i="8"/>
  <c r="L195" i="8"/>
  <c r="L197" i="8" s="1"/>
  <c r="R201" i="8"/>
  <c r="L210" i="8"/>
  <c r="L212" i="8" s="1"/>
  <c r="R100" i="8"/>
  <c r="L104" i="8"/>
  <c r="AC121" i="15"/>
  <c r="F11" i="2"/>
  <c r="F90" i="2"/>
  <c r="C29" i="10"/>
  <c r="AC243" i="15"/>
  <c r="AG17" i="2"/>
  <c r="AD191" i="15"/>
  <c r="AD192" i="15" s="1"/>
  <c r="AC35" i="15"/>
  <c r="AH18" i="1"/>
  <c r="AE87" i="1"/>
  <c r="AH81" i="1"/>
  <c r="M57" i="33" s="1"/>
  <c r="M58" i="33" s="1"/>
  <c r="H108" i="7"/>
  <c r="R56" i="8"/>
  <c r="AB157" i="8"/>
  <c r="R157" i="8" s="1"/>
  <c r="Q157" i="8"/>
  <c r="E32" i="12"/>
  <c r="E35" i="12" s="1"/>
  <c r="BG16" i="12"/>
  <c r="BG20" i="12" s="1"/>
  <c r="BC30" i="12"/>
  <c r="BC20" i="12"/>
  <c r="J88" i="21" s="1"/>
  <c r="J89" i="21" s="1"/>
  <c r="AC216" i="15"/>
  <c r="AE199" i="15"/>
  <c r="C31" i="10"/>
  <c r="E79" i="2"/>
  <c r="E87" i="2"/>
  <c r="H89" i="1"/>
  <c r="AC169" i="15"/>
  <c r="AH60" i="1"/>
  <c r="AE169" i="15" s="1"/>
  <c r="AC289" i="15"/>
  <c r="AH41" i="1"/>
  <c r="AE289" i="15" s="1"/>
  <c r="T30" i="12"/>
  <c r="T32" i="2"/>
  <c r="T52" i="2" s="1"/>
  <c r="T59" i="2" s="1"/>
  <c r="T63" i="2" s="1"/>
  <c r="T79" i="2" s="1"/>
  <c r="X90" i="2"/>
  <c r="X98" i="2" s="1"/>
  <c r="W102" i="1"/>
  <c r="X11" i="2" s="1"/>
  <c r="Z87" i="2"/>
  <c r="Q165" i="8"/>
  <c r="R165" i="8"/>
  <c r="AC87" i="15"/>
  <c r="R147" i="8"/>
  <c r="L159" i="8"/>
  <c r="L162" i="8" s="1"/>
  <c r="M52" i="2"/>
  <c r="M59" i="2" s="1"/>
  <c r="M63" i="2" s="1"/>
  <c r="M79" i="2" s="1"/>
  <c r="AC340" i="15"/>
  <c r="U90" i="2"/>
  <c r="U98" i="2" s="1"/>
  <c r="T102" i="1"/>
  <c r="U11" i="2" s="1"/>
  <c r="AD30" i="2"/>
  <c r="R72" i="8"/>
  <c r="L76" i="8"/>
  <c r="R91" i="8"/>
  <c r="L94" i="8"/>
  <c r="AC142" i="15"/>
  <c r="AC144" i="15" s="1"/>
  <c r="AE139" i="15"/>
  <c r="AE142" i="15" s="1"/>
  <c r="AE144" i="15" s="1"/>
  <c r="R57" i="8"/>
  <c r="H111" i="7"/>
  <c r="AD271" i="15"/>
  <c r="AD287" i="15" s="1"/>
  <c r="AD290" i="15" s="1"/>
  <c r="AC287" i="15"/>
  <c r="R40" i="8"/>
  <c r="R222" i="8"/>
  <c r="L224" i="8"/>
  <c r="Q87" i="2"/>
  <c r="Q79" i="2"/>
  <c r="Q83" i="2" s="1"/>
  <c r="X74" i="8"/>
  <c r="O74" i="8"/>
  <c r="AC317" i="15"/>
  <c r="AC318" i="15" s="1"/>
  <c r="AH93" i="1"/>
  <c r="F84" i="19" s="1"/>
  <c r="AG35" i="2"/>
  <c r="AD41" i="2"/>
  <c r="AC189" i="15"/>
  <c r="AE177" i="15"/>
  <c r="AE189" i="15" s="1"/>
  <c r="AC342" i="15"/>
  <c r="AH94" i="1"/>
  <c r="H84" i="19" s="1"/>
  <c r="H85" i="19" s="1"/>
  <c r="AC191" i="15"/>
  <c r="AH63" i="1"/>
  <c r="AE191" i="15" s="1"/>
  <c r="AD16" i="12"/>
  <c r="AD30" i="12" s="1"/>
  <c r="AC30" i="15"/>
  <c r="AC33" i="15" s="1"/>
  <c r="AE25" i="15"/>
  <c r="AE30" i="15" s="1"/>
  <c r="AE33" i="15" s="1"/>
  <c r="AG30" i="2"/>
  <c r="J79" i="2"/>
  <c r="J83" i="2" s="1"/>
  <c r="J98" i="2" s="1"/>
  <c r="J94" i="2" s="1"/>
  <c r="J87" i="2"/>
  <c r="AC218" i="15"/>
  <c r="AC83" i="15"/>
  <c r="AC85" i="15" s="1"/>
  <c r="R168" i="8"/>
  <c r="AD102" i="15"/>
  <c r="L16" i="12"/>
  <c r="J30" i="12"/>
  <c r="AC146" i="15"/>
  <c r="AH46" i="1"/>
  <c r="AE146" i="15" s="1"/>
  <c r="AD19" i="2"/>
  <c r="AG16" i="2"/>
  <c r="G17" i="12"/>
  <c r="J109" i="1"/>
  <c r="J112" i="1" s="1"/>
  <c r="J114" i="1" s="1"/>
  <c r="J9" i="1" s="1"/>
  <c r="R90" i="2"/>
  <c r="R98" i="2" s="1"/>
  <c r="R94" i="2" s="1"/>
  <c r="Q102" i="1"/>
  <c r="X17" i="12" s="1"/>
  <c r="R82" i="8"/>
  <c r="L85" i="8"/>
  <c r="R166" i="8"/>
  <c r="H144" i="7"/>
  <c r="AG29" i="1" s="1"/>
  <c r="K79" i="2"/>
  <c r="K83" i="2" s="1"/>
  <c r="K98" i="2" s="1"/>
  <c r="K94" i="2" s="1"/>
  <c r="K87" i="2"/>
  <c r="K90" i="2" s="1"/>
  <c r="P52" i="2"/>
  <c r="P59" i="2" s="1"/>
  <c r="P63" i="2" s="1"/>
  <c r="H318" i="15"/>
  <c r="F73" i="32" l="1"/>
  <c r="AH87" i="1"/>
  <c r="J53" i="37"/>
  <c r="J59" i="37" s="1"/>
  <c r="J61" i="37" s="1"/>
  <c r="J76" i="37" s="1"/>
  <c r="K57" i="33"/>
  <c r="K58" i="33" s="1"/>
  <c r="AO8" i="32"/>
  <c r="AO10" i="32" s="1"/>
  <c r="AO97" i="32" s="1"/>
  <c r="AO4" i="32" s="1"/>
  <c r="AE35" i="15"/>
  <c r="I8" i="32"/>
  <c r="I10" i="32" s="1"/>
  <c r="BA37" i="32"/>
  <c r="AC170" i="15"/>
  <c r="AD315" i="15"/>
  <c r="AD318" i="15" s="1"/>
  <c r="AG26" i="1"/>
  <c r="AH26" i="1" s="1"/>
  <c r="G143" i="7"/>
  <c r="AF69" i="1" s="1"/>
  <c r="AE170" i="15"/>
  <c r="AC122" i="15"/>
  <c r="AC343" i="15"/>
  <c r="AD65" i="15"/>
  <c r="AE65" i="15" s="1"/>
  <c r="AE271" i="15"/>
  <c r="AE287" i="15" s="1"/>
  <c r="AE290" i="15" s="1"/>
  <c r="W87" i="2"/>
  <c r="D24" i="30" s="1"/>
  <c r="D35" i="30" s="1"/>
  <c r="D37" i="30" s="1"/>
  <c r="AE147" i="15"/>
  <c r="AC219" i="15"/>
  <c r="AC290" i="15"/>
  <c r="T83" i="2"/>
  <c r="G24" i="30"/>
  <c r="G26" i="30" s="1"/>
  <c r="AE36" i="15"/>
  <c r="AC36" i="15"/>
  <c r="AC244" i="15"/>
  <c r="AC192" i="15"/>
  <c r="AC147" i="15"/>
  <c r="V102" i="1"/>
  <c r="J126" i="22" s="1"/>
  <c r="T109" i="1"/>
  <c r="T112" i="1" s="1"/>
  <c r="T114" i="1" s="1"/>
  <c r="T9" i="1" s="1"/>
  <c r="W119" i="1"/>
  <c r="Z90" i="2"/>
  <c r="Z98" i="2" s="1"/>
  <c r="Z94" i="2" s="1"/>
  <c r="Y119" i="1"/>
  <c r="O102" i="1"/>
  <c r="F126" i="22" s="1"/>
  <c r="M109" i="1"/>
  <c r="M112" i="1" s="1"/>
  <c r="M114" i="1" s="1"/>
  <c r="M9" i="1" s="1"/>
  <c r="N16" i="12"/>
  <c r="L30" i="12"/>
  <c r="AE317" i="15"/>
  <c r="Z74" i="8"/>
  <c r="P74" i="8"/>
  <c r="U99" i="2"/>
  <c r="U94" i="2"/>
  <c r="BG30" i="12"/>
  <c r="BG35" i="12" s="1"/>
  <c r="BC35" i="12"/>
  <c r="BC41" i="12" s="1"/>
  <c r="P87" i="2"/>
  <c r="P79" i="2"/>
  <c r="F24" i="30" s="1"/>
  <c r="F26" i="30" s="1"/>
  <c r="AG41" i="2"/>
  <c r="T87" i="2"/>
  <c r="P119" i="1"/>
  <c r="Q90" i="2"/>
  <c r="Q98" i="2" s="1"/>
  <c r="Q11" i="2"/>
  <c r="G20" i="12"/>
  <c r="J20" i="12" s="1"/>
  <c r="D88" i="21" s="1"/>
  <c r="G31" i="12"/>
  <c r="G35" i="12" s="1"/>
  <c r="G27" i="12"/>
  <c r="J17" i="12"/>
  <c r="D80" i="21" s="1"/>
  <c r="W118" i="1"/>
  <c r="W109" i="1"/>
  <c r="W112" i="1" s="1"/>
  <c r="W114" i="1" s="1"/>
  <c r="W9" i="1" s="1"/>
  <c r="Y102" i="1"/>
  <c r="N11" i="2"/>
  <c r="AC88" i="15"/>
  <c r="Q109" i="1"/>
  <c r="Q112" i="1" s="1"/>
  <c r="Q114" i="1" s="1"/>
  <c r="Q9" i="1" s="1"/>
  <c r="AD69" i="15"/>
  <c r="AE69" i="15" s="1"/>
  <c r="I111" i="7"/>
  <c r="AE298" i="15"/>
  <c r="AE315" i="15" s="1"/>
  <c r="I105" i="7"/>
  <c r="AD64" i="15"/>
  <c r="I108" i="7"/>
  <c r="AG19" i="2"/>
  <c r="AG32" i="2" s="1"/>
  <c r="AE102" i="15"/>
  <c r="X99" i="2"/>
  <c r="X94" i="2"/>
  <c r="E90" i="2"/>
  <c r="D102" i="1"/>
  <c r="E11" i="2" s="1"/>
  <c r="AD32" i="2"/>
  <c r="AE342" i="15"/>
  <c r="AE343" i="15" s="1"/>
  <c r="I99" i="7"/>
  <c r="AD201" i="15"/>
  <c r="M83" i="2"/>
  <c r="M94" i="2"/>
  <c r="E94" i="2"/>
  <c r="E98" i="2" s="1"/>
  <c r="E99" i="2" s="1"/>
  <c r="E83" i="2"/>
  <c r="AD99" i="15"/>
  <c r="J90" i="2"/>
  <c r="I102" i="1"/>
  <c r="J11" i="2" s="1"/>
  <c r="AE192" i="15"/>
  <c r="BA73" i="32" l="1"/>
  <c r="AE87" i="15"/>
  <c r="K8" i="32"/>
  <c r="K10" i="32" s="1"/>
  <c r="K76" i="32" s="1"/>
  <c r="I34" i="32"/>
  <c r="F34" i="32" s="1"/>
  <c r="V119" i="1"/>
  <c r="F148" i="22"/>
  <c r="F161" i="22"/>
  <c r="H210" i="22" s="1"/>
  <c r="N210" i="22" s="1"/>
  <c r="R210" i="22" s="1"/>
  <c r="D26" i="30"/>
  <c r="I144" i="7"/>
  <c r="AD231" i="15"/>
  <c r="J148" i="22"/>
  <c r="J161" i="22" s="1"/>
  <c r="P126" i="22"/>
  <c r="J135" i="22"/>
  <c r="AD87" i="15"/>
  <c r="D139" i="20"/>
  <c r="F139" i="20" s="1"/>
  <c r="G140" i="20" s="1"/>
  <c r="BG41" i="12"/>
  <c r="G8" i="10"/>
  <c r="H8" i="10" s="1"/>
  <c r="AS17" i="12"/>
  <c r="AU17" i="12" s="1"/>
  <c r="AU31" i="12" s="1"/>
  <c r="Z11" i="2"/>
  <c r="H24" i="30"/>
  <c r="H26" i="30" s="1"/>
  <c r="H35" i="30"/>
  <c r="H37" i="30" s="1"/>
  <c r="D38" i="30"/>
  <c r="D39" i="30" s="1"/>
  <c r="D27" i="30"/>
  <c r="D28" i="30" s="1"/>
  <c r="W11" i="2"/>
  <c r="D94" i="21"/>
  <c r="D103" i="21" s="1"/>
  <c r="D87" i="21"/>
  <c r="D89" i="21" s="1"/>
  <c r="AE318" i="15"/>
  <c r="Q94" i="2"/>
  <c r="Q99" i="2"/>
  <c r="L102" i="1"/>
  <c r="D126" i="22" s="1"/>
  <c r="I109" i="1"/>
  <c r="I112" i="1" s="1"/>
  <c r="I114" i="1" s="1"/>
  <c r="I9" i="1" s="1"/>
  <c r="S119" i="1"/>
  <c r="T90" i="2"/>
  <c r="X31" i="12"/>
  <c r="X35" i="12" s="1"/>
  <c r="X41" i="12" s="1"/>
  <c r="X20" i="12"/>
  <c r="AD218" i="15"/>
  <c r="AH66" i="1"/>
  <c r="AD83" i="15"/>
  <c r="AD85" i="15" s="1"/>
  <c r="AD88" i="15" s="1"/>
  <c r="AE64" i="15"/>
  <c r="AE83" i="15" s="1"/>
  <c r="AE85" i="15" s="1"/>
  <c r="AE88" i="15" s="1"/>
  <c r="W120" i="1"/>
  <c r="H64" i="7"/>
  <c r="AF102" i="1" s="1"/>
  <c r="BI17" i="12"/>
  <c r="BI20" i="12" s="1"/>
  <c r="M8" i="10"/>
  <c r="V118" i="1"/>
  <c r="V120" i="1" s="1"/>
  <c r="V109" i="1"/>
  <c r="V112" i="1" s="1"/>
  <c r="AD216" i="15"/>
  <c r="AE201" i="15"/>
  <c r="AE216" i="15" s="1"/>
  <c r="P8" i="10"/>
  <c r="Y118" i="1"/>
  <c r="Y120" i="1" s="1"/>
  <c r="Y109" i="1"/>
  <c r="Y112" i="1" s="1"/>
  <c r="Y114" i="1" s="1"/>
  <c r="Y9" i="1" s="1"/>
  <c r="AD121" i="15"/>
  <c r="AH29" i="1"/>
  <c r="L8" i="32" s="1"/>
  <c r="L10" i="32" s="1"/>
  <c r="P94" i="2"/>
  <c r="P83" i="2"/>
  <c r="P98" i="2" s="1"/>
  <c r="D109" i="1"/>
  <c r="D112" i="1" s="1"/>
  <c r="D114" i="1" s="1"/>
  <c r="D9" i="1" s="1"/>
  <c r="J31" i="12"/>
  <c r="J35" i="12" s="1"/>
  <c r="D115" i="20" s="1"/>
  <c r="C8" i="10"/>
  <c r="C16" i="10" s="1"/>
  <c r="C24" i="10" s="1"/>
  <c r="O119" i="1"/>
  <c r="P90" i="2"/>
  <c r="F35" i="30" s="1"/>
  <c r="F37" i="30" s="1"/>
  <c r="P11" i="2"/>
  <c r="P118" i="1"/>
  <c r="P120" i="1" s="1"/>
  <c r="S102" i="1"/>
  <c r="H126" i="22" s="1"/>
  <c r="P109" i="1"/>
  <c r="P112" i="1" s="1"/>
  <c r="P114" i="1" s="1"/>
  <c r="P9" i="1" s="1"/>
  <c r="AB74" i="8"/>
  <c r="R74" i="8" s="1"/>
  <c r="Q74" i="8"/>
  <c r="AD117" i="15"/>
  <c r="AD119" i="15" s="1"/>
  <c r="AE99" i="15"/>
  <c r="AE117" i="15" s="1"/>
  <c r="AE119" i="15" s="1"/>
  <c r="M90" i="2"/>
  <c r="M87" i="2" s="1"/>
  <c r="E24" i="30" s="1"/>
  <c r="E26" i="30" s="1"/>
  <c r="M98" i="2"/>
  <c r="E35" i="30" s="1"/>
  <c r="E37" i="30" s="1"/>
  <c r="G41" i="12"/>
  <c r="G43" i="12"/>
  <c r="H38" i="7"/>
  <c r="O118" i="1"/>
  <c r="F76" i="32" l="1"/>
  <c r="F83" i="32" s="1"/>
  <c r="L35" i="32"/>
  <c r="F35" i="32" s="1"/>
  <c r="L97" i="32"/>
  <c r="L4" i="32" s="1"/>
  <c r="BA34" i="32"/>
  <c r="I97" i="32"/>
  <c r="I4" i="32" s="1"/>
  <c r="K97" i="32"/>
  <c r="K4" i="32" s="1"/>
  <c r="F45" i="32"/>
  <c r="F53" i="32" s="1"/>
  <c r="F86" i="32" s="1"/>
  <c r="H135" i="22"/>
  <c r="H141" i="22" s="1"/>
  <c r="H148" i="22"/>
  <c r="D148" i="22"/>
  <c r="D156" i="22" s="1"/>
  <c r="D135" i="22"/>
  <c r="D141" i="22" s="1"/>
  <c r="AD243" i="15"/>
  <c r="AH69" i="1"/>
  <c r="AE243" i="15" s="1"/>
  <c r="AE231" i="15"/>
  <c r="AE241" i="15" s="1"/>
  <c r="AD241" i="15"/>
  <c r="J141" i="22"/>
  <c r="H212" i="22"/>
  <c r="J169" i="22"/>
  <c r="V114" i="1"/>
  <c r="V9" i="1" s="1"/>
  <c r="J142" i="22"/>
  <c r="J156" i="22"/>
  <c r="F49" i="30"/>
  <c r="E116" i="20"/>
  <c r="R110" i="20" s="1"/>
  <c r="H67" i="7"/>
  <c r="G66" i="7" s="1"/>
  <c r="V143" i="21"/>
  <c r="X143" i="21" s="1"/>
  <c r="Z143" i="21" s="1"/>
  <c r="E140" i="20"/>
  <c r="R113" i="20" s="1"/>
  <c r="F48" i="30"/>
  <c r="O113" i="20"/>
  <c r="T98" i="2"/>
  <c r="T94" i="2" s="1"/>
  <c r="G35" i="30"/>
  <c r="G37" i="30" s="1"/>
  <c r="T11" i="2"/>
  <c r="G27" i="30"/>
  <c r="G28" i="30" s="1"/>
  <c r="G38" i="30"/>
  <c r="E27" i="30"/>
  <c r="E28" i="30" s="1"/>
  <c r="E38" i="30"/>
  <c r="E39" i="30" s="1"/>
  <c r="D111" i="20"/>
  <c r="O120" i="1"/>
  <c r="F115" i="20"/>
  <c r="N8" i="10"/>
  <c r="N16" i="10" s="1"/>
  <c r="M16" i="10"/>
  <c r="M24" i="10" s="1"/>
  <c r="G16" i="10"/>
  <c r="H16" i="10"/>
  <c r="D30" i="10" s="1"/>
  <c r="AD122" i="15"/>
  <c r="AE218" i="15"/>
  <c r="AE219" i="15" s="1"/>
  <c r="D8" i="10"/>
  <c r="L119" i="1"/>
  <c r="M11" i="2"/>
  <c r="G35" i="7"/>
  <c r="AE121" i="15"/>
  <c r="AE122" i="15" s="1"/>
  <c r="Q8" i="10"/>
  <c r="Q16" i="10" s="1"/>
  <c r="P16" i="10"/>
  <c r="P24" i="10" s="1"/>
  <c r="J41" i="12"/>
  <c r="G61" i="7"/>
  <c r="AF88" i="2" s="1"/>
  <c r="G62" i="7"/>
  <c r="L17" i="12"/>
  <c r="H14" i="7"/>
  <c r="AG102" i="1" s="1"/>
  <c r="L118" i="1"/>
  <c r="L109" i="1"/>
  <c r="D142" i="22" s="1"/>
  <c r="AD219" i="15"/>
  <c r="J8" i="10"/>
  <c r="AB17" i="12"/>
  <c r="AB31" i="12" s="1"/>
  <c r="G48" i="7"/>
  <c r="S118" i="1"/>
  <c r="S120" i="1" s="1"/>
  <c r="S109" i="1"/>
  <c r="BA76" i="32" l="1"/>
  <c r="F94" i="32"/>
  <c r="BA35" i="32"/>
  <c r="P148" i="22"/>
  <c r="S112" i="1"/>
  <c r="S114" i="1" s="1"/>
  <c r="S9" i="1" s="1"/>
  <c r="H142" i="22"/>
  <c r="H143" i="22" s="1"/>
  <c r="D161" i="22"/>
  <c r="D143" i="22"/>
  <c r="H161" i="22"/>
  <c r="H156" i="22"/>
  <c r="AD244" i="15"/>
  <c r="AE244" i="15"/>
  <c r="J171" i="22"/>
  <c r="N212" i="22"/>
  <c r="J143" i="22"/>
  <c r="P113" i="20"/>
  <c r="P123" i="20"/>
  <c r="V140" i="21"/>
  <c r="H28" i="7"/>
  <c r="D104" i="21"/>
  <c r="D105" i="21" s="1"/>
  <c r="S110" i="20"/>
  <c r="AA45" i="2"/>
  <c r="G39" i="30"/>
  <c r="F111" i="20"/>
  <c r="E112" i="20"/>
  <c r="G116" i="20"/>
  <c r="L112" i="1"/>
  <c r="L114" i="1" s="1"/>
  <c r="L9" i="1" s="1"/>
  <c r="E8" i="10"/>
  <c r="E16" i="10" s="1"/>
  <c r="D16" i="10"/>
  <c r="L120" i="1"/>
  <c r="G12" i="7"/>
  <c r="G10" i="7"/>
  <c r="D39" i="10"/>
  <c r="H51" i="7"/>
  <c r="G49" i="7"/>
  <c r="I51" i="7" s="1"/>
  <c r="N17" i="12"/>
  <c r="L31" i="12"/>
  <c r="L35" i="12" s="1"/>
  <c r="L20" i="12"/>
  <c r="N20" i="12" s="1"/>
  <c r="L27" i="12"/>
  <c r="N27" i="12" s="1"/>
  <c r="D37" i="10"/>
  <c r="D32" i="10"/>
  <c r="G259" i="15" s="1"/>
  <c r="N24" i="10"/>
  <c r="D38" i="10"/>
  <c r="Q24" i="10"/>
  <c r="I64" i="7"/>
  <c r="J16" i="10"/>
  <c r="J24" i="10" s="1"/>
  <c r="H209" i="22" l="1"/>
  <c r="D169" i="22"/>
  <c r="D171" i="22" s="1"/>
  <c r="P161" i="22"/>
  <c r="H211" i="22"/>
  <c r="N211" i="22" s="1"/>
  <c r="R211" i="22" s="1"/>
  <c r="H169" i="22"/>
  <c r="H171" i="22" s="1"/>
  <c r="R212" i="22"/>
  <c r="G27" i="7"/>
  <c r="AE88" i="2"/>
  <c r="AE95" i="2" s="1"/>
  <c r="AG95" i="2" s="1"/>
  <c r="AF110" i="1"/>
  <c r="O110" i="20"/>
  <c r="E49" i="30"/>
  <c r="H140" i="21"/>
  <c r="G112" i="20"/>
  <c r="I14" i="7"/>
  <c r="N35" i="12"/>
  <c r="L41" i="12"/>
  <c r="H259" i="15"/>
  <c r="G48" i="2"/>
  <c r="G48" i="30" s="1"/>
  <c r="H48" i="30" s="1"/>
  <c r="D29" i="10"/>
  <c r="E24" i="10"/>
  <c r="AG88" i="2" l="1"/>
  <c r="N209" i="22"/>
  <c r="H215" i="22"/>
  <c r="AC259" i="15"/>
  <c r="V64" i="19"/>
  <c r="V82" i="19" s="1"/>
  <c r="H217" i="22"/>
  <c r="H218" i="22" s="1"/>
  <c r="N140" i="21"/>
  <c r="P120" i="20"/>
  <c r="P110" i="20"/>
  <c r="W110" i="20" s="1"/>
  <c r="G50" i="2"/>
  <c r="I48" i="2"/>
  <c r="AD48" i="2" s="1"/>
  <c r="G254" i="15"/>
  <c r="H254" i="15" s="1"/>
  <c r="AC254" i="15" s="1"/>
  <c r="G46" i="2"/>
  <c r="G253" i="15"/>
  <c r="H253" i="15" s="1"/>
  <c r="AC253" i="15" s="1"/>
  <c r="G45" i="2"/>
  <c r="AD259" i="15" l="1"/>
  <c r="AE259" i="15" s="1"/>
  <c r="R209" i="22"/>
  <c r="R215" i="22" s="1"/>
  <c r="N215" i="22"/>
  <c r="I45" i="2"/>
  <c r="AD45" i="2" s="1"/>
  <c r="AF45" i="2" s="1"/>
  <c r="G49" i="30"/>
  <c r="H49" i="30" s="1"/>
  <c r="I46" i="2"/>
  <c r="AD46" i="2" s="1"/>
  <c r="G50" i="30"/>
  <c r="P140" i="21"/>
  <c r="AF48" i="2"/>
  <c r="AG48" i="2" s="1"/>
  <c r="AF46" i="2"/>
  <c r="AG46" i="2" s="1"/>
  <c r="T140" i="21" l="1"/>
  <c r="AG45" i="2"/>
  <c r="X140" i="21" l="1"/>
  <c r="F28" i="30" l="1"/>
  <c r="F32" i="30" s="1"/>
  <c r="N101" i="1" s="1"/>
  <c r="N62" i="1" s="1"/>
  <c r="O62" i="1" s="1"/>
  <c r="AE62" i="1" s="1"/>
  <c r="N109" i="1" l="1"/>
  <c r="O101" i="1"/>
  <c r="AE78" i="1"/>
  <c r="AE89" i="1" s="1"/>
  <c r="O78" i="1"/>
  <c r="O89" i="1" s="1"/>
  <c r="G34" i="7"/>
  <c r="G7" i="10"/>
  <c r="AM16" i="12"/>
  <c r="F125" i="22" l="1"/>
  <c r="AE101" i="1"/>
  <c r="F135" i="22"/>
  <c r="F147" i="22"/>
  <c r="F160" i="22" s="1"/>
  <c r="P125" i="22"/>
  <c r="G36" i="7"/>
  <c r="AF40" i="1" s="1"/>
  <c r="AF101" i="1"/>
  <c r="AS16" i="12"/>
  <c r="AU16" i="12" s="1"/>
  <c r="AH62" i="1"/>
  <c r="AH78" i="1" s="1"/>
  <c r="AH89" i="1" s="1"/>
  <c r="AJ89" i="1" s="1"/>
  <c r="H37" i="7"/>
  <c r="F38" i="30"/>
  <c r="O109" i="1"/>
  <c r="G15" i="10"/>
  <c r="G24" i="10" s="1"/>
  <c r="H7" i="10"/>
  <c r="H15" i="10" s="1"/>
  <c r="F7" i="10"/>
  <c r="F79" i="21"/>
  <c r="AM30" i="12"/>
  <c r="AM35" i="12" s="1"/>
  <c r="AM20" i="12"/>
  <c r="AK16" i="12"/>
  <c r="AQ16" i="12"/>
  <c r="AQ30" i="12" s="1"/>
  <c r="AQ35" i="12" s="1"/>
  <c r="AQ41" i="12" s="1"/>
  <c r="O112" i="1" l="1"/>
  <c r="F142" i="22"/>
  <c r="F156" i="22"/>
  <c r="P147" i="22"/>
  <c r="P156" i="22" s="1"/>
  <c r="F169" i="22"/>
  <c r="P160" i="22"/>
  <c r="P169" i="22" s="1"/>
  <c r="P171" i="22" s="1"/>
  <c r="F141" i="22"/>
  <c r="P135" i="22"/>
  <c r="P141" i="22" s="1"/>
  <c r="G40" i="7"/>
  <c r="H41" i="7" s="1"/>
  <c r="V141" i="21"/>
  <c r="X141" i="21" s="1"/>
  <c r="Z141" i="21" s="1"/>
  <c r="E124" i="20"/>
  <c r="D123" i="20" s="1"/>
  <c r="F39" i="30"/>
  <c r="I38" i="7"/>
  <c r="AG110" i="1"/>
  <c r="AH110" i="1" s="1"/>
  <c r="O114" i="1"/>
  <c r="O9" i="1" s="1"/>
  <c r="AH101" i="1"/>
  <c r="AM41" i="12"/>
  <c r="P79" i="21"/>
  <c r="F93" i="21"/>
  <c r="F103" i="21" s="1"/>
  <c r="F105" i="21" s="1"/>
  <c r="F87" i="21"/>
  <c r="AK30" i="12"/>
  <c r="AK35" i="12" s="1"/>
  <c r="AK20" i="12"/>
  <c r="F88" i="21"/>
  <c r="AQ20" i="12"/>
  <c r="F15" i="10"/>
  <c r="F24" i="10" s="1"/>
  <c r="C34" i="10"/>
  <c r="H24" i="10"/>
  <c r="F143" i="22" l="1"/>
  <c r="F171" i="22"/>
  <c r="V84" i="19"/>
  <c r="N217" i="22"/>
  <c r="J50" i="30"/>
  <c r="R111" i="20"/>
  <c r="P93" i="21"/>
  <c r="F89" i="21"/>
  <c r="AD254" i="15"/>
  <c r="AE254" i="15" s="1"/>
  <c r="R217" i="22" l="1"/>
  <c r="R218" i="22" s="1"/>
  <c r="N218" i="22"/>
  <c r="F50" i="30"/>
  <c r="H50" i="30" s="1"/>
  <c r="O111" i="20"/>
  <c r="D53" i="30"/>
  <c r="D55" i="30" s="1"/>
  <c r="F123" i="20"/>
  <c r="P121" i="20" l="1"/>
  <c r="P111" i="20"/>
  <c r="L50" i="30"/>
  <c r="G124" i="20"/>
  <c r="T17" i="12"/>
  <c r="T20" i="12" s="1"/>
  <c r="T31" i="12"/>
  <c r="T35" i="12"/>
  <c r="V20" i="12"/>
  <c r="Z20" i="12" s="1"/>
  <c r="Z17" i="12"/>
  <c r="V31" i="12"/>
  <c r="V35" i="12" s="1"/>
  <c r="V41" i="12" s="1"/>
  <c r="Z31" i="12" l="1"/>
  <c r="Z35" i="12" s="1"/>
  <c r="E132" i="20" s="1"/>
  <c r="D131" i="20" s="1"/>
  <c r="H80" i="21"/>
  <c r="I8" i="10"/>
  <c r="AB20" i="12"/>
  <c r="H88" i="21"/>
  <c r="R112" i="20"/>
  <c r="R116" i="20" s="1"/>
  <c r="W111" i="20"/>
  <c r="AD20" i="12"/>
  <c r="Z41" i="12"/>
  <c r="V142" i="21" s="1"/>
  <c r="AD17" i="12"/>
  <c r="AD31" i="12" s="1"/>
  <c r="D127" i="20" l="1"/>
  <c r="K8" i="10"/>
  <c r="K16" i="10" s="1"/>
  <c r="I16" i="10"/>
  <c r="H87" i="21"/>
  <c r="H94" i="21"/>
  <c r="P80" i="21"/>
  <c r="P87" i="21" s="1"/>
  <c r="H89" i="21"/>
  <c r="V146" i="21"/>
  <c r="V149" i="21" s="1"/>
  <c r="O112" i="20"/>
  <c r="F131" i="20"/>
  <c r="D144" i="20"/>
  <c r="E47" i="10" l="1"/>
  <c r="I24" i="10"/>
  <c r="K24" i="10"/>
  <c r="D31" i="10"/>
  <c r="H103" i="21"/>
  <c r="P94" i="21"/>
  <c r="P103" i="21" s="1"/>
  <c r="P105" i="21" s="1"/>
  <c r="E51" i="30"/>
  <c r="E53" i="30" s="1"/>
  <c r="E128" i="20"/>
  <c r="E144" i="20" s="1"/>
  <c r="F127" i="20"/>
  <c r="F144" i="20" s="1"/>
  <c r="P122" i="20"/>
  <c r="P112" i="20"/>
  <c r="O116" i="20"/>
  <c r="F51" i="30"/>
  <c r="F53" i="30" s="1"/>
  <c r="G132" i="20"/>
  <c r="D146" i="20"/>
  <c r="D6" i="20"/>
  <c r="S112" i="20" l="1"/>
  <c r="S116" i="20" s="1"/>
  <c r="G128" i="20"/>
  <c r="G144" i="20" s="1"/>
  <c r="H104" i="21"/>
  <c r="H105" i="21" s="1"/>
  <c r="AA47" i="2"/>
  <c r="AB106" i="1"/>
  <c r="F56" i="30"/>
  <c r="G255" i="15"/>
  <c r="D34" i="10"/>
  <c r="G47" i="2"/>
  <c r="P116" i="20"/>
  <c r="E6" i="20"/>
  <c r="E146" i="20"/>
  <c r="F6" i="20"/>
  <c r="F146" i="20"/>
  <c r="F102" i="1" l="1"/>
  <c r="F40" i="1"/>
  <c r="G146" i="20"/>
  <c r="G6" i="20"/>
  <c r="AB40" i="1"/>
  <c r="F57" i="30" s="1"/>
  <c r="F58" i="30" s="1"/>
  <c r="AB109" i="1"/>
  <c r="C25" i="30"/>
  <c r="H102" i="1"/>
  <c r="H142" i="21"/>
  <c r="AA50" i="2"/>
  <c r="G261" i="15"/>
  <c r="H255" i="15"/>
  <c r="AC255" i="15" s="1"/>
  <c r="I47" i="2"/>
  <c r="AD47" i="2" s="1"/>
  <c r="AD50" i="2" s="1"/>
  <c r="AD52" i="2" s="1"/>
  <c r="G51" i="30"/>
  <c r="W112" i="20"/>
  <c r="AE102" i="1" l="1"/>
  <c r="AE118" i="1" s="1"/>
  <c r="G54" i="30"/>
  <c r="G263" i="15"/>
  <c r="G264" i="15" s="1"/>
  <c r="H40" i="1"/>
  <c r="AE40" i="1" s="1"/>
  <c r="N142" i="21"/>
  <c r="H146" i="21"/>
  <c r="H261" i="15"/>
  <c r="C26" i="30"/>
  <c r="C36" i="30"/>
  <c r="L25" i="30"/>
  <c r="L26" i="30" s="1"/>
  <c r="L28" i="30" s="1"/>
  <c r="AA61" i="2"/>
  <c r="AA52" i="2"/>
  <c r="AA59" i="2" s="1"/>
  <c r="E54" i="30"/>
  <c r="E55" i="30" s="1"/>
  <c r="H148" i="21"/>
  <c r="G53" i="30"/>
  <c r="G55" i="30" s="1"/>
  <c r="G59" i="30"/>
  <c r="H51" i="30"/>
  <c r="H109" i="1"/>
  <c r="H112" i="1" s="1"/>
  <c r="H114" i="1" s="1"/>
  <c r="C27" i="30"/>
  <c r="H118" i="1"/>
  <c r="C38" i="30"/>
  <c r="I50" i="2"/>
  <c r="I52" i="2" s="1"/>
  <c r="I59" i="2" s="1"/>
  <c r="I63" i="2" s="1"/>
  <c r="AH106" i="1"/>
  <c r="AF9" i="1"/>
  <c r="AD253" i="15"/>
  <c r="J49" i="30"/>
  <c r="L49" i="30" s="1"/>
  <c r="AH102" i="1" l="1"/>
  <c r="AE109" i="1"/>
  <c r="AE112" i="1" s="1"/>
  <c r="AE114" i="1" s="1"/>
  <c r="L74" i="19"/>
  <c r="T74" i="19" s="1"/>
  <c r="X74" i="19" s="1"/>
  <c r="AD61" i="2"/>
  <c r="AG61" i="2" s="1"/>
  <c r="AA63" i="2"/>
  <c r="AA79" i="2" s="1"/>
  <c r="AA83" i="2" s="1"/>
  <c r="AH118" i="1"/>
  <c r="R84" i="19"/>
  <c r="V85" i="19"/>
  <c r="H263" i="15"/>
  <c r="H264" i="15" s="1"/>
  <c r="H51" i="1"/>
  <c r="H149" i="21"/>
  <c r="I87" i="2"/>
  <c r="AD87" i="2" s="1"/>
  <c r="I79" i="2"/>
  <c r="AC261" i="15"/>
  <c r="L36" i="30"/>
  <c r="L37" i="30" s="1"/>
  <c r="L39" i="30" s="1"/>
  <c r="C37" i="30"/>
  <c r="C39" i="30" s="1"/>
  <c r="C28" i="30"/>
  <c r="H53" i="30"/>
  <c r="AD59" i="2"/>
  <c r="AD63" i="2" s="1"/>
  <c r="AF47" i="2"/>
  <c r="AG47" i="2" s="1"/>
  <c r="AG50" i="2" s="1"/>
  <c r="AG52" i="2" s="1"/>
  <c r="AG59" i="2" s="1"/>
  <c r="P142" i="21"/>
  <c r="N146" i="21"/>
  <c r="M49" i="30"/>
  <c r="AE253" i="15"/>
  <c r="AG63" i="2" l="1"/>
  <c r="N149" i="21"/>
  <c r="L77" i="19"/>
  <c r="L82" i="19" s="1"/>
  <c r="L85" i="19" s="1"/>
  <c r="H54" i="30"/>
  <c r="H55" i="30" s="1"/>
  <c r="AC263" i="15"/>
  <c r="AC264" i="15" s="1"/>
  <c r="AE51" i="1"/>
  <c r="AD79" i="2"/>
  <c r="AD83" i="2" s="1"/>
  <c r="AD98" i="2" s="1"/>
  <c r="AD90" i="2"/>
  <c r="T142" i="21"/>
  <c r="P146" i="21"/>
  <c r="P149" i="21" s="1"/>
  <c r="I94" i="2"/>
  <c r="AD94" i="2" s="1"/>
  <c r="I83" i="2"/>
  <c r="AG87" i="2"/>
  <c r="R64" i="19" s="1"/>
  <c r="AG79" i="2"/>
  <c r="AG90" i="2"/>
  <c r="AG91" i="2" s="1"/>
  <c r="I90" i="2"/>
  <c r="I11" i="2"/>
  <c r="H119" i="1"/>
  <c r="H120" i="1" s="1"/>
  <c r="T64" i="19" l="1"/>
  <c r="R82" i="19"/>
  <c r="R85" i="19" s="1"/>
  <c r="X64" i="19"/>
  <c r="AG83" i="2"/>
  <c r="AG98" i="2"/>
  <c r="G53" i="7"/>
  <c r="AG40" i="1" s="1"/>
  <c r="T146" i="21"/>
  <c r="J77" i="19" s="1"/>
  <c r="X142" i="21"/>
  <c r="Z142" i="21" s="1"/>
  <c r="AE119" i="1"/>
  <c r="AE120" i="1" s="1"/>
  <c r="AD11" i="2"/>
  <c r="AH119" i="1"/>
  <c r="AH120" i="1" s="1"/>
  <c r="AG11" i="2"/>
  <c r="I98" i="2"/>
  <c r="T77" i="19" l="1"/>
  <c r="X77" i="19" s="1"/>
  <c r="J82" i="19"/>
  <c r="H54" i="7"/>
  <c r="J51" i="30"/>
  <c r="L51" i="30" s="1"/>
  <c r="AD255" i="15"/>
  <c r="AG99" i="2"/>
  <c r="AG94" i="2"/>
  <c r="AE255" i="15" l="1"/>
  <c r="AE261" i="15" s="1"/>
  <c r="AD261" i="15"/>
  <c r="F25" i="19" l="1"/>
  <c r="T10" i="19"/>
  <c r="X10" i="19" l="1"/>
  <c r="X25" i="19" s="1"/>
  <c r="T25" i="19"/>
  <c r="F52" i="19"/>
  <c r="F28" i="19"/>
  <c r="T52" i="19" l="1"/>
  <c r="T28" i="19"/>
  <c r="F82" i="19"/>
  <c r="F85" i="19" s="1"/>
  <c r="F55" i="19"/>
  <c r="X52" i="19"/>
  <c r="X28" i="19"/>
  <c r="X55" i="19" l="1"/>
  <c r="X82" i="19"/>
  <c r="T55" i="19"/>
  <c r="T82" i="19"/>
  <c r="J48" i="30" l="1"/>
  <c r="L48" i="30" s="1"/>
  <c r="L53" i="30" s="1"/>
  <c r="AD263" i="15"/>
  <c r="AD264" i="15" s="1"/>
  <c r="AG96" i="1"/>
  <c r="AH96" i="1" l="1"/>
  <c r="J84" i="19" s="1"/>
  <c r="J85" i="19" s="1"/>
  <c r="J54" i="30"/>
  <c r="AH40" i="1"/>
  <c r="AH51" i="1" s="1"/>
  <c r="N85" i="19"/>
  <c r="AH109" i="1"/>
  <c r="T84" i="19" s="1"/>
  <c r="T85" i="19" s="1"/>
  <c r="J53" i="30"/>
  <c r="J55" i="30" s="1"/>
  <c r="AG9" i="1"/>
  <c r="T148" i="21" l="1"/>
  <c r="T149" i="21" s="1"/>
  <c r="L54" i="30"/>
  <c r="L55" i="30" s="1"/>
  <c r="AE263" i="15"/>
  <c r="AE264" i="15" s="1"/>
  <c r="AH112" i="1"/>
  <c r="X84" i="19" s="1"/>
  <c r="X85" i="19" s="1"/>
  <c r="AH114" i="1" l="1"/>
  <c r="E37" i="1" l="1"/>
  <c r="E53" i="1" s="1"/>
  <c r="E9" i="1" s="1"/>
  <c r="H37" i="1" l="1"/>
  <c r="H53" i="1" s="1"/>
  <c r="H9" i="1" s="1"/>
  <c r="AE15" i="1"/>
  <c r="AH15" i="1" s="1"/>
  <c r="J12" i="37" s="1"/>
  <c r="J22" i="37" s="1"/>
  <c r="J35" i="37" s="1"/>
  <c r="J78" i="37" l="1"/>
  <c r="AH37" i="1"/>
  <c r="AH53" i="1" s="1"/>
  <c r="AH9" i="1" s="1"/>
  <c r="H8" i="32"/>
  <c r="AE37" i="1"/>
  <c r="AE53" i="1" s="1"/>
  <c r="AE9" i="1" s="1"/>
  <c r="H10" i="32" l="1"/>
  <c r="BA8" i="32"/>
  <c r="F96" i="32"/>
  <c r="F97" i="32" l="1"/>
  <c r="BE31" i="34"/>
  <c r="G31" i="34" l="1"/>
  <c r="AX97" i="34"/>
  <c r="AX4" i="34" s="1"/>
  <c r="G29" i="34"/>
  <c r="BE29" i="34"/>
  <c r="G23" i="34"/>
  <c r="BE18" i="34"/>
  <c r="G18" i="34"/>
  <c r="H33" i="34"/>
  <c r="H45" i="34" s="1"/>
  <c r="H53" i="34" s="1"/>
  <c r="H86" i="34" s="1"/>
  <c r="BE17" i="34"/>
  <c r="G22" i="34"/>
  <c r="G28" i="34"/>
  <c r="BE28" i="34"/>
  <c r="G19" i="34"/>
  <c r="BE20" i="34"/>
  <c r="G25" i="34"/>
  <c r="BE25" i="34"/>
  <c r="G27" i="34"/>
  <c r="BE30" i="34"/>
  <c r="G16" i="34"/>
  <c r="BE16" i="34"/>
  <c r="G24" i="34"/>
  <c r="BE24" i="34"/>
  <c r="BE21" i="34"/>
  <c r="G21" i="34"/>
  <c r="G86" i="34" l="1"/>
  <c r="H94" i="34"/>
  <c r="G30" i="34"/>
  <c r="BE22" i="34"/>
  <c r="BE19" i="34"/>
  <c r="BE23" i="34"/>
  <c r="BE27" i="34"/>
  <c r="G20" i="34"/>
  <c r="G17" i="34"/>
  <c r="G33" i="34" l="1"/>
  <c r="G45" i="34" s="1"/>
  <c r="G53" i="34" s="1"/>
  <c r="G94" i="34"/>
  <c r="G97" i="34" s="1"/>
  <c r="H97" i="34"/>
  <c r="K66" i="33"/>
  <c r="K68" i="33" s="1"/>
  <c r="K70" i="33" s="1"/>
  <c r="E68" i="33"/>
  <c r="E70" i="33" s="1"/>
  <c r="M66" i="33" l="1"/>
  <c r="M68" i="33" s="1"/>
  <c r="M70" i="33" s="1"/>
</calcChain>
</file>

<file path=xl/sharedStrings.xml><?xml version="1.0" encoding="utf-8"?>
<sst xmlns="http://schemas.openxmlformats.org/spreadsheetml/2006/main" count="7598" uniqueCount="1145">
  <si>
    <t>Matter:</t>
  </si>
  <si>
    <t>Statement of Financial Position</t>
  </si>
  <si>
    <t>oke</t>
  </si>
  <si>
    <t>Control to A=LE+E</t>
  </si>
  <si>
    <t>Description</t>
  </si>
  <si>
    <t>Per Book</t>
  </si>
  <si>
    <t>CLA</t>
  </si>
  <si>
    <t>Adjustment Equity Method</t>
  </si>
  <si>
    <t>Adjustment at consol</t>
  </si>
  <si>
    <t>Proforma Adjustment</t>
  </si>
  <si>
    <t>Adjustment/ Reclassification</t>
  </si>
  <si>
    <t>Combined</t>
  </si>
  <si>
    <t xml:space="preserve">Elimination Entries </t>
  </si>
  <si>
    <t>Consolidated</t>
  </si>
  <si>
    <t>Dr.</t>
  </si>
  <si>
    <t>Cr.</t>
  </si>
  <si>
    <t>ASSET</t>
  </si>
  <si>
    <t>CURRENT ASSET</t>
  </si>
  <si>
    <t>Cash and cash equivalents</t>
  </si>
  <si>
    <t>Trade receivables</t>
  </si>
  <si>
    <t>Trade Receivables - Third Parties</t>
  </si>
  <si>
    <t>Trade Receivables - Related Parties</t>
  </si>
  <si>
    <t>Unbilled Receivable</t>
  </si>
  <si>
    <t>Unbilled - Third Parties</t>
  </si>
  <si>
    <t>Unbilled - Related Parties</t>
  </si>
  <si>
    <t>Current portion of Lease receivables</t>
  </si>
  <si>
    <t>Employee Receivables</t>
  </si>
  <si>
    <t>Loan Receivable</t>
  </si>
  <si>
    <t>Loan Receivable - Third Parties</t>
  </si>
  <si>
    <t>Loan Receivable - Related Parties</t>
  </si>
  <si>
    <t>Other Receivables</t>
  </si>
  <si>
    <t>Other Receivable - Third Parties</t>
  </si>
  <si>
    <t>Other Receivable - Related Parties</t>
  </si>
  <si>
    <t>Inventories</t>
  </si>
  <si>
    <t>Prepaid Tax</t>
  </si>
  <si>
    <t>Prepayment and Advances</t>
  </si>
  <si>
    <t>Deposits</t>
  </si>
  <si>
    <t>Restricted Cash and Time Deposits</t>
  </si>
  <si>
    <t>Other Current Assets</t>
  </si>
  <si>
    <t>TOTAL CURRENT ASSETS</t>
  </si>
  <si>
    <t>^</t>
  </si>
  <si>
    <t>Investments</t>
  </si>
  <si>
    <t>Investment in Subsidiaries</t>
  </si>
  <si>
    <t>Deemed Investment</t>
  </si>
  <si>
    <t>Lease Receivables - Non Current</t>
  </si>
  <si>
    <t>Fixed Assets</t>
  </si>
  <si>
    <t>Intangible Assets</t>
  </si>
  <si>
    <t>Right of Used of Asset</t>
  </si>
  <si>
    <t>Shareholder Receivable</t>
  </si>
  <si>
    <t>Prepayments - non-current</t>
  </si>
  <si>
    <t>Deferred Tax Asset</t>
  </si>
  <si>
    <t>Other non-current asset</t>
  </si>
  <si>
    <t>TOTAL NON CURRENT ASSETS</t>
  </si>
  <si>
    <t>TOTAL ASSETS</t>
  </si>
  <si>
    <t>LIABILITIES</t>
  </si>
  <si>
    <t>CURRENT LIABILITIES</t>
  </si>
  <si>
    <t>Short-tern Bank Loans</t>
  </si>
  <si>
    <t>Account Payable</t>
  </si>
  <si>
    <t>Account Payable - Third Parties</t>
  </si>
  <si>
    <t>Account Payable - Related Parties</t>
  </si>
  <si>
    <t>Accrued Expenses</t>
  </si>
  <si>
    <t>Accrued Expenses - Third Parties</t>
  </si>
  <si>
    <t>Accrued Expenses - Related Parties</t>
  </si>
  <si>
    <t>Deposit Payable</t>
  </si>
  <si>
    <t>Tax Payables</t>
  </si>
  <si>
    <t>Loan Payable Related Party</t>
  </si>
  <si>
    <t>Other Payables</t>
  </si>
  <si>
    <t>Other Payable - Third Parties</t>
  </si>
  <si>
    <t>Other Payable - Related Parties</t>
  </si>
  <si>
    <t>Borrowings</t>
  </si>
  <si>
    <t>Consumer Financing Payables - Current Portion</t>
  </si>
  <si>
    <t>Payable to Subsidiaries</t>
  </si>
  <si>
    <t>Payable to Shareholders</t>
  </si>
  <si>
    <t>Unearned Revenue</t>
  </si>
  <si>
    <t>Current Maturities of Lease Liability</t>
  </si>
  <si>
    <t>Other Current Liabilities</t>
  </si>
  <si>
    <t>TOTAL CURRENT LIABILITIES</t>
  </si>
  <si>
    <t>NON CURRENT LIABILITIES</t>
  </si>
  <si>
    <t>Lease liabilities - net of current maturities</t>
  </si>
  <si>
    <t>Consumer Financing Payables</t>
  </si>
  <si>
    <t>Employee Benefit Liabilities</t>
  </si>
  <si>
    <t>Loan Payable Related Party - non current</t>
  </si>
  <si>
    <t>Deferred Tax Liabilities</t>
  </si>
  <si>
    <t>Other non-current liabilities</t>
  </si>
  <si>
    <t>TOTAL NON CURRENT LIABILITIES</t>
  </si>
  <si>
    <t>TOTAL LIABILITIES</t>
  </si>
  <si>
    <t>EQUITY</t>
  </si>
  <si>
    <t>Equity</t>
  </si>
  <si>
    <t>Shareholder Equity</t>
  </si>
  <si>
    <t>Advance Capital</t>
  </si>
  <si>
    <t>Additional Paid in Capital</t>
  </si>
  <si>
    <t>SNTRESS</t>
  </si>
  <si>
    <t>Share-based compensation reserve</t>
  </si>
  <si>
    <t>- Beginning Balance ESOP</t>
  </si>
  <si>
    <t>- Current year ESOP reserve</t>
  </si>
  <si>
    <t>Retained earnings</t>
  </si>
  <si>
    <t>- Beginning retained earnings</t>
  </si>
  <si>
    <t>- Current profit or loss</t>
  </si>
  <si>
    <t>OCI - Emben</t>
  </si>
  <si>
    <t>- Beginning - OCI Emben</t>
  </si>
  <si>
    <t>- Current year - OCI Emben</t>
  </si>
  <si>
    <t>Capital Proforma</t>
  </si>
  <si>
    <t>Total equity attributable to the Owners of the Company</t>
  </si>
  <si>
    <t>Non-controlling interest</t>
  </si>
  <si>
    <t>TOTAL EQUITY</t>
  </si>
  <si>
    <t>TOTAL EQUITY AND LIABILITIES</t>
  </si>
  <si>
    <t>Control RE</t>
  </si>
  <si>
    <t>Current Profit per SOFP</t>
  </si>
  <si>
    <t>Current Profit per SOPL</t>
  </si>
  <si>
    <t>Diff</t>
  </si>
  <si>
    <t>Statement of Profit or Loss and Other Comprehensive Income</t>
  </si>
  <si>
    <t>Control</t>
  </si>
  <si>
    <t>Statutory</t>
  </si>
  <si>
    <t>Revenue</t>
  </si>
  <si>
    <t>Cost of Revenue</t>
  </si>
  <si>
    <t xml:space="preserve"> GROSS PROFIT </t>
  </si>
  <si>
    <t>OPERATING EXPENSES</t>
  </si>
  <si>
    <t>Commission and Incentives</t>
  </si>
  <si>
    <t>Sales and Marketing Expenses</t>
  </si>
  <si>
    <t>General and Administrasi Expenses</t>
  </si>
  <si>
    <t>Depreciation and Amortization</t>
  </si>
  <si>
    <t>Loss (Gain) on revaluation and impairment financial assets</t>
  </si>
  <si>
    <t>Impairment loss on property and equipment</t>
  </si>
  <si>
    <t>Others, net</t>
  </si>
  <si>
    <t>TOTAL OPERATING EXPENSES</t>
  </si>
  <si>
    <t>OPERATING INCOME</t>
  </si>
  <si>
    <t>OTHER EXPENSE (INCOME)</t>
  </si>
  <si>
    <t>Finance Income</t>
  </si>
  <si>
    <t>Finance Expense</t>
  </si>
  <si>
    <t>Gain (Loss) Forex</t>
  </si>
  <si>
    <t>Tax Expenses</t>
  </si>
  <si>
    <t>Unrecognised Bank - Payable</t>
  </si>
  <si>
    <t>(INCOME) LOSS FROM SUBSIDIARIES</t>
  </si>
  <si>
    <t>Dividend income</t>
  </si>
  <si>
    <t>TOTAL (INCOME) LOSS FROM SUBSIDIARIES</t>
  </si>
  <si>
    <t>(INCOME) LOSS BEFORE INCOME TAX</t>
  </si>
  <si>
    <t>INCOME TAX EXPENSE</t>
  </si>
  <si>
    <t>Current Tax</t>
  </si>
  <si>
    <t>Deferred Tax</t>
  </si>
  <si>
    <t>Income tax expense - net</t>
  </si>
  <si>
    <t>NET (INCOME) LOSS FOR THE YEAR BEFORE EFFECT OF PROFORMA ADJUSTMENT</t>
  </si>
  <si>
    <t>Effect of proforma adjustment on net income for the year</t>
  </si>
  <si>
    <t>NET (INCOME) LOSS FOR THE YEAR</t>
  </si>
  <si>
    <t>OTHER COMPREHENSIVE INCOME (LOSS)</t>
  </si>
  <si>
    <t>Item that will not be reclassified to profit or loss in subsequent period</t>
  </si>
  <si>
    <t xml:space="preserve">Remeasurement of employee benefits liabiltiies </t>
  </si>
  <si>
    <t>Related income tax</t>
  </si>
  <si>
    <t>Item that will be reclassified to profit or loss in subsequent period</t>
  </si>
  <si>
    <t>Differences in translation of financial statements in foregin currencies</t>
  </si>
  <si>
    <t>Other Comperhensive Income - Emben</t>
  </si>
  <si>
    <t>Other comprehensive loss - Net of tax</t>
  </si>
  <si>
    <t>TOTAL COMPREHENSIVE INCOME FOR THE YEAR BEFORE EFFECT OF PROFORMA ADJUSTMENT</t>
  </si>
  <si>
    <t>Effect of proforma adjustment on Comperhensive Income for the year</t>
  </si>
  <si>
    <t>TOTAL COMPREHENSIVE INCOME FOR THE YEAR</t>
  </si>
  <si>
    <t>Net income for the year attributable to:</t>
  </si>
  <si>
    <t>Owners of the Company</t>
  </si>
  <si>
    <t>NET INCOME FOR THE YEAR</t>
  </si>
  <si>
    <t>Total comprehensive income for the year attributable to:</t>
  </si>
  <si>
    <t>Non-controlling interest - PL</t>
  </si>
  <si>
    <t>Non-controlling interest - OCI Emp Ben</t>
  </si>
  <si>
    <t>Non-controlling interest - OCI Translation</t>
  </si>
  <si>
    <t>in Indonesian Rupiah</t>
  </si>
  <si>
    <t>Other Receivables - Third Parties</t>
  </si>
  <si>
    <t>Other non-current assets</t>
  </si>
  <si>
    <t>Unernead Revenue</t>
  </si>
  <si>
    <t xml:space="preserve">Difference in value from transaction with non-controlling interest </t>
  </si>
  <si>
    <t>NCI</t>
  </si>
  <si>
    <t>RE</t>
  </si>
  <si>
    <t>OCI EBL</t>
  </si>
  <si>
    <t>OCI Translation</t>
  </si>
  <si>
    <t>Statement of Change in Equity</t>
  </si>
  <si>
    <t>n</t>
  </si>
  <si>
    <t>Notes</t>
  </si>
  <si>
    <t>Share Capital</t>
  </si>
  <si>
    <t>Capital proforma arising from restructuring transactions of entities under common control</t>
  </si>
  <si>
    <t>Other Comperhensive Income</t>
  </si>
  <si>
    <t>Share-Based Compensation Reserve</t>
  </si>
  <si>
    <t>Retained Earnings</t>
  </si>
  <si>
    <t>Subtotal</t>
  </si>
  <si>
    <t>Total Equity</t>
  </si>
  <si>
    <t>Remeasurement Empolyee Benefit</t>
  </si>
  <si>
    <t>Additional Share-based Reserved</t>
  </si>
  <si>
    <t>Restatement PSAK 22 in Subsidiaries</t>
  </si>
  <si>
    <t>Restatement effect due to Proforma adjustment</t>
  </si>
  <si>
    <t>Effect on proforma adjustment</t>
  </si>
  <si>
    <t>on current income for the year</t>
  </si>
  <si>
    <t>on Current year ESOP Reserve</t>
  </si>
  <si>
    <t>on Current Year OCI emben</t>
  </si>
  <si>
    <t>Per SoFP</t>
  </si>
  <si>
    <t>Difference</t>
  </si>
  <si>
    <t>Advance for Share Capital</t>
  </si>
  <si>
    <t>Issuance of share Capital</t>
  </si>
  <si>
    <t>Net income for the year</t>
  </si>
  <si>
    <t>Proforma Capital from issuance additional share</t>
  </si>
  <si>
    <t>in subsidiaries</t>
  </si>
  <si>
    <t>on net income for the year</t>
  </si>
  <si>
    <t>Reclassification Non-controlling Interest</t>
  </si>
  <si>
    <t>into Retained earning from indirect ownership in Subsidiaries</t>
  </si>
  <si>
    <t>Business Combination entities</t>
  </si>
  <si>
    <t>under common control</t>
  </si>
  <si>
    <t>Balance as of December 31, 2023</t>
  </si>
  <si>
    <t>Non-controlling Interest Detail and Movement</t>
  </si>
  <si>
    <t>For Period End December 31, 2022</t>
  </si>
  <si>
    <t>NCI Detail</t>
  </si>
  <si>
    <t>Elimination</t>
  </si>
  <si>
    <t>Share capital</t>
  </si>
  <si>
    <t>Begining retained earnings</t>
  </si>
  <si>
    <t>Current profit or loss</t>
  </si>
  <si>
    <t>Beginning ESOP</t>
  </si>
  <si>
    <t>Current Year ESOP</t>
  </si>
  <si>
    <t>Beginning OCI Emben</t>
  </si>
  <si>
    <t>Current Year OCI Emben</t>
  </si>
  <si>
    <t>control to BS</t>
  </si>
  <si>
    <t>Attributable to Shareholders</t>
  </si>
  <si>
    <t>Total Attributable to Shareholders</t>
  </si>
  <si>
    <t xml:space="preserve">Non-controlling Interest </t>
  </si>
  <si>
    <t>Total Attributable to NCI</t>
  </si>
  <si>
    <t>Control to Total Equity</t>
  </si>
  <si>
    <t>NCI Movement</t>
  </si>
  <si>
    <t>Beginning Balance</t>
  </si>
  <si>
    <t>Reclassification/adjustment equity in Subsidiaries</t>
  </si>
  <si>
    <t>Current Profit</t>
  </si>
  <si>
    <t>Current Year Emben</t>
  </si>
  <si>
    <t>Elemination</t>
  </si>
  <si>
    <t>Ending Balance</t>
  </si>
  <si>
    <t>Total</t>
  </si>
  <si>
    <t>CTRL to BSPL</t>
  </si>
  <si>
    <t>Issuence Share in subsidiaries</t>
  </si>
  <si>
    <t>Total Adjusting</t>
  </si>
  <si>
    <t xml:space="preserve">      Accrued Others</t>
  </si>
  <si>
    <t>where Book recorded</t>
  </si>
  <si>
    <t>No.</t>
  </si>
  <si>
    <t>Entity</t>
  </si>
  <si>
    <t>Counter Party</t>
  </si>
  <si>
    <t>COA</t>
  </si>
  <si>
    <t>Dr</t>
  </si>
  <si>
    <t>Cr</t>
  </si>
  <si>
    <t>Remarks</t>
  </si>
  <si>
    <t>Matters to Confirmed</t>
  </si>
  <si>
    <t>30-1010-001 - Shareholder Equities</t>
  </si>
  <si>
    <t>11-4010-001 - Investment in Subsidiaries</t>
  </si>
  <si>
    <t xml:space="preserve"> Non-controlling Interest - BS</t>
  </si>
  <si>
    <t xml:space="preserve"> Non-controlling Interest - PL</t>
  </si>
  <si>
    <t>30-2010-001 - Retained Earnings</t>
  </si>
  <si>
    <t>30-2010-002 - Current Income</t>
  </si>
  <si>
    <t>To elemination ESOP Reserve</t>
  </si>
  <si>
    <t>Beginning Balance ESOP</t>
  </si>
  <si>
    <t>Current year ESOP reserve</t>
  </si>
  <si>
    <t>Beginning Balance - OCI Emben</t>
  </si>
  <si>
    <t>Current year - OCI Emben</t>
  </si>
  <si>
    <t>Oke</t>
  </si>
  <si>
    <t>21-4030-001 - Loan Payable Related party</t>
  </si>
  <si>
    <t>11-3030-002 - Loan Receivable - Related Parties</t>
  </si>
  <si>
    <t>11-2010-007 - Fair Value Adjustment: AR Related Party</t>
  </si>
  <si>
    <t>Fair Value Adjustment: AP Related Party</t>
  </si>
  <si>
    <t>Accrued Expense - Related Parties</t>
  </si>
  <si>
    <t>Subsidiaries</t>
  </si>
  <si>
    <t>Beginning retained earnings</t>
  </si>
  <si>
    <t>Accrued Expense - Related Party</t>
  </si>
  <si>
    <t>Related Party Account Receivable - Unbilled</t>
  </si>
  <si>
    <t>Other Payable</t>
  </si>
  <si>
    <t>Related Party AR</t>
  </si>
  <si>
    <t>Unaudited View (before Set-off)</t>
  </si>
  <si>
    <t>Asset</t>
  </si>
  <si>
    <t>Book vs Book</t>
  </si>
  <si>
    <t>After reconcile to cash movement</t>
  </si>
  <si>
    <t>After CLA to reconcile Balance</t>
  </si>
  <si>
    <t>After CLA</t>
  </si>
  <si>
    <t>Liabilities</t>
  </si>
  <si>
    <t>t/m to net-off</t>
  </si>
  <si>
    <t>Account</t>
  </si>
  <si>
    <t>CLA to reconcile beginning balance</t>
  </si>
  <si>
    <t>After reconcile</t>
  </si>
  <si>
    <t>CLA to reconcile</t>
  </si>
  <si>
    <t>CLA For FY 23</t>
  </si>
  <si>
    <t>After CLA FY 23</t>
  </si>
  <si>
    <t>Mapping FS</t>
  </si>
  <si>
    <t>Second Party</t>
  </si>
  <si>
    <t>Amount</t>
  </si>
  <si>
    <t>CLA to reconcile Loan Movement to net movement</t>
  </si>
  <si>
    <t>Loan Receivable Related Party</t>
  </si>
  <si>
    <t>11-3030-002</t>
  </si>
  <si>
    <t>11-2010-007</t>
  </si>
  <si>
    <t>Fair Value Adjustment: AR Related Party</t>
  </si>
  <si>
    <t>ALI</t>
  </si>
  <si>
    <t>CTRL to</t>
  </si>
  <si>
    <t>Per WS Consol</t>
  </si>
  <si>
    <t>SH</t>
  </si>
  <si>
    <t>Unidentified</t>
  </si>
  <si>
    <t>Per WS Konsol</t>
  </si>
  <si>
    <t>Other Receivable</t>
  </si>
  <si>
    <t>Interest Income</t>
  </si>
  <si>
    <t>Interst Expense</t>
  </si>
  <si>
    <t>Other Receivabe</t>
  </si>
  <si>
    <t>Accrued Interest Income</t>
  </si>
  <si>
    <t>11-2110-003</t>
  </si>
  <si>
    <t>11-2010-003</t>
  </si>
  <si>
    <t>Related Party Account Receivable</t>
  </si>
  <si>
    <t>Accounts Payable - Related Party</t>
  </si>
  <si>
    <t>11-2010-008</t>
  </si>
  <si>
    <t>Audit Adjustment: AR Related Parties</t>
  </si>
  <si>
    <t>Audit Adjustment: AP Related Parties</t>
  </si>
  <si>
    <t>Audit Adjustment: OP Related Parties</t>
  </si>
  <si>
    <t>Trade Receivable - Related Parties</t>
  </si>
  <si>
    <t>Both Parties?</t>
  </si>
  <si>
    <t>MJE Number</t>
  </si>
  <si>
    <t>Additional Remarks</t>
  </si>
  <si>
    <t>CLA to be book at Statutory</t>
  </si>
  <si>
    <t>Both Parties</t>
  </si>
  <si>
    <t>11-3030-002 Loan Receivable : Loan Receivable Related Party</t>
  </si>
  <si>
    <t/>
  </si>
  <si>
    <t>21-4030-001 Loan : Loan Payable : Loan Payable Related party</t>
  </si>
  <si>
    <t>to reclass repayment of AR Trade which mapping to Loan receivable</t>
  </si>
  <si>
    <t>To reclass properer Account</t>
  </si>
  <si>
    <t>To cancel previous CLA</t>
  </si>
  <si>
    <t>11-2110-003 - Related Party Account Receivable - Unbilled</t>
  </si>
  <si>
    <t>Shipping - Principal</t>
  </si>
  <si>
    <t/>
  </si>
  <si>
    <t>This account mapping to other receivable - following prior year audit</t>
  </si>
  <si>
    <t>11-3030-001 Loan Receivable : Loan to 3rd Party</t>
  </si>
  <si>
    <t>Accrue Management Fee Income</t>
  </si>
  <si>
    <t>11-3020-005 - Other Receivable Related Party</t>
  </si>
  <si>
    <t>Commision and Incentive</t>
  </si>
  <si>
    <t>Other income (expense) management fee</t>
  </si>
  <si>
    <t>Accrued related party</t>
  </si>
  <si>
    <t>Shipping Merchant</t>
  </si>
  <si>
    <t>Anchilery income</t>
  </si>
  <si>
    <t>30-1010-003 Equity : Shareholder Equity : Advance Capital</t>
  </si>
  <si>
    <t>Accounts Payable</t>
  </si>
  <si>
    <t>21-1010-001 - Accounts Payable - 3rd Party Account Payable</t>
  </si>
  <si>
    <t>21-1010-003 - Accounts Payable - Related Party</t>
  </si>
  <si>
    <t>&gt;&gt; Dalam kurung = Abnormal Balance</t>
  </si>
  <si>
    <t>Equity Method</t>
  </si>
  <si>
    <t>After CLA Portion</t>
  </si>
  <si>
    <t>Adjustment</t>
  </si>
  <si>
    <t>Beginning RE</t>
  </si>
  <si>
    <t>Beginning OCI</t>
  </si>
  <si>
    <t>Current OCI</t>
  </si>
  <si>
    <t>ESOP Reserve - Beginning Balance</t>
  </si>
  <si>
    <t>ESOP Reserve - Current Year</t>
  </si>
  <si>
    <t>Equity Adjustment</t>
  </si>
  <si>
    <t>Investment at Cost</t>
  </si>
  <si>
    <t>Ending Balance investment should be</t>
  </si>
  <si>
    <t>Elimination NCI Intercompany</t>
  </si>
  <si>
    <t>Adjustment at Consol</t>
  </si>
  <si>
    <t>Fair Value adjustment AR</t>
  </si>
  <si>
    <t>PROFORMA ADJUSTMENT</t>
  </si>
  <si>
    <t>control</t>
  </si>
  <si>
    <t>Reff</t>
  </si>
  <si>
    <t>ENTRIES</t>
  </si>
  <si>
    <t>BALANCE SHEET</t>
  </si>
  <si>
    <t>PROFIT OR LOSS</t>
  </si>
  <si>
    <t>Porsi Kepemilikan</t>
  </si>
  <si>
    <t>Investment</t>
  </si>
  <si>
    <t>Restated Proforma</t>
  </si>
  <si>
    <t>Current Emben</t>
  </si>
  <si>
    <t>ESOP</t>
  </si>
  <si>
    <t>Ctrl</t>
  </si>
  <si>
    <t>ADJUSTMENT (AJE)</t>
  </si>
  <si>
    <t xml:space="preserve">Investment </t>
  </si>
  <si>
    <t>Proforma Current year ESOP Reserve</t>
  </si>
  <si>
    <t>Current year ESOP</t>
  </si>
  <si>
    <t>Proforma Current year Emben</t>
  </si>
  <si>
    <t>Movement Modal</t>
  </si>
  <si>
    <t>Movement</t>
  </si>
  <si>
    <t>Reclassification from Advance Capital</t>
  </si>
  <si>
    <t>Additional from cash during the year</t>
  </si>
  <si>
    <t xml:space="preserve">Investasi </t>
  </si>
  <si>
    <t>Current year ESOP Reserve</t>
  </si>
  <si>
    <t>Investasi</t>
  </si>
  <si>
    <t>Current Year - OCI Emben</t>
  </si>
  <si>
    <t>Jurnal 2023</t>
  </si>
  <si>
    <t>Proforma Modal</t>
  </si>
  <si>
    <t>Modal Saham Per Book</t>
  </si>
  <si>
    <t>Modal Saham Per Notarial Deed</t>
  </si>
  <si>
    <t>Notarial Deed Nomor 12 Tanggal 18 November 2022</t>
  </si>
  <si>
    <t>28 Juni 2023</t>
  </si>
  <si>
    <t>30-jun-2023</t>
  </si>
  <si>
    <t>30-Oct-2023</t>
  </si>
  <si>
    <t>Before Restructuring
Unaudited June 2023</t>
  </si>
  <si>
    <t>Audit Adjustment
June Portion</t>
  </si>
  <si>
    <t>June 2023 After Audit Adjustment</t>
  </si>
  <si>
    <t>December 31, 2023</t>
  </si>
  <si>
    <t>After Restructuring
Unaudited June 2023</t>
  </si>
  <si>
    <t>Audit Adjustment</t>
  </si>
  <si>
    <t>After Restructuring
audited June 2023</t>
  </si>
  <si>
    <t>Dec 31, 2023</t>
  </si>
  <si>
    <t>Before Restructuring
Unaudited 30 Jun 2023</t>
  </si>
  <si>
    <t>After Restructuring
Unaudited 30 Jun 2023</t>
  </si>
  <si>
    <t>After Restructuring
audited 30 Jun 2023</t>
  </si>
  <si>
    <t>Before Restructuring
Unaudited 30 Oct 2023</t>
  </si>
  <si>
    <t>Modal Saham</t>
  </si>
  <si>
    <t xml:space="preserve">Dimiliki oleh Entitas sepengendali </t>
  </si>
  <si>
    <t/>
  </si>
  <si>
    <t>Should be agreed with Cash Paid</t>
  </si>
  <si>
    <t/>
  </si>
  <si>
    <t>Laba Ditahan</t>
  </si>
  <si>
    <t>Laba Tahun Berjalan</t>
  </si>
  <si>
    <t>OCI Tahun Berjalan</t>
  </si>
  <si>
    <t>ESOP Reserve</t>
  </si>
  <si>
    <t>Total Ekuitas tanpa NCI</t>
  </si>
  <si>
    <t>Sebelum Akuisisi dari Entitas Sepengendali</t>
  </si>
  <si>
    <t>Tambahan Akuisisi dari Entitas Sepengendali</t>
  </si>
  <si>
    <t xml:space="preserve">Laba Tahun Berjalan </t>
  </si>
  <si>
    <t xml:space="preserve">Per BS </t>
  </si>
  <si>
    <t>Total Akuisisi</t>
  </si>
  <si>
    <t>Total Kepemilikan</t>
  </si>
  <si>
    <t>Akta No 34 - 20 September 2022</t>
  </si>
  <si>
    <t>Notarial Deed Nomor 22 Tanggal 11 April 2023</t>
  </si>
  <si>
    <t>Nilai Penambahan saham agreed dengan notarial deed nomor 22 Tanggal 11 April 2023</t>
  </si>
  <si>
    <t>SNTRESS Control</t>
  </si>
  <si>
    <t>SNTRESS Movement</t>
  </si>
  <si>
    <t>Beginning Balance OCI Emben</t>
  </si>
  <si>
    <t>Restated Proforma Adjustment</t>
  </si>
  <si>
    <t>&gt;&gt;</t>
  </si>
  <si>
    <t>Adjustment Current profit due to Proforma Adjustment</t>
  </si>
  <si>
    <t>Adjustment Current Year ESOP</t>
  </si>
  <si>
    <t>Adjustment Current Year OCI Emben</t>
  </si>
  <si>
    <t>Restatement Proforma</t>
  </si>
  <si>
    <t>Current Year - Emben</t>
  </si>
  <si>
    <t>Issuance share in Subsidiaries</t>
  </si>
  <si>
    <t>Related Party Transactions</t>
  </si>
  <si>
    <t>31-Dec-2023</t>
  </si>
  <si>
    <t>Related Parties</t>
  </si>
  <si>
    <t xml:space="preserve">a) </t>
  </si>
  <si>
    <t>Trade affiliated</t>
  </si>
  <si>
    <t>Befor Adjustment</t>
  </si>
  <si>
    <t>After Adjustment</t>
  </si>
  <si>
    <t>Adj/Reclass</t>
  </si>
  <si>
    <t>Elemination Entries</t>
  </si>
  <si>
    <t>at Consol</t>
  </si>
  <si>
    <t>at Consol Level</t>
  </si>
  <si>
    <t>At Consol</t>
  </si>
  <si>
    <t>Provision for expected credit losses</t>
  </si>
  <si>
    <t>Trade receivables - Affiliated, net</t>
  </si>
  <si>
    <t>Per BS</t>
  </si>
  <si>
    <t xml:space="preserve">b) </t>
  </si>
  <si>
    <t>Unbilled</t>
  </si>
  <si>
    <t xml:space="preserve">c) Loan Receivable Related Parties </t>
  </si>
  <si>
    <t>Due from related Parties, Net</t>
  </si>
  <si>
    <t>d) Other Receivables - Related Parties</t>
  </si>
  <si>
    <t>Overseas Entity</t>
  </si>
  <si>
    <t>Parking</t>
  </si>
  <si>
    <t>Accrued Interest</t>
  </si>
  <si>
    <t>e) Shareholder Receivables</t>
  </si>
  <si>
    <t/>
  </si>
  <si>
    <t>f) Trade payable</t>
  </si>
  <si>
    <t>g) Accrued Expense</t>
  </si>
  <si>
    <t>h) Loan Payable Related Party</t>
  </si>
  <si>
    <t>Parking Listing</t>
  </si>
  <si>
    <t>i) Other Payables - Related Parties</t>
  </si>
  <si>
    <t>Foreign entity</t>
  </si>
  <si>
    <t>i) Investment in Subsidiaries</t>
  </si>
  <si>
    <t>j) deemed in Investment</t>
  </si>
  <si>
    <t>I) Capital Stock</t>
  </si>
  <si>
    <t>31-Jun-2023</t>
  </si>
  <si>
    <t>Others</t>
  </si>
  <si>
    <t>j) Capital Advance</t>
  </si>
  <si>
    <t>Fair Value</t>
  </si>
  <si>
    <t>Consolidated Statement of Financial Position</t>
  </si>
  <si>
    <t>Agreed to Report Released</t>
  </si>
  <si>
    <t>Dummy G</t>
  </si>
  <si>
    <t>Dummy C</t>
  </si>
  <si>
    <t>Dummy D</t>
  </si>
  <si>
    <t>Dummy E</t>
  </si>
  <si>
    <t>Dummy F</t>
  </si>
  <si>
    <t>Dummy A Consol</t>
  </si>
  <si>
    <t xml:space="preserve">Dummy G </t>
  </si>
  <si>
    <t>Loan Receivable - Related Parties - non-current</t>
  </si>
  <si>
    <t>Consolidated Statement of Profit or Loss and Other Comprehensive Income</t>
  </si>
  <si>
    <t xml:space="preserve">Dummy C </t>
  </si>
  <si>
    <t>Group - to Dummy C</t>
  </si>
  <si>
    <t>PT Dummy C and its Subsidiaries</t>
  </si>
  <si>
    <t>Balance as of December 31, 2022 Audited</t>
  </si>
  <si>
    <t>Balance as of December 31, 2022 as Restated</t>
  </si>
  <si>
    <t>Total Proforma Adjustment</t>
  </si>
  <si>
    <t>PT Dummy C And Its Subsidiaries</t>
  </si>
  <si>
    <t>Per Proforma Adjustment</t>
  </si>
  <si>
    <t xml:space="preserve">TOTAL EQUITY ATTRIBUTABLE </t>
  </si>
  <si>
    <t xml:space="preserve">     TO THE OWNERS OF THE COMPANY</t>
  </si>
  <si>
    <t>NCI - Share Capital</t>
  </si>
  <si>
    <t>NCI - Beginning Balance</t>
  </si>
  <si>
    <t>NCI - Current Profit</t>
  </si>
  <si>
    <t>Control to BS</t>
  </si>
  <si>
    <t>FY 2022</t>
  </si>
  <si>
    <t xml:space="preserve">Fair Value </t>
  </si>
  <si>
    <t>Loan Receivable Related Parties</t>
  </si>
  <si>
    <t>Logistic Cost</t>
  </si>
  <si>
    <t>11-4010-002 - Deemed Investment in Subsidiaries</t>
  </si>
  <si>
    <t>Trade Receivable - related parties</t>
  </si>
  <si>
    <t>Beginning Balance RE</t>
  </si>
  <si>
    <t>Fair Value Loan to relpar</t>
  </si>
  <si>
    <t/>
  </si>
  <si>
    <t/>
  </si>
  <si>
    <t>Fair Value Non-Financial Asset</t>
  </si>
  <si>
    <t>Dummy C - Elim - Equity - Dummy D 01</t>
  </si>
  <si>
    <t>To Elimination Share Capital and Advance capital - Dummy D</t>
  </si>
  <si>
    <t>Dummy C - Elim - Equity - Dummy D 02</t>
  </si>
  <si>
    <t>To elemination RE Beginnig balance and RE Current profit - Dummy D</t>
  </si>
  <si>
    <t>Dummy C - Elim - Equity - Dummy D 03</t>
  </si>
  <si>
    <t>Dummy C - Elim - Equity - Dummy D 04</t>
  </si>
  <si>
    <t>Dummy C - Elim - Equity - Dummy D 05</t>
  </si>
  <si>
    <t>To elemination OCI Dummy D</t>
  </si>
  <si>
    <t>Dummy C - Elim - Equity - Dummy E 01</t>
  </si>
  <si>
    <t>Dummy C - Elim - Equity - Dummy E 02</t>
  </si>
  <si>
    <t>Dummy C - Elim - Equity - Dummy F 01</t>
  </si>
  <si>
    <t>To Elimination Share Capital and Advance capital - Dummy F</t>
  </si>
  <si>
    <t>Dummy C - Elim - Equity - Dummy F 02</t>
  </si>
  <si>
    <t>To elemination Proforma Advance Capital</t>
  </si>
  <si>
    <t>Advanced Capital</t>
  </si>
  <si>
    <t>To elemination RE Beginnig balance and RE Current profit - Dummy F</t>
  </si>
  <si>
    <t>Dummy C - Elim - Equity - Dummy A 01</t>
  </si>
  <si>
    <t>Dummy A</t>
  </si>
  <si>
    <t>Dummy C - Elim - Equity - Dummy A 02</t>
  </si>
  <si>
    <t>Dummy C - Elim - Interco BS - 01</t>
  </si>
  <si>
    <t>Dummy D Consol</t>
  </si>
  <si>
    <t>To elimination Interco BS Dummy C x Dummy D Consol</t>
  </si>
  <si>
    <t>Dummy C Balance</t>
  </si>
  <si>
    <t>Dummy D Balance</t>
  </si>
  <si>
    <t>Dummy E Balance</t>
  </si>
  <si>
    <t>Dummy C - Elim - Interco BS - 02</t>
  </si>
  <si>
    <t>Dummy F Consol</t>
  </si>
  <si>
    <t>To elimination Interco BS Dummy C x Dummy F Consol</t>
  </si>
  <si>
    <t>Dummy A Balance</t>
  </si>
  <si>
    <t>Dummy F Balance</t>
  </si>
  <si>
    <t>Dummy C - Elim - Interco BS - 03</t>
  </si>
  <si>
    <t>To elimination Interco BS Dummy D Consol x Dummy F Consol</t>
  </si>
  <si>
    <t>Dummy C - Elim - Interco Loan - Fair Value 01</t>
  </si>
  <si>
    <t>CTRL to BS</t>
  </si>
  <si>
    <t>&gt;&gt; Interest income</t>
  </si>
  <si>
    <t>Agreed to report released</t>
  </si>
  <si>
    <t>Dummy A Consolidated</t>
  </si>
  <si>
    <t>Outside Dummy C Consolidation</t>
  </si>
  <si>
    <t/>
  </si>
  <si>
    <t/>
  </si>
  <si>
    <t/>
  </si>
  <si>
    <t/>
  </si>
  <si>
    <t/>
  </si>
  <si>
    <t/>
  </si>
  <si>
    <t/>
  </si>
  <si>
    <t/>
  </si>
  <si>
    <t/>
  </si>
  <si>
    <t>PT Dummy - C and Subsidiaries</t>
  </si>
  <si>
    <t>PT Dummy - C</t>
  </si>
  <si>
    <t>PT Dummy - A</t>
  </si>
  <si>
    <t>PT Dummy - B</t>
  </si>
  <si>
    <t>PT Dummy - D</t>
  </si>
  <si>
    <t>PT Dummy - E</t>
  </si>
  <si>
    <t>PT Dummy - F</t>
  </si>
  <si>
    <t>PT Dummy - G</t>
  </si>
  <si>
    <t>PT Dummy - H</t>
  </si>
  <si>
    <t>PT Dummy - I</t>
  </si>
  <si>
    <t>PT Dummy - K</t>
  </si>
  <si>
    <t>PT Dummy - L</t>
  </si>
  <si>
    <t>PT Dummy - M</t>
  </si>
  <si>
    <t>PT Dummy - N</t>
  </si>
  <si>
    <t>PT Dummy - J</t>
  </si>
  <si>
    <t>For period end December 31, 2024</t>
  </si>
  <si>
    <t>For Period End December 31, 2024</t>
  </si>
  <si>
    <t>Control to WP 338</t>
  </si>
  <si>
    <t>PER WP 338</t>
  </si>
  <si>
    <t>Jan'24 - Jun'24</t>
  </si>
  <si>
    <t>PT Dummy C</t>
  </si>
  <si>
    <t>PT Dummy A - Consol</t>
  </si>
  <si>
    <t>Beginning Balance RE - Jan 1 2022</t>
  </si>
  <si>
    <t>PT Dummy C Consol</t>
  </si>
  <si>
    <t>As of December 31, 2022</t>
  </si>
  <si>
    <t>Beginning Balance RE - Jan 1 2023</t>
  </si>
  <si>
    <t>As of December 31, 2023</t>
  </si>
  <si>
    <t>Equity adjustment - Current Profit</t>
  </si>
  <si>
    <t>Beginning Balance RE - Jan 1 2024</t>
  </si>
  <si>
    <t>As of December 31, 2024</t>
  </si>
  <si>
    <t>Per BS - Before re Reconciliation</t>
  </si>
  <si>
    <t>RE Reconciliation:</t>
  </si>
  <si>
    <t>1) PT Dummy - D</t>
  </si>
  <si>
    <t xml:space="preserve">    Accrued Expense </t>
  </si>
  <si>
    <t>Per BS - Before After Reconciliation</t>
  </si>
  <si>
    <t>Jurnal 22</t>
  </si>
  <si>
    <t>Jurnal 2024</t>
  </si>
  <si>
    <t>Investment per Book</t>
  </si>
  <si>
    <t>Proforma</t>
  </si>
  <si>
    <t xml:space="preserve">Total </t>
  </si>
  <si>
    <t>Before Elimination</t>
  </si>
  <si>
    <t>Adjustment PY</t>
  </si>
  <si>
    <t>Current Profit CY</t>
  </si>
  <si>
    <t>Investment value should be</t>
  </si>
  <si>
    <t>Additional Share</t>
  </si>
  <si>
    <t>Investment should be</t>
  </si>
  <si>
    <t>Reclass</t>
  </si>
  <si>
    <t>Acquisition Cost</t>
  </si>
  <si>
    <t>Per WP Investment</t>
  </si>
  <si>
    <t>Accrued Interest - PT Dummy - A</t>
  </si>
  <si>
    <t>PT Dummy - C and its Subsidiaries</t>
  </si>
  <si>
    <t>Accrued Interest - PT Dummy - D</t>
  </si>
  <si>
    <t>Accrued Interest - PT Dummy - E</t>
  </si>
  <si>
    <t>Accrued Interest - PT Dummy - F</t>
  </si>
  <si>
    <t>Account Receivable - PT Dummy - I</t>
  </si>
  <si>
    <t>Accounts Payable - PT Dummy - I</t>
  </si>
  <si>
    <t>Accrued Interest - PT Dummy - K</t>
  </si>
  <si>
    <t>PT Dummy - Ns Pte Ltd</t>
  </si>
  <si>
    <t>PT Dummy - Ns</t>
  </si>
  <si>
    <t>PT Dummy - N PTE LTD</t>
  </si>
  <si>
    <t>PT Dummy - O</t>
  </si>
  <si>
    <t>PT Dummy - P</t>
  </si>
  <si>
    <t>PT Dummy - Q</t>
  </si>
  <si>
    <t>PT Dummy - R</t>
  </si>
  <si>
    <t>PT Dummy - S</t>
  </si>
  <si>
    <t/>
  </si>
  <si>
    <t>PT Dummy - S (US)</t>
  </si>
  <si>
    <t>Dummy - A</t>
  </si>
  <si>
    <t>Equity loss (income) in Dummy - A Consol</t>
  </si>
  <si>
    <t xml:space="preserve">Dummy - A </t>
  </si>
  <si>
    <t>Proforma Modal Dummy - A</t>
  </si>
  <si>
    <t>Dummy - A 01</t>
  </si>
  <si>
    <t>Proforma Modal in Dummy - A</t>
  </si>
  <si>
    <t>Proforma Beginning Balance RE Dummy - A</t>
  </si>
  <si>
    <t>Dummy - A 02</t>
  </si>
  <si>
    <t>Investment in Dummy - A</t>
  </si>
  <si>
    <t>Beginning Balance RE Dummy - A</t>
  </si>
  <si>
    <t>Proforma Current Profit or Loss Dummy - A</t>
  </si>
  <si>
    <t>Dummy - A 03</t>
  </si>
  <si>
    <t>Current Profit  Dummy - A</t>
  </si>
  <si>
    <t>Effect of proforma adjustment on current income for the year - Dummy - A</t>
  </si>
  <si>
    <t>Equity income from Subsidiary - Dummy - A</t>
  </si>
  <si>
    <t>Investasi in Dummy - A</t>
  </si>
  <si>
    <t>Effect of proforma adjustment on net income for the year - Dummy - A</t>
  </si>
  <si>
    <t>Dummy - A Ownership</t>
  </si>
  <si>
    <t>Dummy - A Balance</t>
  </si>
  <si>
    <t>To reverse Fair value Revaluation in Dummy - A Statu - CLA Dummy - A 39</t>
  </si>
  <si>
    <t>Dummy - A Consolidated</t>
  </si>
  <si>
    <t>CVDummy - A</t>
  </si>
  <si>
    <t>Dummy - A - Elim - Interco Loan - 01</t>
  </si>
  <si>
    <t>Dummy - A - Elim - Interco Loan - 02</t>
  </si>
  <si>
    <t>Dummy - A - Elim - Receivable Payable - 01</t>
  </si>
  <si>
    <t>Dummy - A- Recon Phase 2- 01</t>
  </si>
  <si>
    <t>To cancel netting off portion through MJE/Dummy - A/06248 that already netting off in previos year</t>
  </si>
  <si>
    <t>Dummy - A- Recon Phase 2- 02</t>
  </si>
  <si>
    <t>CVDummy - A - Recon Phase 2 - 01</t>
  </si>
  <si>
    <t>#STRESs from PT Dummy - S  SNTREs [Dummy - A]</t>
  </si>
  <si>
    <t>Dummy - B</t>
  </si>
  <si>
    <t>Dummy - C</t>
  </si>
  <si>
    <t xml:space="preserve">Dummy - C </t>
  </si>
  <si>
    <t>Group - to Dummy - C</t>
  </si>
  <si>
    <t>Dummy - C And Subsidiaries</t>
  </si>
  <si>
    <t>Non-controlling Interest - Dummy - C Portion</t>
  </si>
  <si>
    <t>Dummy - C -  01</t>
  </si>
  <si>
    <t>Dummy - C -  02</t>
  </si>
  <si>
    <t>Dummy - C - Elim - Equity - Dummy - A 01</t>
  </si>
  <si>
    <t>Dummy - C - Elim - Equity - Dummy - A 02</t>
  </si>
  <si>
    <t>Dummy - C - Elim - Interco BS - 01</t>
  </si>
  <si>
    <t>Dummy - C Balance</t>
  </si>
  <si>
    <t>Dummy - C - Elim - Interco BS - 02</t>
  </si>
  <si>
    <t>Dummy - C - Elim - Interco BS - 03</t>
  </si>
  <si>
    <t>Dummy - C - Elim - Interco Interest - Dummy - C 01</t>
  </si>
  <si>
    <t>To elimination accrual and other receivable arising from Interest interco Dummy - C x Dummy - A</t>
  </si>
  <si>
    <t>Dummy - C - Elim - Interco Interest - Dummy - C 02</t>
  </si>
  <si>
    <t>Dummy - C - Elim - Interco Interest - Dummy - C 03</t>
  </si>
  <si>
    <t>Dummy - C - Reverse Statu CLA - 01</t>
  </si>
  <si>
    <t>Dummy - C - Reverse Statu CLA - 03</t>
  </si>
  <si>
    <t>Dummy - C - Reverse Statu CLA - 04</t>
  </si>
  <si>
    <t>To reverse Fair value Revaluation in Dummy - C Statu - CLA Dummy - C 118</t>
  </si>
  <si>
    <t>Outside Dummy - C Consolidation</t>
  </si>
  <si>
    <t>Fair Value - AP Dummy - C</t>
  </si>
  <si>
    <t>Dummy - C - Elim - Equity - Dummy - A 03</t>
  </si>
  <si>
    <t>Dummy - C - Elim - Interco Loan - 01</t>
  </si>
  <si>
    <t>Dummy - C - Elim - Interco Loan - 02</t>
  </si>
  <si>
    <t>Dummy - C - Elim - Interco Loan - 03</t>
  </si>
  <si>
    <t>Dummy - C - Elim - Interco Loan - 04</t>
  </si>
  <si>
    <t>Dummy - C - Elim - Interco Loan - 05</t>
  </si>
  <si>
    <t>Dummy - C - Elim - Other Receivable - Payable - 01</t>
  </si>
  <si>
    <t>Dummy - C - Elim - Other Receivable - Payable - 02</t>
  </si>
  <si>
    <t>Dummy - C - Elim - Other Receivable - Payable - 03</t>
  </si>
  <si>
    <t>Dummy - C - Elim - Receivable Payable - 01</t>
  </si>
  <si>
    <t>Dummy - C - Recon Phase 2 - 01</t>
  </si>
  <si>
    <t>To cancel journal MJE/Dummy - C/06873</t>
  </si>
  <si>
    <t>Dummy - C - Recon - 02</t>
  </si>
  <si>
    <t>Dummy - C - Recon Phase 2 - 03</t>
  </si>
  <si>
    <t>Dummy - C - Recon Phase 2 - 04</t>
  </si>
  <si>
    <t>Dummy - C - Recon Phase 2 - 05</t>
  </si>
  <si>
    <t>Dummy - C - Recon Phase 2 - 06</t>
  </si>
  <si>
    <t>To reclass properer Account Dummy - C-155-2023</t>
  </si>
  <si>
    <t>Dummy - C - Recon Phase 2 - 07</t>
  </si>
  <si>
    <t>Dummy - C - Recon Phase 2 - 08</t>
  </si>
  <si>
    <t>Dummy - C - Recon Phase 2 - 09</t>
  </si>
  <si>
    <t>Dummy - C Portion</t>
  </si>
  <si>
    <t>Bagian Dummy - C setelah Tambahan Akuisisi dari Entitas Sepengendali</t>
  </si>
  <si>
    <t>Bagian Dummy - C</t>
  </si>
  <si>
    <t>Total Investasi Dummy - C, per book - seharusnya</t>
  </si>
  <si>
    <t>Dummy - D</t>
  </si>
  <si>
    <t>Equity loss (income) in Dummy - D</t>
  </si>
  <si>
    <t>- OCI Dummy - D</t>
  </si>
  <si>
    <t>Proforma Modal Dummy - D</t>
  </si>
  <si>
    <t>Dummy - D 01</t>
  </si>
  <si>
    <t>Dummy - D 02</t>
  </si>
  <si>
    <t>Proforma Modal Dummy - D - Advance Capital</t>
  </si>
  <si>
    <t>Proforma Beginning Balance RE Dummy - D</t>
  </si>
  <si>
    <t>Beginning Balance RE Dummy - D</t>
  </si>
  <si>
    <t>Beginning ESOP Dummy - D</t>
  </si>
  <si>
    <t>Investment in Dummy - D</t>
  </si>
  <si>
    <t>Proforma Current Profit or Loss Dummy - D</t>
  </si>
  <si>
    <t>Dummy - D 03</t>
  </si>
  <si>
    <t>Current Profit  Dummy - D</t>
  </si>
  <si>
    <t>Dummy - D 04</t>
  </si>
  <si>
    <t>Dummy - D 05</t>
  </si>
  <si>
    <t>Effect of proforma adjustment on current income for the year - Dummy - D</t>
  </si>
  <si>
    <t>Equity income from Subsidiary - Dummy - D</t>
  </si>
  <si>
    <t>Effect of proforma adjustment on ESOP Reserve for the year - Dummy - D</t>
  </si>
  <si>
    <t>Effect of proforma adjustment on OCI Emben for the year - Dummy - D</t>
  </si>
  <si>
    <t>Proforma Modal Dummy - D - Net investment should be</t>
  </si>
  <si>
    <t>To Elimination Share Capital and Advance capital - Dummy - D</t>
  </si>
  <si>
    <t>Dummy - D - 01</t>
  </si>
  <si>
    <t>(To cancel interest income Dummy - D to Dummy - A - Only recorded by Dummy - D)</t>
  </si>
  <si>
    <t>Dummy - C - Elim - Equity - Dummy - D 01</t>
  </si>
  <si>
    <t>Dummy - C - Elim - Equity - Dummy - D 02</t>
  </si>
  <si>
    <t>To elemination RE Beginnig balance and RE Current profit - Dummy - D</t>
  </si>
  <si>
    <t>Dummy - C - Elim - Equity - Dummy - D 03</t>
  </si>
  <si>
    <t>Dummy - C - Elim - Equity - Dummy - D 04</t>
  </si>
  <si>
    <t>To elemination OCI Dummy - D</t>
  </si>
  <si>
    <t>To elimination Interco BS Dummy - C x Dummy - D Consol</t>
  </si>
  <si>
    <t>Dummy - D Balance</t>
  </si>
  <si>
    <t>Dummy - D Consol</t>
  </si>
  <si>
    <t>To reverse Fair value Revaluation in Dummy - D Statu - CLA Dummy - D 418</t>
  </si>
  <si>
    <t>Dummy - D Group</t>
  </si>
  <si>
    <t>Dummy - C - Elim - Equity - Dummy - D 05</t>
  </si>
  <si>
    <t>Dummy - D - Elim - Interco Loan - 01</t>
  </si>
  <si>
    <t>Dummy - D - Elim - Interco Loan - 02</t>
  </si>
  <si>
    <t>Dummy - D - Elim - Interco Loan - 03</t>
  </si>
  <si>
    <t>Dummy - D - Elim - Other Receivable - Payable - 01</t>
  </si>
  <si>
    <t>Dummy - D - Elim - Other Receivable - Payable - 02</t>
  </si>
  <si>
    <t>Dummy - D - Elim - Other Receivable - Payable - 03</t>
  </si>
  <si>
    <t>Dummy - D - Elim - Receivable Payable - 01</t>
  </si>
  <si>
    <t>MJE/Dummy - D/05801</t>
  </si>
  <si>
    <t>Dummy - D - Recon Phase - 01</t>
  </si>
  <si>
    <t>To cancel netting off portion through MJE/Dummy - D/06795 that already netting off in previos year</t>
  </si>
  <si>
    <t>Dummy - D - Recon Phase - 02</t>
  </si>
  <si>
    <t>To reclass accrue management fee to Dummy - C into Other current assets align with audit report FY 22 (Dummy - D-503)</t>
  </si>
  <si>
    <t>Dummy - D - Recon Phase - 03</t>
  </si>
  <si>
    <t>Dummy - D Only</t>
  </si>
  <si>
    <t>Dummy - D - Recon Phase - 04</t>
  </si>
  <si>
    <t>STRESS from Dummy - D</t>
  </si>
  <si>
    <t>Dummy - E</t>
  </si>
  <si>
    <t>Equity loss (income) in Dummy - E</t>
  </si>
  <si>
    <t>Proforma Modal Dummy - E</t>
  </si>
  <si>
    <t>Dummy - E 01</t>
  </si>
  <si>
    <t>Proforma Current Profit or Loss Dummy - E</t>
  </si>
  <si>
    <t>Dummy - E 02</t>
  </si>
  <si>
    <t>Current Profit  Dummy - E</t>
  </si>
  <si>
    <t>Investment in Dummy - E</t>
  </si>
  <si>
    <t>Equity income from Subsidiary - Dummy - E</t>
  </si>
  <si>
    <t>Effect of proforma adjustment on current income for the year - Dummy - E</t>
  </si>
  <si>
    <t>Proforma Modal Dummy - E - Net investment should be</t>
  </si>
  <si>
    <t>Dummy - C - Elim - Equity - Dummy - E 01</t>
  </si>
  <si>
    <t>Dummy - C - Elim - Equity - Dummy - E 02</t>
  </si>
  <si>
    <t>Dummy - E Balance</t>
  </si>
  <si>
    <t>To reverse interest income from intercompany loan Dummy - C x Dummy - E</t>
  </si>
  <si>
    <t xml:space="preserve">Dummy - E </t>
  </si>
  <si>
    <t>Dummy - C - Elim - Equity - Dummy - E 03</t>
  </si>
  <si>
    <t>Dummy - E - Elim - Interco Loan - 01</t>
  </si>
  <si>
    <t>Dummy - E - Elim - Interco Loan - 02</t>
  </si>
  <si>
    <t>Dummy - E - Elim - Other Receivable - Payable - 01</t>
  </si>
  <si>
    <t>Dummy - E - Recon Phase 2 - 01</t>
  </si>
  <si>
    <t>#STRESs from PT Dummy - S  SNTREs [Dummy - E]</t>
  </si>
  <si>
    <t>Equity loss (income) in Dummy F</t>
  </si>
  <si>
    <t>- OCI Dummy F</t>
  </si>
  <si>
    <t>Proforma Modal Dummy F</t>
  </si>
  <si>
    <t>Dummy F 01</t>
  </si>
  <si>
    <t>Proforma APIC Dummy F</t>
  </si>
  <si>
    <t>Dummy F 02</t>
  </si>
  <si>
    <t>Proforma Beginning Balance RE Dummy F</t>
  </si>
  <si>
    <t>Dummy F 03</t>
  </si>
  <si>
    <t>Investment in Dummy F</t>
  </si>
  <si>
    <t>Beginning Balance RE Dummy F</t>
  </si>
  <si>
    <t>Proforma Current Profit or Loss Dummy F</t>
  </si>
  <si>
    <t>Dummy F 04</t>
  </si>
  <si>
    <t>Current Profit  Dummy F</t>
  </si>
  <si>
    <t>Effect of proforma adjustment on net income for the year - Dummy F</t>
  </si>
  <si>
    <t>Equity income from Subsidiary - Dummy F</t>
  </si>
  <si>
    <t>Dummy - C - Elim - Equity - Dummy F 01</t>
  </si>
  <si>
    <t>Dummy - C - Elim - Equity - Dummy F 02</t>
  </si>
  <si>
    <t>To elimination Interco BS Dummy - C x Dummy F Consol</t>
  </si>
  <si>
    <t>Dummy F Consolidated</t>
  </si>
  <si>
    <t>To reverse interest income from intercompany loan Dummy - C x Dummy F</t>
  </si>
  <si>
    <t>Dummy F Group</t>
  </si>
  <si>
    <t>Dummy - C - Elim - Equity - Dummy F 03</t>
  </si>
  <si>
    <t>Dummy F - Elim - Interco Loan - 01</t>
  </si>
  <si>
    <t>Dummy F - Elim - Interco Loan - 02</t>
  </si>
  <si>
    <t>Dummy F - Elim - Interco Loan - 03</t>
  </si>
  <si>
    <t>Dummy F - Elim - Interco Loan - 04</t>
  </si>
  <si>
    <t>Dummy F - Elim - Receivable Payable - 01</t>
  </si>
  <si>
    <t>Dummy F - Elim - Receivable Payable - 02</t>
  </si>
  <si>
    <t>Dummy F - Elim - Receivable Payable - 03</t>
  </si>
  <si>
    <t>To adjust additional transfer shipping cost based on Dummy F-87-2023</t>
  </si>
  <si>
    <t>To record transfer expense from Dummy F trough Dummy F-78-2023</t>
  </si>
  <si>
    <t>#STRESs from PT Dummy - S  SNTREs [Dummy F]</t>
  </si>
  <si>
    <t>STRESS from Dummy F</t>
  </si>
  <si>
    <t>Equity loss (income) in Dummy G</t>
  </si>
  <si>
    <t>Dummy Ger</t>
  </si>
  <si>
    <t>Dummy - C - Elim - Equity - Dummy G 01</t>
  </si>
  <si>
    <t>Dummy G - Recon Phase 2- 01</t>
  </si>
  <si>
    <t>Dummy G - Recon Phase 2- 02</t>
  </si>
  <si>
    <t>Dummy - H</t>
  </si>
  <si>
    <t>Effect of proforma adjustment on current income for the year - Dummy - I</t>
  </si>
  <si>
    <t>Dummy - I</t>
  </si>
  <si>
    <t>To reverse interest income from intercompany loan Dummy - C x Dummy - I</t>
  </si>
  <si>
    <t>Dummy - I Balance</t>
  </si>
  <si>
    <t>Dummy - I - Recon Phase 2 - 01</t>
  </si>
  <si>
    <t>Dummy - I - Recon Phase 2 - 02</t>
  </si>
  <si>
    <t>Dummy - I - Recon Phase 2 - 03</t>
  </si>
  <si>
    <t>Dummy - I - Recon Phase 2 - 04</t>
  </si>
  <si>
    <t>Dummy - I - Recon Phase 2 - 05</t>
  </si>
  <si>
    <t>Dummy - I Only</t>
  </si>
  <si>
    <t>Dummy L</t>
  </si>
  <si>
    <t>Dummy L - Recon Phase 2 - 01</t>
  </si>
  <si>
    <t>Dummy L - Recon Phase 2 - 02</t>
  </si>
  <si>
    <t>To reclass remaining received payment from Dummy L into Loan Payable</t>
  </si>
  <si>
    <t>Dummy - M</t>
  </si>
  <si>
    <t>Dummy - N</t>
  </si>
  <si>
    <t>31-December-2023</t>
  </si>
  <si>
    <t>31 - Dec - 2022</t>
  </si>
  <si>
    <t>- OCI Dummy - E</t>
  </si>
  <si>
    <t>Equity loss (income) in Dummy - F</t>
  </si>
  <si>
    <t>Equity loss (income) in Dummy - G</t>
  </si>
  <si>
    <t>PT Dummy - Z</t>
  </si>
  <si>
    <t>Restatement</t>
  </si>
  <si>
    <t>Consolidated Statement of Cash Flows</t>
  </si>
  <si>
    <t>Current Asset</t>
  </si>
  <si>
    <t>Non-current asset</t>
  </si>
  <si>
    <t>Trade receivables, net</t>
  </si>
  <si>
    <t>Other receivables net,</t>
  </si>
  <si>
    <t>Inventories, net</t>
  </si>
  <si>
    <t>Advance, prepaid expenses and other assets</t>
  </si>
  <si>
    <t>Restricted banks and time deposits (current and non-current)</t>
  </si>
  <si>
    <t>Prepaid tax</t>
  </si>
  <si>
    <t>Due from related parties, net (current and non-current)</t>
  </si>
  <si>
    <t>Lease receivables - non current</t>
  </si>
  <si>
    <t>Fixed assets, net</t>
  </si>
  <si>
    <t>Investment properties</t>
  </si>
  <si>
    <t>Right of use assets, net</t>
  </si>
  <si>
    <t>Intangible assets, net</t>
  </si>
  <si>
    <t>Other assets</t>
  </si>
  <si>
    <t>Goodwill</t>
  </si>
  <si>
    <t>Deferred tax assets, net</t>
  </si>
  <si>
    <t>Deferred tax liabilities, net</t>
  </si>
  <si>
    <t>Short-term bank loan</t>
  </si>
  <si>
    <t>Long-term bank loan</t>
  </si>
  <si>
    <t>Factoring payable</t>
  </si>
  <si>
    <t>Trade payable</t>
  </si>
  <si>
    <t>Due to related parties</t>
  </si>
  <si>
    <t>Taxes payable</t>
  </si>
  <si>
    <t>Accrued expenses</t>
  </si>
  <si>
    <t>Liabilities related asset held for sale</t>
  </si>
  <si>
    <t>Convertible bonds</t>
  </si>
  <si>
    <t>Lease liabilities</t>
  </si>
  <si>
    <t>Employee benefits liabilities</t>
  </si>
  <si>
    <t>Other Non current Liabilities</t>
  </si>
  <si>
    <t>Share Based Compensation Reserve</t>
  </si>
  <si>
    <t>Non-controlling Interest</t>
  </si>
  <si>
    <t>Variance</t>
  </si>
  <si>
    <t>CASH FLOW FROM OPERATING ACTIVITIES</t>
  </si>
  <si>
    <t>Before restatement</t>
  </si>
  <si>
    <t>After restatement</t>
  </si>
  <si>
    <t xml:space="preserve">Profit before income tax </t>
  </si>
  <si>
    <t>Adjustment:</t>
  </si>
  <si>
    <t>Depreciation of fixed assets</t>
  </si>
  <si>
    <t>Provision for Impairment of Fixed Assets</t>
  </si>
  <si>
    <t xml:space="preserve">Depreciation of right of use assets </t>
  </si>
  <si>
    <t>Provision for Impairment of Right of used assets</t>
  </si>
  <si>
    <t>Loss from early termination fo Lease</t>
  </si>
  <si>
    <t>l</t>
  </si>
  <si>
    <t>Amortization of intangible assets</t>
  </si>
  <si>
    <t>Provision for Impairment of Intangible Assets</t>
  </si>
  <si>
    <t>Loss (Gain) on disposal of fixed assets</t>
  </si>
  <si>
    <t>Employee benefit expenses</t>
  </si>
  <si>
    <t>Provision for impairment of trade receivables, net</t>
  </si>
  <si>
    <t>Fair value of financial asset</t>
  </si>
  <si>
    <t xml:space="preserve">Interest income </t>
  </si>
  <si>
    <t>Interest expense</t>
  </si>
  <si>
    <t>Interest expense on lease</t>
  </si>
  <si>
    <t>Changes in working capital:</t>
  </si>
  <si>
    <t>Other receivables, net</t>
  </si>
  <si>
    <t>Trade and other payables</t>
  </si>
  <si>
    <t>Deposit payable</t>
  </si>
  <si>
    <t>Accruals</t>
  </si>
  <si>
    <t>Taxes payable – other taxes</t>
  </si>
  <si>
    <t>Payment of employee benefits</t>
  </si>
  <si>
    <t>Receipt from Lease receivable</t>
  </si>
  <si>
    <t>Payment of income tax</t>
  </si>
  <si>
    <t>Receipt of finance income</t>
  </si>
  <si>
    <t>Payment of interest</t>
  </si>
  <si>
    <t>Net cash provided by (used in) operating activities</t>
  </si>
  <si>
    <t>CASH FLOW FROM INVESTING ACTIVITIES</t>
  </si>
  <si>
    <t>Addition of fixed assets</t>
  </si>
  <si>
    <t>Addition of intangible assets</t>
  </si>
  <si>
    <t>Addition of ROU</t>
  </si>
  <si>
    <t>Acquisition of subsidiaries</t>
  </si>
  <si>
    <t>Addition investment in shares</t>
  </si>
  <si>
    <t>Proceeds from sale of fixed assets</t>
  </si>
  <si>
    <t>Receipt of other receivables</t>
  </si>
  <si>
    <t>Interest income</t>
  </si>
  <si>
    <t>Addition due from related parties</t>
  </si>
  <si>
    <t>Receipt due from related parties</t>
  </si>
  <si>
    <t>Addition to other assets</t>
  </si>
  <si>
    <t>Net cash provided by (used in) investing activities</t>
  </si>
  <si>
    <t>CASH FLOW FROM FINANCING ACTIVITIES</t>
  </si>
  <si>
    <t>Receipt of loan</t>
  </si>
  <si>
    <t>Repayment of loan</t>
  </si>
  <si>
    <t>Receipt due to related parties</t>
  </si>
  <si>
    <t>Payment due to related parties</t>
  </si>
  <si>
    <t>Cash proceeds from issuance share in subsidiaries</t>
  </si>
  <si>
    <t>Proceed from advance for share capital</t>
  </si>
  <si>
    <t>Withdrawal (Placement) of restricted bank and time deposits, net</t>
  </si>
  <si>
    <t>Repayment of lease liabilities</t>
  </si>
  <si>
    <t>Dividend paid</t>
  </si>
  <si>
    <t>Net cash provided by (used in) financing activities</t>
  </si>
  <si>
    <t>NET INCREASE (DECREASE) IN CASH AND CASH EQUIVALENTS</t>
  </si>
  <si>
    <t>NET INCREASE (DECREASE) IN CASH AND CASH EQUIVALENTS FROM DISCONTINUED OPERATIONS</t>
  </si>
  <si>
    <t>NET FOREIGN EXCHANGE DIFFERENCE</t>
  </si>
  <si>
    <t>CASH AND CASH EQUIVALENTS AT BEGINNING OF YEAR</t>
  </si>
  <si>
    <t>CASH AND CASH EQUIVALENTS AT END OF YEAR</t>
  </si>
  <si>
    <t>Per FS</t>
  </si>
  <si>
    <t>STL</t>
  </si>
  <si>
    <t>PSD</t>
  </si>
  <si>
    <t>KLI</t>
  </si>
  <si>
    <t>PPU</t>
  </si>
  <si>
    <t>SLL</t>
  </si>
  <si>
    <t>SLB</t>
  </si>
  <si>
    <t>Cinsolidated</t>
  </si>
  <si>
    <t>ECL Movement</t>
  </si>
  <si>
    <t>Additional During the year</t>
  </si>
  <si>
    <t>Writeoff</t>
  </si>
  <si>
    <t>Recovery During the year</t>
  </si>
  <si>
    <t>Balance Per Detail</t>
  </si>
  <si>
    <t>Beginning Balance NBV</t>
  </si>
  <si>
    <t>Deduction, net</t>
  </si>
  <si>
    <t>Additional depreciation during the year</t>
  </si>
  <si>
    <t>Impairment during the year</t>
  </si>
  <si>
    <t>Detail additional:</t>
  </si>
  <si>
    <t>Acquisition through Cash and Cash equivalent</t>
  </si>
  <si>
    <t>Acquisition through Trade Payable</t>
  </si>
  <si>
    <t>Acquisition through Other Payable</t>
  </si>
  <si>
    <t>Total Addition</t>
  </si>
  <si>
    <t>Lease - Assets &amp; Liabilities</t>
  </si>
  <si>
    <t>Right of use assets</t>
  </si>
  <si>
    <t>Addition During The Year</t>
  </si>
  <si>
    <t>Accretion of Interest</t>
  </si>
  <si>
    <t>Repayment During the year</t>
  </si>
  <si>
    <t>Other Deduction</t>
  </si>
  <si>
    <t>Proceeds from Advance Capital</t>
  </si>
  <si>
    <t>Reclassification into share capital</t>
  </si>
  <si>
    <t>Employee Benefit</t>
  </si>
  <si>
    <t>Current Year Expense</t>
  </si>
  <si>
    <t>Current Year OCI</t>
  </si>
  <si>
    <t>Benefit Paid</t>
  </si>
  <si>
    <t>Balance per BS</t>
  </si>
  <si>
    <t>PT Dummy - C and its subsidiaries</t>
  </si>
  <si>
    <t>December 31. 2024</t>
  </si>
  <si>
    <t>Loan Receivable Related Party, Net</t>
  </si>
  <si>
    <t>Payable to Shareholder</t>
  </si>
  <si>
    <t>Consumer Financing</t>
  </si>
  <si>
    <t>ok</t>
  </si>
  <si>
    <t>December 31. 2023 - Restated CF</t>
  </si>
  <si>
    <t>Dummy - F</t>
  </si>
  <si>
    <t>Receipt of loan, net</t>
  </si>
  <si>
    <t>OCI - Employee benefit</t>
  </si>
  <si>
    <t>Addition Due from related parties</t>
  </si>
  <si>
    <t>LAPORAN POSISI KEUANGAN KONSOLIDASI</t>
  </si>
  <si>
    <t>CONSOLIDATED STATEMENTS OF FINANCIAL POSITION</t>
  </si>
  <si>
    <t>Catatan/</t>
  </si>
  <si>
    <t>31 Desember 2023/</t>
  </si>
  <si>
    <t>31 Desember 2022/</t>
  </si>
  <si>
    <t>December 31, 2022</t>
  </si>
  <si>
    <t>ASET</t>
  </si>
  <si>
    <t>ASSETS</t>
  </si>
  <si>
    <t>ASET LANCAR</t>
  </si>
  <si>
    <t>CURRENT ASSETS</t>
  </si>
  <si>
    <t>Kas dan bank</t>
  </si>
  <si>
    <t>Cash and banks</t>
  </si>
  <si>
    <t>Piutang usaha</t>
  </si>
  <si>
    <t>Piutang sewa</t>
  </si>
  <si>
    <t>Lease Receivables</t>
  </si>
  <si>
    <t>Piutang lain-lain</t>
  </si>
  <si>
    <t>Other receivables</t>
  </si>
  <si>
    <t>Piutang pihak berelasi</t>
  </si>
  <si>
    <t>Due from related parties</t>
  </si>
  <si>
    <t>Beban dibayar dimuka</t>
  </si>
  <si>
    <t>Prepayments</t>
  </si>
  <si>
    <t>Pajak dibayar dimuka</t>
  </si>
  <si>
    <t>Prepaid taxes</t>
  </si>
  <si>
    <t>Restricted cash</t>
  </si>
  <si>
    <t>Aset lancar lain-lain</t>
  </si>
  <si>
    <t>Other current assets</t>
  </si>
  <si>
    <t>Total Aset Lancar</t>
  </si>
  <si>
    <t>Total current assets</t>
  </si>
  <si>
    <t>ASET TIDAK LANCAR</t>
  </si>
  <si>
    <t>NON-CURRENT ASSETS</t>
  </si>
  <si>
    <t>Piutang sewa - tidak lancar</t>
  </si>
  <si>
    <t>Aset tetap - bersih</t>
  </si>
  <si>
    <t>Fixed assets - net</t>
  </si>
  <si>
    <t>Aset Hak Guna</t>
  </si>
  <si>
    <t>Aset tak berwujud - bersih</t>
  </si>
  <si>
    <t>Intangible assets - net</t>
  </si>
  <si>
    <t>Piutang Pemegang saham</t>
  </si>
  <si>
    <t>Aset tidak lancar lainnya</t>
  </si>
  <si>
    <t>Total Aset Tidak Lancar</t>
  </si>
  <si>
    <t>Total Non - Current Assets</t>
  </si>
  <si>
    <t>TOTAL ASET</t>
  </si>
  <si>
    <t>LIABILITAS DAN EKUITAS</t>
  </si>
  <si>
    <t>LIABILITES AND EQUITY</t>
  </si>
  <si>
    <t>LIABILITAS JANGKA PENDEK</t>
  </si>
  <si>
    <t>Utang usaha dan utang lain-lain</t>
  </si>
  <si>
    <t>Utang sewa</t>
  </si>
  <si>
    <t>Lease Payables</t>
  </si>
  <si>
    <t>Utang Deposit</t>
  </si>
  <si>
    <t>Biaya yang masih harus dibayar</t>
  </si>
  <si>
    <t>Utang pihak berelasi</t>
  </si>
  <si>
    <t>Utang pajak lainnya</t>
  </si>
  <si>
    <t>Taxes payable - other taxes</t>
  </si>
  <si>
    <t>Total Liabilitas Jangka Pendek</t>
  </si>
  <si>
    <t>Total Current Liabilities</t>
  </si>
  <si>
    <t>LIABILITAS JANGKA PANJANG</t>
  </si>
  <si>
    <t>NON-CURRENT LIABILITIES</t>
  </si>
  <si>
    <t>Utang sewa - tidak lancar</t>
  </si>
  <si>
    <t>Lease liabilities - non current</t>
  </si>
  <si>
    <t>Liabilitas imbalan kerja</t>
  </si>
  <si>
    <t>Employee benefits obligation</t>
  </si>
  <si>
    <t>Utang Pajak Tangguhan</t>
  </si>
  <si>
    <t>Utang tidak lancar lainya</t>
  </si>
  <si>
    <t>Other non-current Liabilities</t>
  </si>
  <si>
    <t>Total Liabilitas Jangka Panjang</t>
  </si>
  <si>
    <t>Total Non - Current Liabilities</t>
  </si>
  <si>
    <t>TOTAL LIABILITAS</t>
  </si>
  <si>
    <t>EKUITAS</t>
  </si>
  <si>
    <t>Modal saham</t>
  </si>
  <si>
    <t>Akumulasi rugi</t>
  </si>
  <si>
    <t>Accumulated gain/losses</t>
  </si>
  <si>
    <t>Uang muka untuk modal saham</t>
  </si>
  <si>
    <t>Advance for share capital</t>
  </si>
  <si>
    <t>Cadangan kompensasi berbasis saham</t>
  </si>
  <si>
    <t>Capital proforma arising from restructuring under common control</t>
  </si>
  <si>
    <t>Kepentingan Non Pengendali</t>
  </si>
  <si>
    <t>Non controlling Interest</t>
  </si>
  <si>
    <t>Total Ekuitas</t>
  </si>
  <si>
    <t>TOTAL LIABILITAS DAN EKUITAS</t>
  </si>
  <si>
    <t>TOTAL LIABILITIES AND EQUITY</t>
  </si>
  <si>
    <t>Catatan atas laporan keuangan merupakan bagian yang</t>
  </si>
  <si>
    <t xml:space="preserve">                  The accompanying notes to financial statements </t>
  </si>
  <si>
    <t>tidak terpisahkan dari laporan keuangan secara keseluruhan.</t>
  </si>
  <si>
    <t xml:space="preserve">                  are an integral part of these financial statements.</t>
  </si>
  <si>
    <t>31 Desember 2024/</t>
  </si>
  <si>
    <t>December 31, 2024</t>
  </si>
  <si>
    <t>PT DUMMY - C DAN ENTITAS ANAK</t>
  </si>
  <si>
    <t>PT DUMMY - C AND SUBSIDIARIES</t>
  </si>
  <si>
    <t>DECEMBER 31, 2024, 2023 AND 2022</t>
  </si>
  <si>
    <t>31 DESEMBER 2024, 2023 DAN 2022</t>
  </si>
  <si>
    <t>Utang bank jangka pendek</t>
  </si>
  <si>
    <t>Short-term Bank Loan</t>
  </si>
  <si>
    <t>Penghasilan Komperhensif Lainya</t>
  </si>
  <si>
    <t>Utang Pembiayaan - jangka pendek</t>
  </si>
  <si>
    <t>Pendapatan diterima dimuka</t>
  </si>
  <si>
    <t>Utang Pembiayaan</t>
  </si>
  <si>
    <t>Selisih Nilai Transaksi entitas sepengendali</t>
  </si>
  <si>
    <t>Different value in transactions with entity under common control</t>
  </si>
  <si>
    <t>Audited</t>
  </si>
  <si>
    <t>As restated</t>
  </si>
  <si>
    <t>Balance as of December 31, 2023 as restated</t>
  </si>
  <si>
    <t>Balance as of December 31, 2024</t>
  </si>
  <si>
    <t xml:space="preserve">KOMPREHENSIF LAIN </t>
  </si>
  <si>
    <t>UNTUK TAHUN-TAHUN YANG BERAKHIR</t>
  </si>
  <si>
    <t>AND OTHER COMPREHENSIVE INCOME</t>
  </si>
  <si>
    <t>Professional fees</t>
  </si>
  <si>
    <t>Lain-lain, bersih</t>
  </si>
  <si>
    <t>Others - net</t>
  </si>
  <si>
    <t>RUGI TAHUN BERJALAN</t>
  </si>
  <si>
    <t>LOSS FOR THE YEAR</t>
  </si>
  <si>
    <t>Item yang tidak akan direklasifikasi ke laba rugi:</t>
  </si>
  <si>
    <t>Items that will not be reclassified to profit or loss:</t>
  </si>
  <si>
    <t>- Pengukuran kembali liabilitas imbalan</t>
  </si>
  <si>
    <t>- Remerasurementof employee benefits</t>
  </si>
  <si>
    <t>kerja, setelah pajak</t>
  </si>
  <si>
    <t>obligation, net of tax</t>
  </si>
  <si>
    <t>JUMLAH PENGHASILAN (RUGI) KOMPREHENSIF</t>
  </si>
  <si>
    <t xml:space="preserve">TOTAL COMPREHENSIVE INCOME (LOSS) </t>
  </si>
  <si>
    <t>TAHUN BERJALAN</t>
  </si>
  <si>
    <t>FOR THE YEAR</t>
  </si>
  <si>
    <t>GROSS PROFIT</t>
  </si>
  <si>
    <t>Pendapatan</t>
  </si>
  <si>
    <t>Beban Pokok Pendapatan</t>
  </si>
  <si>
    <t>Depresiasi dan Amortisasi</t>
  </si>
  <si>
    <t>Kerugian penurunan nilai aset keuangan</t>
  </si>
  <si>
    <t>LABA BRUTO</t>
  </si>
  <si>
    <t>BEBAN USAHA</t>
  </si>
  <si>
    <t>Umum dan administrasi</t>
  </si>
  <si>
    <t>Penjualan dan Pemasaran</t>
  </si>
  <si>
    <t>General and administration</t>
  </si>
  <si>
    <t>Sales and Marketing</t>
  </si>
  <si>
    <t>Rugi penurunan nilai aset tetap, aset takberwujud dan aset hak guna</t>
  </si>
  <si>
    <t>dan aset hak guna</t>
  </si>
  <si>
    <t>Total Beban Usaha</t>
  </si>
  <si>
    <t>Total Operating Expense</t>
  </si>
  <si>
    <t xml:space="preserve">Right of used assets </t>
  </si>
  <si>
    <t>Impairment Loss on fixed assets, intangible assets and</t>
  </si>
  <si>
    <t>RUGI USAHA</t>
  </si>
  <si>
    <t>OPERATING LOSS</t>
  </si>
  <si>
    <t>PENGHASILAN (BEBAN) LAIN-LAIN</t>
  </si>
  <si>
    <t>OTHER INCOME (EXPENSES)</t>
  </si>
  <si>
    <t>Penghasilan Bunga</t>
  </si>
  <si>
    <t>Beban Bunga</t>
  </si>
  <si>
    <t>Interest Expense</t>
  </si>
  <si>
    <t>Untung Selisih Kurs Neto</t>
  </si>
  <si>
    <t>Gain On foreign exchange, net</t>
  </si>
  <si>
    <t>Total beban lain-lain, neto</t>
  </si>
  <si>
    <t>Total other expenses, net</t>
  </si>
  <si>
    <t>LOSS BEFORE INCOME TAX EXPENSE</t>
  </si>
  <si>
    <t xml:space="preserve">RUGI SEBELUM BEBAN PAJAK </t>
  </si>
  <si>
    <t>PENGHASILAN</t>
  </si>
  <si>
    <t>BEBAN PAJAK PENGHASILAN</t>
  </si>
  <si>
    <t>RUGI TAHUN BERJALAN SEBELUM</t>
  </si>
  <si>
    <t>NET LOSS FOR THE YEAR BEFORE EFFECT OF PROFORMA ADJUSTMENT</t>
  </si>
  <si>
    <t>LOSS FOR THE YEAR BEFORE</t>
  </si>
  <si>
    <t>EFFECT OF PROFORMA ADJUSTMENT</t>
  </si>
  <si>
    <t>EFEK PENYESUAIAN PROFORMA</t>
  </si>
  <si>
    <t>EFEK DARI PENYESUAIAN PROFORMA</t>
  </si>
  <si>
    <t>ATAS LABA TAHUN BERJALAN</t>
  </si>
  <si>
    <t xml:space="preserve">EFFECT OF PROFORMA ADJUSTMENT </t>
  </si>
  <si>
    <t>ON NET INCOME FOR THE YEAR</t>
  </si>
  <si>
    <t>PENGHASILAN KOMPERHENSIF LAIN</t>
  </si>
  <si>
    <t>OTHER COMPERHENSIVE INCOME</t>
  </si>
  <si>
    <t>PT DUMMY - C AND ITS SUBSIDIARIES</t>
  </si>
  <si>
    <t>FOR THE YEARS ENDED DECEMBER 31, 2024, 2023 AND 2022</t>
  </si>
  <si>
    <t>LAPORAN LABA RUGI DAN PENGHASILAN KONSOLIDASI</t>
  </si>
  <si>
    <t>CONSOLIDATED STATEMENTS OF PROFIT OR LOSS</t>
  </si>
  <si>
    <t>Writing Off AR</t>
  </si>
  <si>
    <t>Acquisition of Subsidiaries</t>
  </si>
  <si>
    <t>(Disajikan dalam Rupiah, kecuali dinyatakan lain)</t>
  </si>
  <si>
    <t>(Expressed in Rupiah, unless otherwise stated)</t>
  </si>
  <si>
    <t xml:space="preserve">    </t>
  </si>
  <si>
    <t>Add: Net change ar to cash</t>
  </si>
  <si>
    <t>Add: Net movement of Unearned</t>
  </si>
  <si>
    <t>less: non-cash transaction related to AR</t>
  </si>
  <si>
    <t>Direct</t>
  </si>
  <si>
    <t>Related Party AP</t>
  </si>
  <si>
    <t>Account Receivable</t>
  </si>
  <si>
    <t>Account Receivable</t>
  </si>
  <si>
    <t>Account Receivable</t>
  </si>
  <si>
    <t>#STRESs from PT Dummy - S  [SNTRess]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</si>
</sst>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.000_-;\-* #,##0.000_-;_-* &quot;-&quot;???_-;_-@_-"/>
    <numFmt numFmtId="168" formatCode="0.0%"/>
    <numFmt numFmtId="169" formatCode="_-* #,##0_-;\-* #,##0_-;_-* &quot;-&quot;??_-;_-@_-"/>
    <numFmt numFmtId="170" formatCode="_(* #,##0.0_);_(* \(#,##0.0\);_(* &quot;-&quot;??_);_(@_)"/>
    <numFmt numFmtId="171" formatCode="_-* #,##0.0_-;\-* #,##0.0_-;_-* &quot;-&quot;?_-;_-@_-"/>
    <numFmt numFmtId="172" formatCode="_ * #,##0.00_ ;_ * \-#,##0.00_ ;_ * &quot;-&quot;??_ ;_ @_ "/>
    <numFmt numFmtId="173" formatCode="[$-F400]h:mm:ss\ AM/PM"/>
  </numFmts>
  <fonts count="9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EYInterstate Light"/>
    </font>
    <font>
      <b/>
      <sz val="10"/>
      <color theme="1"/>
      <name val="EYInterstate Light"/>
    </font>
    <font>
      <b/>
      <sz val="10"/>
      <color indexed="10"/>
      <name val="EYInterstate Light"/>
    </font>
    <font>
      <sz val="10"/>
      <name val="Times New Roman"/>
      <family val="1"/>
    </font>
    <font>
      <sz val="10"/>
      <name val="EYInterstate Light"/>
    </font>
    <font>
      <sz val="10"/>
      <color theme="1"/>
      <name val="EYInterstate Light"/>
      <family val="2"/>
    </font>
    <font>
      <sz val="10"/>
      <name val="Arial"/>
      <family val="2"/>
    </font>
    <font>
      <b/>
      <sz val="9"/>
      <color theme="1"/>
      <name val="EYInterstate Light"/>
    </font>
    <font>
      <sz val="9"/>
      <name val="EYInterstate Light"/>
    </font>
    <font>
      <b/>
      <sz val="10"/>
      <color theme="1"/>
      <name val="EYInterstate Light"/>
      <family val="2"/>
    </font>
    <font>
      <b/>
      <sz val="10"/>
      <color rgb="FFFF0000"/>
      <name val="EYInterstate Light"/>
    </font>
    <font>
      <sz val="12"/>
      <name val="Arial"/>
      <family val="2"/>
    </font>
    <font>
      <b/>
      <sz val="10"/>
      <color indexed="10"/>
      <name val="System"/>
    </font>
    <font>
      <b/>
      <u/>
      <sz val="10"/>
      <color theme="1"/>
      <name val="EYInterstate Light"/>
    </font>
    <font>
      <b/>
      <sz val="10"/>
      <name val="EYInterstate Light"/>
    </font>
    <font>
      <b/>
      <u/>
      <sz val="10"/>
      <name val="EYInterstate Light"/>
    </font>
    <font>
      <b/>
      <strike/>
      <sz val="10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EYInterstate Light"/>
    </font>
    <font>
      <sz val="10"/>
      <color indexed="12"/>
      <name val="EYInterstate Light"/>
    </font>
    <font>
      <sz val="10"/>
      <color indexed="10"/>
      <name val="EYInterstate Light"/>
    </font>
    <font>
      <sz val="10"/>
      <color theme="0"/>
      <name val="EYInterstate Light"/>
    </font>
    <font>
      <i/>
      <sz val="10"/>
      <color theme="1"/>
      <name val="EYInterstate Light"/>
    </font>
    <font>
      <sz val="10"/>
      <color rgb="FF0070C0"/>
      <name val="EYInterstate Light"/>
    </font>
    <font>
      <sz val="11"/>
      <color theme="1"/>
      <name val="EYInterstate Light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FF0000"/>
      <name val="Calibri"/>
      <family val="2"/>
    </font>
    <font>
      <b/>
      <sz val="10"/>
      <color theme="1"/>
      <name val="Calibri"/>
      <family val="2"/>
    </font>
    <font>
      <b/>
      <i/>
      <sz val="9"/>
      <color rgb="FFFF0000"/>
      <name val="Calibri"/>
      <family val="2"/>
    </font>
    <font>
      <b/>
      <u/>
      <sz val="9"/>
      <color theme="1"/>
      <name val="Calibri"/>
      <family val="2"/>
    </font>
    <font>
      <sz val="9"/>
      <color rgb="FFFF0000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u/>
      <sz val="10"/>
      <color rgb="FF0000FF"/>
      <name val="EYInterstate Light"/>
    </font>
    <font>
      <i/>
      <sz val="10"/>
      <name val="EYInterstate Light"/>
    </font>
    <font>
      <b/>
      <sz val="9"/>
      <name val="EYInterstate Light"/>
    </font>
    <font>
      <sz val="9"/>
      <color theme="1"/>
      <name val="EYInterstate Light"/>
    </font>
    <font>
      <b/>
      <i/>
      <sz val="9"/>
      <color theme="1"/>
      <name val="EYInterstate Light"/>
    </font>
    <font>
      <b/>
      <sz val="9"/>
      <color theme="0"/>
      <name val="EYInterstate Light"/>
    </font>
    <font>
      <sz val="11"/>
      <color indexed="8"/>
      <name val="Calibri"/>
      <family val="2"/>
    </font>
    <font>
      <b/>
      <u/>
      <sz val="9"/>
      <color rgb="FF0000FF"/>
      <name val="EYInterstate Light"/>
    </font>
    <font>
      <b/>
      <sz val="9"/>
      <color rgb="FFFF0000"/>
      <name val="EYInterstate Light"/>
    </font>
    <font>
      <b/>
      <sz val="9"/>
      <color rgb="FF0000FF"/>
      <name val="EYInterstate Light"/>
    </font>
    <font>
      <sz val="9"/>
      <color theme="4"/>
      <name val="EYInterstate Light"/>
    </font>
    <font>
      <sz val="9"/>
      <color rgb="FFFF0000"/>
      <name val="EYInterstate Light"/>
    </font>
    <font>
      <sz val="9"/>
      <color rgb="FF0000FF"/>
      <name val="EYInterstate Light"/>
    </font>
    <font>
      <b/>
      <i/>
      <sz val="9"/>
      <name val="EYInterstate Light"/>
    </font>
    <font>
      <sz val="12"/>
      <name val="Tms Rmn"/>
    </font>
    <font>
      <b/>
      <sz val="11"/>
      <name val="EYInterstate Light"/>
    </font>
    <font>
      <sz val="12"/>
      <name val="Times New Roman"/>
      <family val="1"/>
    </font>
    <font>
      <sz val="11"/>
      <name val="EYInterstate Light"/>
    </font>
    <font>
      <i/>
      <sz val="11"/>
      <color rgb="FFFF0000"/>
      <name val="EYInterstate Light"/>
    </font>
    <font>
      <u/>
      <sz val="10"/>
      <name val="EYInterstate Light"/>
    </font>
    <font>
      <b/>
      <sz val="10"/>
      <color theme="0"/>
      <name val="EYInterstate Light"/>
    </font>
    <font>
      <b/>
      <u/>
      <sz val="10"/>
      <color theme="0"/>
      <name val="EYInterstate Light"/>
    </font>
    <font>
      <u/>
      <sz val="10"/>
      <color theme="0"/>
      <name val="EYInterstate Light"/>
    </font>
    <font>
      <sz val="10"/>
      <name val="EYInterstate Light"/>
      <family val="2"/>
    </font>
    <font>
      <b/>
      <i/>
      <sz val="10"/>
      <name val="EYInterstate Light"/>
    </font>
    <font>
      <b/>
      <i/>
      <sz val="10"/>
      <color theme="1"/>
      <name val="EYInterstate Light"/>
    </font>
    <font>
      <b/>
      <sz val="10"/>
      <name val="EYInterstate Light"/>
      <family val="2"/>
    </font>
    <font>
      <sz val="11"/>
      <color theme="4"/>
      <name val="EYInterstate Light"/>
    </font>
    <font>
      <b/>
      <sz val="10"/>
      <color theme="1"/>
      <name val="Calibri Light"/>
      <family val="2"/>
    </font>
    <font>
      <sz val="10"/>
      <color theme="1"/>
      <name val="Calibri Light"/>
      <family val="2"/>
    </font>
    <font>
      <b/>
      <sz val="10"/>
      <color rgb="FF0000FF"/>
      <name val="Calibri Light"/>
      <family val="2"/>
    </font>
    <font>
      <i/>
      <sz val="10"/>
      <color theme="1"/>
      <name val="Calibri Light"/>
      <family val="2"/>
    </font>
    <font>
      <b/>
      <u/>
      <sz val="10"/>
      <color theme="1"/>
      <name val="Calibri Light"/>
      <family val="2"/>
    </font>
    <font>
      <b/>
      <sz val="9"/>
      <color indexed="8"/>
      <name val="EYInterstate Light"/>
    </font>
    <font>
      <i/>
      <sz val="9"/>
      <name val="EYInterstate Light"/>
    </font>
    <font>
      <i/>
      <sz val="9"/>
      <color rgb="FF3333FF"/>
      <name val="EYInterstate Light"/>
    </font>
    <font>
      <b/>
      <u/>
      <sz val="9"/>
      <color rgb="FFFF0000"/>
      <name val="EYInterstate Light"/>
    </font>
    <font>
      <b/>
      <u val="singleAccounting"/>
      <sz val="10"/>
      <color theme="1"/>
      <name val="Calibri Light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rgb="FFFF000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1"/>
      <color indexed="8"/>
      <name val="Aptos Narrow"/>
      <family val="2"/>
      <scheme val="minor"/>
    </font>
    <font>
      <sz val="10"/>
      <color theme="1"/>
      <name val="Arial Unicode MS"/>
      <family val="2"/>
    </font>
    <font>
      <u/>
      <sz val="10"/>
      <color theme="10"/>
      <name val="Arial Unicode MS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u/>
      <sz val="10"/>
      <color rgb="FF0563C1"/>
      <name val="Georgia"/>
      <family val="1"/>
    </font>
    <font>
      <sz val="11"/>
      <color theme="1"/>
      <name val="Aptos Narrow"/>
      <family val="2"/>
      <charset val="238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EFE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97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/>
    <xf numFmtId="0" fontId="8" fillId="0" borderId="0"/>
    <xf numFmtId="0" fontId="9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4" fillId="0" borderId="0"/>
    <xf numFmtId="43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8" fillId="0" borderId="0"/>
    <xf numFmtId="0" fontId="9" fillId="0" borderId="0"/>
    <xf numFmtId="9" fontId="1" fillId="0" borderId="0" applyFont="0" applyFill="0" applyBorder="0" applyAlignment="0" applyProtection="0"/>
    <xf numFmtId="0" fontId="6" fillId="0" borderId="0"/>
    <xf numFmtId="41" fontId="8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0" fontId="1" fillId="0" borderId="0"/>
    <xf numFmtId="43" fontId="44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4" fillId="0" borderId="0"/>
    <xf numFmtId="0" fontId="9" fillId="0" borderId="0"/>
    <xf numFmtId="0" fontId="9" fillId="0" borderId="0"/>
    <xf numFmtId="0" fontId="9" fillId="0" borderId="0"/>
    <xf numFmtId="0" fontId="9" fillId="0" borderId="0"/>
    <xf numFmtId="41" fontId="9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2" fillId="0" borderId="0"/>
    <xf numFmtId="165" fontId="82" fillId="0" borderId="0" applyFont="0" applyFill="0" applyBorder="0" applyAlignment="0" applyProtection="0"/>
    <xf numFmtId="0" fontId="8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84" fillId="0" borderId="0" applyFont="0" applyFill="0" applyBorder="0" applyAlignment="0" applyProtection="0"/>
    <xf numFmtId="0" fontId="9" fillId="0" borderId="0">
      <protection locked="0"/>
    </xf>
    <xf numFmtId="0" fontId="9" fillId="0" borderId="0">
      <protection locked="0"/>
    </xf>
    <xf numFmtId="165" fontId="1" fillId="0" borderId="0" applyFont="0" applyFill="0" applyBorder="0" applyAlignment="0" applyProtection="0"/>
    <xf numFmtId="0" fontId="8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86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4" fillId="0" borderId="0" applyFont="0" applyFill="0" applyBorder="0" applyAlignment="0" applyProtection="0"/>
    <xf numFmtId="0" fontId="80" fillId="0" borderId="0"/>
    <xf numFmtId="0" fontId="87" fillId="0" borderId="0"/>
    <xf numFmtId="165" fontId="87" fillId="0" borderId="0" applyFont="0" applyFill="0" applyBorder="0" applyAlignment="0" applyProtection="0"/>
    <xf numFmtId="165" fontId="84" fillId="0" borderId="0" applyFont="0" applyFill="0" applyBorder="0" applyAlignment="0" applyProtection="0"/>
    <xf numFmtId="0" fontId="88" fillId="0" borderId="0" applyNumberFormat="0" applyFill="0" applyBorder="0" applyAlignment="0">
      <alignment vertical="top"/>
      <protection locked="0"/>
    </xf>
    <xf numFmtId="165" fontId="84" fillId="0" borderId="0" applyFont="0" applyFill="0" applyBorder="0" applyAlignment="0" applyProtection="0"/>
    <xf numFmtId="0" fontId="89" fillId="0" borderId="0"/>
    <xf numFmtId="165" fontId="1" fillId="0" borderId="0" applyFont="0" applyFill="0" applyBorder="0" applyAlignment="0" applyProtection="0"/>
    <xf numFmtId="172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82" fillId="0" borderId="0"/>
    <xf numFmtId="0" fontId="82" fillId="0" borderId="0"/>
    <xf numFmtId="165" fontId="1" fillId="0" borderId="0" applyFont="0" applyFill="0" applyBorder="0" applyAlignment="0" applyProtection="0"/>
    <xf numFmtId="0" fontId="82" fillId="0" borderId="0"/>
    <xf numFmtId="0" fontId="1" fillId="0" borderId="0"/>
    <xf numFmtId="0" fontId="82" fillId="0" borderId="0"/>
    <xf numFmtId="0" fontId="1" fillId="0" borderId="0"/>
    <xf numFmtId="165" fontId="1" fillId="0" borderId="0" applyFont="0" applyFill="0" applyBorder="0" applyAlignment="0" applyProtection="0"/>
    <xf numFmtId="173" fontId="84" fillId="0" borderId="0"/>
    <xf numFmtId="165" fontId="1" fillId="0" borderId="0" applyFont="0" applyFill="0" applyBorder="0" applyAlignment="0" applyProtection="0"/>
    <xf numFmtId="0" fontId="1" fillId="0" borderId="0"/>
  </cellStyleXfs>
  <cellXfs count="682">
    <xf numFmtId="0" fontId="0" fillId="0" borderId="0" xfId="0"/>
    <xf numFmtId="0" fontId="3" fillId="2" borderId="1" xfId="4" applyFont="1" applyFill="1" applyBorder="1"/>
    <xf numFmtId="0" fontId="4" fillId="2" borderId="1" xfId="4" applyFont="1" applyFill="1" applyBorder="1"/>
    <xf numFmtId="0" fontId="3" fillId="2" borderId="2" xfId="4" applyFont="1" applyFill="1" applyBorder="1" applyAlignment="1">
      <alignment horizontal="center" vertical="center"/>
    </xf>
    <xf numFmtId="166" fontId="3" fillId="2" borderId="2" xfId="5" applyNumberFormat="1" applyFont="1" applyFill="1" applyBorder="1" applyAlignment="1">
      <alignment horizontal="center" vertical="center"/>
    </xf>
    <xf numFmtId="0" fontId="3" fillId="2" borderId="2" xfId="4" applyFont="1" applyFill="1" applyBorder="1"/>
    <xf numFmtId="0" fontId="3" fillId="2" borderId="3" xfId="4" applyFont="1" applyFill="1" applyBorder="1"/>
    <xf numFmtId="0" fontId="3" fillId="2" borderId="0" xfId="4" applyFont="1" applyFill="1"/>
    <xf numFmtId="0" fontId="3" fillId="2" borderId="4" xfId="4" applyFont="1" applyFill="1" applyBorder="1"/>
    <xf numFmtId="0" fontId="4" fillId="2" borderId="5" xfId="4" applyFont="1" applyFill="1" applyBorder="1"/>
    <xf numFmtId="166" fontId="3" fillId="2" borderId="6" xfId="4" applyNumberFormat="1" applyFont="1" applyFill="1" applyBorder="1" applyAlignment="1">
      <alignment horizontal="center" vertical="center"/>
    </xf>
    <xf numFmtId="0" fontId="3" fillId="2" borderId="6" xfId="4" applyFont="1" applyFill="1" applyBorder="1" applyAlignment="1">
      <alignment horizontal="center" vertical="center"/>
    </xf>
    <xf numFmtId="166" fontId="3" fillId="2" borderId="6" xfId="5" applyNumberFormat="1" applyFont="1" applyFill="1" applyBorder="1" applyAlignment="1">
      <alignment horizontal="center" vertical="center"/>
    </xf>
    <xf numFmtId="0" fontId="3" fillId="2" borderId="6" xfId="4" applyFont="1" applyFill="1" applyBorder="1"/>
    <xf numFmtId="0" fontId="3" fillId="2" borderId="7" xfId="4" applyFont="1" applyFill="1" applyBorder="1"/>
    <xf numFmtId="0" fontId="4" fillId="2" borderId="4" xfId="4" applyFont="1" applyFill="1" applyBorder="1"/>
    <xf numFmtId="166" fontId="3" fillId="2" borderId="2" xfId="4" applyNumberFormat="1" applyFont="1" applyFill="1" applyBorder="1" applyAlignment="1">
      <alignment horizontal="center" vertical="center"/>
    </xf>
    <xf numFmtId="0" fontId="4" fillId="2" borderId="5" xfId="4" quotePrefix="1" applyFont="1" applyFill="1" applyBorder="1"/>
    <xf numFmtId="0" fontId="3" fillId="2" borderId="6" xfId="4" applyFont="1" applyFill="1" applyBorder="1" applyAlignment="1">
      <alignment horizontal="right"/>
    </xf>
    <xf numFmtId="0" fontId="3" fillId="2" borderId="7" xfId="4" applyFont="1" applyFill="1" applyBorder="1" applyAlignment="1">
      <alignment horizontal="right"/>
    </xf>
    <xf numFmtId="0" fontId="4" fillId="2" borderId="0" xfId="4" applyFont="1" applyFill="1"/>
    <xf numFmtId="0" fontId="4" fillId="2" borderId="0" xfId="4" quotePrefix="1" applyFont="1" applyFill="1"/>
    <xf numFmtId="41" fontId="5" fillId="2" borderId="0" xfId="6" applyFont="1" applyFill="1" applyBorder="1" applyAlignment="1">
      <alignment horizontal="center" vertical="center"/>
    </xf>
    <xf numFmtId="0" fontId="3" fillId="2" borderId="0" xfId="4" applyFont="1" applyFill="1" applyAlignment="1">
      <alignment horizontal="center" vertical="center"/>
    </xf>
    <xf numFmtId="0" fontId="3" fillId="2" borderId="0" xfId="4" applyFont="1" applyFill="1" applyAlignment="1">
      <alignment horizontal="right"/>
    </xf>
    <xf numFmtId="0" fontId="1" fillId="2" borderId="0" xfId="4" applyFill="1"/>
    <xf numFmtId="0" fontId="7" fillId="2" borderId="0" xfId="7" applyFont="1" applyFill="1"/>
    <xf numFmtId="0" fontId="3" fillId="2" borderId="0" xfId="8" applyFont="1" applyFill="1"/>
    <xf numFmtId="166" fontId="3" fillId="2" borderId="0" xfId="8" applyNumberFormat="1" applyFont="1" applyFill="1"/>
    <xf numFmtId="0" fontId="10" fillId="2" borderId="0" xfId="9" applyFont="1" applyFill="1"/>
    <xf numFmtId="166" fontId="11" fillId="2" borderId="0" xfId="9" applyNumberFormat="1" applyFont="1" applyFill="1"/>
    <xf numFmtId="0" fontId="12" fillId="3" borderId="8" xfId="8" applyFont="1" applyFill="1" applyBorder="1" applyAlignment="1">
      <alignment horizontal="center"/>
    </xf>
    <xf numFmtId="0" fontId="13" fillId="2" borderId="0" xfId="4" applyFont="1" applyFill="1" applyAlignment="1">
      <alignment vertical="center"/>
    </xf>
    <xf numFmtId="166" fontId="4" fillId="3" borderId="1" xfId="10" applyNumberFormat="1" applyFont="1" applyFill="1" applyBorder="1" applyAlignment="1">
      <alignment horizontal="center" vertical="center"/>
    </xf>
    <xf numFmtId="166" fontId="4" fillId="3" borderId="3" xfId="10" applyNumberFormat="1" applyFont="1" applyFill="1" applyBorder="1" applyAlignment="1">
      <alignment horizontal="center" vertical="center"/>
    </xf>
    <xf numFmtId="0" fontId="4" fillId="4" borderId="9" xfId="8" applyFont="1" applyFill="1" applyBorder="1" applyAlignment="1">
      <alignment horizontal="center"/>
    </xf>
    <xf numFmtId="0" fontId="4" fillId="4" borderId="9" xfId="8" applyFont="1" applyFill="1" applyBorder="1" applyAlignment="1">
      <alignment horizontal="center" wrapText="1"/>
    </xf>
    <xf numFmtId="0" fontId="4" fillId="3" borderId="9" xfId="8" applyFont="1" applyFill="1" applyBorder="1" applyAlignment="1">
      <alignment horizontal="center"/>
    </xf>
    <xf numFmtId="0" fontId="4" fillId="5" borderId="10" xfId="8" applyFont="1" applyFill="1" applyBorder="1" applyAlignment="1">
      <alignment horizontal="center"/>
    </xf>
    <xf numFmtId="0" fontId="4" fillId="4" borderId="10" xfId="8" applyFont="1" applyFill="1" applyBorder="1" applyAlignment="1">
      <alignment horizontal="center"/>
    </xf>
    <xf numFmtId="0" fontId="4" fillId="2" borderId="0" xfId="8" applyFont="1" applyFill="1"/>
    <xf numFmtId="166" fontId="4" fillId="3" borderId="4" xfId="10" applyNumberFormat="1" applyFont="1" applyFill="1" applyBorder="1" applyAlignment="1">
      <alignment horizontal="center" vertical="center"/>
    </xf>
    <xf numFmtId="166" fontId="4" fillId="3" borderId="13" xfId="10" applyNumberFormat="1" applyFont="1" applyFill="1" applyBorder="1" applyAlignment="1">
      <alignment horizontal="center" vertical="center"/>
    </xf>
    <xf numFmtId="15" fontId="4" fillId="4" borderId="14" xfId="8" quotePrefix="1" applyNumberFormat="1" applyFont="1" applyFill="1" applyBorder="1" applyAlignment="1">
      <alignment horizontal="center"/>
    </xf>
    <xf numFmtId="0" fontId="4" fillId="4" borderId="14" xfId="8" applyFont="1" applyFill="1" applyBorder="1" applyAlignment="1">
      <alignment horizontal="center" wrapText="1"/>
    </xf>
    <xf numFmtId="15" fontId="4" fillId="3" borderId="14" xfId="8" quotePrefix="1" applyNumberFormat="1" applyFont="1" applyFill="1" applyBorder="1" applyAlignment="1">
      <alignment horizontal="center"/>
    </xf>
    <xf numFmtId="15" fontId="4" fillId="5" borderId="14" xfId="8" quotePrefix="1" applyNumberFormat="1" applyFont="1" applyFill="1" applyBorder="1" applyAlignment="1">
      <alignment horizontal="center"/>
    </xf>
    <xf numFmtId="166" fontId="3" fillId="2" borderId="1" xfId="10" applyNumberFormat="1" applyFont="1" applyFill="1" applyBorder="1"/>
    <xf numFmtId="0" fontId="3" fillId="2" borderId="3" xfId="8" applyFont="1" applyFill="1" applyBorder="1"/>
    <xf numFmtId="166" fontId="7" fillId="2" borderId="15" xfId="11" applyNumberFormat="1" applyFont="1" applyFill="1" applyBorder="1"/>
    <xf numFmtId="0" fontId="15" fillId="2" borderId="15" xfId="12" quotePrefix="1" applyFont="1" applyFill="1" applyBorder="1" applyAlignment="1">
      <alignment horizontal="center" vertical="center"/>
    </xf>
    <xf numFmtId="0" fontId="16" fillId="2" borderId="4" xfId="9" applyFont="1" applyFill="1" applyBorder="1"/>
    <xf numFmtId="0" fontId="3" fillId="2" borderId="13" xfId="8" applyFont="1" applyFill="1" applyBorder="1"/>
    <xf numFmtId="166" fontId="4" fillId="2" borderId="4" xfId="10" applyNumberFormat="1" applyFont="1" applyFill="1" applyBorder="1"/>
    <xf numFmtId="0" fontId="3" fillId="2" borderId="4" xfId="8" applyFont="1" applyFill="1" applyBorder="1" applyAlignment="1">
      <alignment horizontal="left" indent="1"/>
    </xf>
    <xf numFmtId="167" fontId="3" fillId="2" borderId="0" xfId="8" applyNumberFormat="1" applyFont="1" applyFill="1"/>
    <xf numFmtId="0" fontId="3" fillId="2" borderId="4" xfId="8" applyFont="1" applyFill="1" applyBorder="1" applyAlignment="1">
      <alignment horizontal="left" indent="3"/>
    </xf>
    <xf numFmtId="0" fontId="7" fillId="2" borderId="4" xfId="8" applyFont="1" applyFill="1" applyBorder="1" applyAlignment="1">
      <alignment horizontal="left" indent="1"/>
    </xf>
    <xf numFmtId="166" fontId="3" fillId="2" borderId="5" xfId="10" applyNumberFormat="1" applyFont="1" applyFill="1" applyBorder="1"/>
    <xf numFmtId="0" fontId="3" fillId="2" borderId="7" xfId="8" applyFont="1" applyFill="1" applyBorder="1"/>
    <xf numFmtId="166" fontId="17" fillId="2" borderId="10" xfId="10" applyNumberFormat="1" applyFont="1" applyFill="1" applyBorder="1"/>
    <xf numFmtId="0" fontId="17" fillId="2" borderId="12" xfId="8" applyFont="1" applyFill="1" applyBorder="1"/>
    <xf numFmtId="166" fontId="17" fillId="2" borderId="8" xfId="11" applyNumberFormat="1" applyFont="1" applyFill="1" applyBorder="1"/>
    <xf numFmtId="0" fontId="17" fillId="2" borderId="0" xfId="8" applyFont="1" applyFill="1"/>
    <xf numFmtId="41" fontId="5" fillId="2" borderId="9" xfId="6" applyFont="1" applyFill="1" applyBorder="1" applyAlignment="1">
      <alignment horizontal="center" vertical="center"/>
    </xf>
    <xf numFmtId="165" fontId="3" fillId="2" borderId="0" xfId="8" applyNumberFormat="1" applyFont="1" applyFill="1"/>
    <xf numFmtId="166" fontId="4" fillId="2" borderId="10" xfId="10" applyNumberFormat="1" applyFont="1" applyFill="1" applyBorder="1"/>
    <xf numFmtId="0" fontId="3" fillId="2" borderId="12" xfId="8" applyFont="1" applyFill="1" applyBorder="1"/>
    <xf numFmtId="166" fontId="7" fillId="2" borderId="15" xfId="13" applyNumberFormat="1" applyFont="1" applyFill="1" applyBorder="1"/>
    <xf numFmtId="165" fontId="3" fillId="2" borderId="0" xfId="1" applyFont="1" applyFill="1"/>
    <xf numFmtId="0" fontId="7" fillId="2" borderId="4" xfId="4" applyFont="1" applyFill="1" applyBorder="1" applyAlignment="1">
      <alignment horizontal="left" indent="1"/>
    </xf>
    <xf numFmtId="0" fontId="7" fillId="2" borderId="13" xfId="8" applyFont="1" applyFill="1" applyBorder="1"/>
    <xf numFmtId="166" fontId="7" fillId="2" borderId="15" xfId="5" applyNumberFormat="1" applyFont="1" applyFill="1" applyBorder="1"/>
    <xf numFmtId="166" fontId="4" fillId="2" borderId="8" xfId="11" applyNumberFormat="1" applyFont="1" applyFill="1" applyBorder="1"/>
    <xf numFmtId="166" fontId="7" fillId="2" borderId="1" xfId="10" applyNumberFormat="1" applyFont="1" applyFill="1" applyBorder="1"/>
    <xf numFmtId="0" fontId="7" fillId="2" borderId="3" xfId="8" applyFont="1" applyFill="1" applyBorder="1"/>
    <xf numFmtId="166" fontId="17" fillId="2" borderId="4" xfId="10" applyNumberFormat="1" applyFont="1" applyFill="1" applyBorder="1"/>
    <xf numFmtId="166" fontId="7" fillId="2" borderId="4" xfId="11" applyNumberFormat="1" applyFont="1" applyFill="1" applyBorder="1"/>
    <xf numFmtId="166" fontId="7" fillId="2" borderId="5" xfId="10" applyNumberFormat="1" applyFont="1" applyFill="1" applyBorder="1"/>
    <xf numFmtId="0" fontId="7" fillId="2" borderId="7" xfId="8" applyFont="1" applyFill="1" applyBorder="1"/>
    <xf numFmtId="0" fontId="7" fillId="2" borderId="12" xfId="8" applyFont="1" applyFill="1" applyBorder="1"/>
    <xf numFmtId="0" fontId="18" fillId="2" borderId="4" xfId="9" applyFont="1" applyFill="1" applyBorder="1"/>
    <xf numFmtId="0" fontId="7" fillId="2" borderId="4" xfId="8" quotePrefix="1" applyFont="1" applyFill="1" applyBorder="1" applyAlignment="1">
      <alignment horizontal="left" indent="1"/>
    </xf>
    <xf numFmtId="0" fontId="7" fillId="2" borderId="5" xfId="4" applyFont="1" applyFill="1" applyBorder="1" applyAlignment="1">
      <alignment horizontal="left" indent="1"/>
    </xf>
    <xf numFmtId="166" fontId="7" fillId="2" borderId="14" xfId="11" applyNumberFormat="1" applyFont="1" applyFill="1" applyBorder="1"/>
    <xf numFmtId="166" fontId="17" fillId="6" borderId="4" xfId="10" applyNumberFormat="1" applyFont="1" applyFill="1" applyBorder="1"/>
    <xf numFmtId="0" fontId="7" fillId="6" borderId="13" xfId="8" applyFont="1" applyFill="1" applyBorder="1"/>
    <xf numFmtId="166" fontId="7" fillId="6" borderId="15" xfId="13" applyNumberFormat="1" applyFont="1" applyFill="1" applyBorder="1"/>
    <xf numFmtId="166" fontId="7" fillId="6" borderId="15" xfId="11" applyNumberFormat="1" applyFont="1" applyFill="1" applyBorder="1"/>
    <xf numFmtId="166" fontId="3" fillId="6" borderId="0" xfId="8" applyNumberFormat="1" applyFont="1" applyFill="1"/>
    <xf numFmtId="0" fontId="3" fillId="6" borderId="0" xfId="8" applyFont="1" applyFill="1"/>
    <xf numFmtId="166" fontId="7" fillId="2" borderId="4" xfId="10" applyNumberFormat="1" applyFont="1" applyFill="1" applyBorder="1"/>
    <xf numFmtId="166" fontId="13" fillId="2" borderId="0" xfId="10" applyNumberFormat="1" applyFont="1" applyFill="1" applyBorder="1"/>
    <xf numFmtId="0" fontId="19" fillId="2" borderId="0" xfId="14" applyNumberFormat="1" applyFont="1" applyFill="1" applyAlignment="1">
      <alignment horizontal="center"/>
    </xf>
    <xf numFmtId="166" fontId="19" fillId="2" borderId="0" xfId="14" applyNumberFormat="1" applyFont="1" applyFill="1" applyAlignment="1">
      <alignment horizontal="center"/>
    </xf>
    <xf numFmtId="0" fontId="3" fillId="7" borderId="0" xfId="8" applyFont="1" applyFill="1"/>
    <xf numFmtId="166" fontId="3" fillId="7" borderId="0" xfId="8" applyNumberFormat="1" applyFont="1" applyFill="1"/>
    <xf numFmtId="41" fontId="3" fillId="2" borderId="6" xfId="6" applyFont="1" applyFill="1" applyBorder="1" applyAlignment="1">
      <alignment horizontal="center" vertical="center"/>
    </xf>
    <xf numFmtId="0" fontId="11" fillId="2" borderId="0" xfId="9" applyFont="1" applyFill="1"/>
    <xf numFmtId="15" fontId="4" fillId="3" borderId="8" xfId="8" applyNumberFormat="1" applyFont="1" applyFill="1" applyBorder="1" applyAlignment="1">
      <alignment horizontal="center"/>
    </xf>
    <xf numFmtId="15" fontId="4" fillId="3" borderId="11" xfId="8" applyNumberFormat="1" applyFont="1" applyFill="1" applyBorder="1" applyAlignment="1">
      <alignment horizontal="center"/>
    </xf>
    <xf numFmtId="0" fontId="3" fillId="3" borderId="11" xfId="8" applyFont="1" applyFill="1" applyBorder="1"/>
    <xf numFmtId="41" fontId="13" fillId="2" borderId="0" xfId="14" applyFont="1" applyFill="1" applyAlignment="1">
      <alignment horizontal="center" vertical="center"/>
    </xf>
    <xf numFmtId="15" fontId="4" fillId="4" borderId="9" xfId="8" applyNumberFormat="1" applyFont="1" applyFill="1" applyBorder="1" applyAlignment="1">
      <alignment horizontal="center"/>
    </xf>
    <xf numFmtId="15" fontId="4" fillId="3" borderId="9" xfId="8" applyNumberFormat="1" applyFont="1" applyFill="1" applyBorder="1" applyAlignment="1">
      <alignment horizontal="center"/>
    </xf>
    <xf numFmtId="15" fontId="4" fillId="5" borderId="1" xfId="8" applyNumberFormat="1" applyFont="1" applyFill="1" applyBorder="1" applyAlignment="1">
      <alignment horizontal="center"/>
    </xf>
    <xf numFmtId="0" fontId="4" fillId="4" borderId="12" xfId="8" applyFont="1" applyFill="1" applyBorder="1" applyAlignment="1">
      <alignment horizontal="center"/>
    </xf>
    <xf numFmtId="166" fontId="4" fillId="2" borderId="4" xfId="10" applyNumberFormat="1" applyFont="1" applyFill="1" applyBorder="1" applyAlignment="1">
      <alignment horizontal="center" vertical="center"/>
    </xf>
    <xf numFmtId="166" fontId="4" fillId="2" borderId="13" xfId="10" applyNumberFormat="1" applyFont="1" applyFill="1" applyBorder="1" applyAlignment="1">
      <alignment horizontal="center" vertical="center"/>
    </xf>
    <xf numFmtId="166" fontId="7" fillId="2" borderId="8" xfId="11" applyNumberFormat="1" applyFont="1" applyFill="1" applyBorder="1"/>
    <xf numFmtId="0" fontId="15" fillId="2" borderId="8" xfId="12" quotePrefix="1" applyFont="1" applyFill="1" applyBorder="1" applyAlignment="1">
      <alignment horizontal="center" vertical="center"/>
    </xf>
    <xf numFmtId="0" fontId="3" fillId="2" borderId="13" xfId="8" applyFont="1" applyFill="1" applyBorder="1" applyAlignment="1">
      <alignment horizontal="left" indent="2"/>
    </xf>
    <xf numFmtId="166" fontId="17" fillId="2" borderId="4" xfId="10" applyNumberFormat="1" applyFont="1" applyFill="1" applyBorder="1" applyAlignment="1">
      <alignment horizontal="left"/>
    </xf>
    <xf numFmtId="0" fontId="7" fillId="2" borderId="13" xfId="8" applyFont="1" applyFill="1" applyBorder="1" applyAlignment="1">
      <alignment horizontal="left" indent="2"/>
    </xf>
    <xf numFmtId="0" fontId="7" fillId="2" borderId="4" xfId="16" applyFont="1" applyFill="1" applyBorder="1" applyAlignment="1">
      <alignment horizontal="left" indent="1"/>
    </xf>
    <xf numFmtId="0" fontId="7" fillId="2" borderId="13" xfId="8" applyFont="1" applyFill="1" applyBorder="1" applyAlignment="1">
      <alignment horizontal="left" indent="1"/>
    </xf>
    <xf numFmtId="166" fontId="17" fillId="2" borderId="1" xfId="10" applyNumberFormat="1" applyFont="1" applyFill="1" applyBorder="1"/>
    <xf numFmtId="0" fontId="17" fillId="2" borderId="3" xfId="8" applyFont="1" applyFill="1" applyBorder="1"/>
    <xf numFmtId="0" fontId="7" fillId="2" borderId="0" xfId="8" applyFont="1" applyFill="1" applyAlignment="1">
      <alignment horizontal="left" indent="1"/>
    </xf>
    <xf numFmtId="166" fontId="17" fillId="2" borderId="5" xfId="10" applyNumberFormat="1" applyFont="1" applyFill="1" applyBorder="1"/>
    <xf numFmtId="0" fontId="17" fillId="2" borderId="7" xfId="8" applyFont="1" applyFill="1" applyBorder="1"/>
    <xf numFmtId="0" fontId="7" fillId="2" borderId="5" xfId="8" applyFont="1" applyFill="1" applyBorder="1" applyAlignment="1">
      <alignment horizontal="left" indent="1"/>
    </xf>
    <xf numFmtId="0" fontId="17" fillId="2" borderId="4" xfId="8" applyFont="1" applyFill="1" applyBorder="1" applyAlignment="1">
      <alignment horizontal="left" indent="2"/>
    </xf>
    <xf numFmtId="0" fontId="17" fillId="2" borderId="13" xfId="8" applyFont="1" applyFill="1" applyBorder="1"/>
    <xf numFmtId="166" fontId="4" fillId="2" borderId="15" xfId="11" applyNumberFormat="1" applyFont="1" applyFill="1" applyBorder="1"/>
    <xf numFmtId="166" fontId="17" fillId="2" borderId="16" xfId="10" applyNumberFormat="1" applyFont="1" applyFill="1" applyBorder="1"/>
    <xf numFmtId="0" fontId="17" fillId="2" borderId="17" xfId="8" applyFont="1" applyFill="1" applyBorder="1"/>
    <xf numFmtId="166" fontId="4" fillId="2" borderId="18" xfId="11" applyNumberFormat="1" applyFont="1" applyFill="1" applyBorder="1"/>
    <xf numFmtId="166" fontId="7" fillId="2" borderId="4" xfId="10" applyNumberFormat="1" applyFont="1" applyFill="1" applyBorder="1" applyAlignment="1">
      <alignment horizontal="left"/>
    </xf>
    <xf numFmtId="166" fontId="3" fillId="2" borderId="15" xfId="11" applyNumberFormat="1" applyFont="1" applyFill="1" applyBorder="1"/>
    <xf numFmtId="166" fontId="7" fillId="2" borderId="5" xfId="10" applyNumberFormat="1" applyFont="1" applyFill="1" applyBorder="1" applyAlignment="1">
      <alignment horizontal="left"/>
    </xf>
    <xf numFmtId="166" fontId="17" fillId="2" borderId="16" xfId="10" applyNumberFormat="1" applyFont="1" applyFill="1" applyBorder="1" applyAlignment="1">
      <alignment horizontal="left"/>
    </xf>
    <xf numFmtId="166" fontId="7" fillId="2" borderId="4" xfId="10" quotePrefix="1" applyNumberFormat="1" applyFont="1" applyFill="1" applyBorder="1"/>
    <xf numFmtId="0" fontId="7" fillId="2" borderId="0" xfId="8" applyFont="1" applyFill="1"/>
    <xf numFmtId="166" fontId="4" fillId="2" borderId="1" xfId="10" applyNumberFormat="1" applyFont="1" applyFill="1" applyBorder="1"/>
    <xf numFmtId="166" fontId="3" fillId="2" borderId="4" xfId="10" applyNumberFormat="1" applyFont="1" applyFill="1" applyBorder="1"/>
    <xf numFmtId="41" fontId="7" fillId="2" borderId="15" xfId="6" applyFont="1" applyFill="1" applyBorder="1" applyAlignment="1">
      <alignment horizontal="center" vertical="center"/>
    </xf>
    <xf numFmtId="166" fontId="17" fillId="2" borderId="0" xfId="10" applyNumberFormat="1" applyFont="1" applyFill="1" applyBorder="1"/>
    <xf numFmtId="166" fontId="4" fillId="2" borderId="0" xfId="11" applyNumberFormat="1" applyFont="1" applyFill="1" applyBorder="1"/>
    <xf numFmtId="0" fontId="7" fillId="2" borderId="0" xfId="4" applyFont="1" applyFill="1"/>
    <xf numFmtId="166" fontId="7" fillId="2" borderId="0" xfId="4" applyNumberFormat="1" applyFont="1" applyFill="1"/>
    <xf numFmtId="43" fontId="3" fillId="2" borderId="0" xfId="10" applyFont="1" applyFill="1"/>
    <xf numFmtId="0" fontId="7" fillId="3" borderId="0" xfId="4" applyFont="1" applyFill="1"/>
    <xf numFmtId="0" fontId="7" fillId="3" borderId="0" xfId="8" applyFont="1" applyFill="1"/>
    <xf numFmtId="10" fontId="7" fillId="3" borderId="0" xfId="4" applyNumberFormat="1" applyFont="1" applyFill="1"/>
    <xf numFmtId="9" fontId="7" fillId="3" borderId="0" xfId="17" applyFont="1" applyFill="1"/>
    <xf numFmtId="166" fontId="7" fillId="3" borderId="0" xfId="11" applyNumberFormat="1" applyFont="1" applyFill="1" applyBorder="1"/>
    <xf numFmtId="41" fontId="7" fillId="3" borderId="0" xfId="6" applyFont="1" applyFill="1"/>
    <xf numFmtId="0" fontId="3" fillId="3" borderId="0" xfId="8" applyFont="1" applyFill="1"/>
    <xf numFmtId="166" fontId="3" fillId="3" borderId="0" xfId="8" applyNumberFormat="1" applyFont="1" applyFill="1"/>
    <xf numFmtId="41" fontId="3" fillId="3" borderId="0" xfId="6" applyFont="1" applyFill="1"/>
    <xf numFmtId="41" fontId="3" fillId="2" borderId="0" xfId="8" applyNumberFormat="1" applyFont="1" applyFill="1"/>
    <xf numFmtId="0" fontId="17" fillId="2" borderId="0" xfId="18" applyFont="1" applyFill="1"/>
    <xf numFmtId="0" fontId="7" fillId="2" borderId="0" xfId="18" applyFont="1" applyFill="1"/>
    <xf numFmtId="0" fontId="3" fillId="2" borderId="0" xfId="8" quotePrefix="1" applyFont="1" applyFill="1"/>
    <xf numFmtId="0" fontId="4" fillId="2" borderId="6" xfId="8" applyFont="1" applyFill="1" applyBorder="1" applyAlignment="1">
      <alignment horizontal="center" wrapText="1"/>
    </xf>
    <xf numFmtId="0" fontId="4" fillId="2" borderId="0" xfId="8" applyFont="1" applyFill="1" applyAlignment="1">
      <alignment horizontal="center" wrapText="1"/>
    </xf>
    <xf numFmtId="0" fontId="4" fillId="2" borderId="0" xfId="8" applyFont="1" applyFill="1" applyAlignment="1">
      <alignment horizontal="center" vertical="center" wrapText="1"/>
    </xf>
    <xf numFmtId="0" fontId="23" fillId="2" borderId="0" xfId="8" applyFont="1" applyFill="1" applyAlignment="1">
      <alignment horizontal="center"/>
    </xf>
    <xf numFmtId="41" fontId="4" fillId="2" borderId="0" xfId="19" applyFont="1" applyFill="1"/>
    <xf numFmtId="0" fontId="5" fillId="2" borderId="0" xfId="19" applyNumberFormat="1" applyFont="1" applyFill="1" applyAlignment="1"/>
    <xf numFmtId="41" fontId="3" fillId="2" borderId="0" xfId="19" applyFont="1" applyFill="1"/>
    <xf numFmtId="41" fontId="3" fillId="2" borderId="0" xfId="19" applyFont="1" applyFill="1" applyBorder="1"/>
    <xf numFmtId="41" fontId="4" fillId="2" borderId="0" xfId="19" applyFont="1" applyFill="1" applyBorder="1"/>
    <xf numFmtId="41" fontId="4" fillId="2" borderId="0" xfId="19" applyFont="1" applyFill="1" applyBorder="1" applyAlignment="1">
      <alignment horizontal="right"/>
    </xf>
    <xf numFmtId="0" fontId="3" fillId="2" borderId="0" xfId="8" applyFont="1" applyFill="1" applyAlignment="1">
      <alignment horizontal="left" indent="1"/>
    </xf>
    <xf numFmtId="41" fontId="4" fillId="2" borderId="19" xfId="19" applyFont="1" applyFill="1" applyBorder="1"/>
    <xf numFmtId="0" fontId="24" fillId="2" borderId="0" xfId="19" applyNumberFormat="1" applyFont="1" applyFill="1" applyAlignment="1">
      <alignment horizontal="center"/>
    </xf>
    <xf numFmtId="0" fontId="4" fillId="3" borderId="0" xfId="8" applyFont="1" applyFill="1"/>
    <xf numFmtId="41" fontId="4" fillId="3" borderId="0" xfId="19" applyFont="1" applyFill="1" applyBorder="1"/>
    <xf numFmtId="37" fontId="3" fillId="2" borderId="0" xfId="8" applyNumberFormat="1" applyFont="1" applyFill="1"/>
    <xf numFmtId="9" fontId="3" fillId="2" borderId="0" xfId="3" applyFont="1" applyFill="1" applyBorder="1"/>
    <xf numFmtId="0" fontId="3" fillId="2" borderId="0" xfId="15" applyFont="1" applyFill="1"/>
    <xf numFmtId="0" fontId="3" fillId="9" borderId="0" xfId="15" applyFont="1" applyFill="1"/>
    <xf numFmtId="0" fontId="25" fillId="9" borderId="0" xfId="15" applyFont="1" applyFill="1"/>
    <xf numFmtId="0" fontId="3" fillId="2" borderId="0" xfId="15" applyFont="1" applyFill="1" applyAlignment="1">
      <alignment horizontal="right"/>
    </xf>
    <xf numFmtId="0" fontId="4" fillId="2" borderId="0" xfId="15" applyFont="1" applyFill="1"/>
    <xf numFmtId="10" fontId="4" fillId="2" borderId="0" xfId="3" applyNumberFormat="1" applyFont="1" applyFill="1"/>
    <xf numFmtId="0" fontId="4" fillId="9" borderId="6" xfId="15" applyFont="1" applyFill="1" applyBorder="1" applyAlignment="1">
      <alignment horizontal="center"/>
    </xf>
    <xf numFmtId="164" fontId="4" fillId="2" borderId="0" xfId="2" applyFont="1" applyFill="1"/>
    <xf numFmtId="41" fontId="3" fillId="2" borderId="0" xfId="2" applyNumberFormat="1" applyFont="1" applyFill="1"/>
    <xf numFmtId="41" fontId="3" fillId="2" borderId="6" xfId="2" applyNumberFormat="1" applyFont="1" applyFill="1" applyBorder="1"/>
    <xf numFmtId="164" fontId="3" fillId="2" borderId="0" xfId="2" applyFont="1" applyFill="1"/>
    <xf numFmtId="164" fontId="4" fillId="3" borderId="0" xfId="2" applyFont="1" applyFill="1"/>
    <xf numFmtId="0" fontId="26" fillId="2" borderId="0" xfId="15" applyFont="1" applyFill="1"/>
    <xf numFmtId="0" fontId="16" fillId="2" borderId="0" xfId="15" applyFont="1" applyFill="1"/>
    <xf numFmtId="0" fontId="22" fillId="2" borderId="0" xfId="15" applyFont="1" applyFill="1" applyAlignment="1">
      <alignment vertical="center"/>
    </xf>
    <xf numFmtId="0" fontId="22" fillId="2" borderId="0" xfId="15" applyFont="1" applyFill="1"/>
    <xf numFmtId="41" fontId="4" fillId="2" borderId="0" xfId="15" applyNumberFormat="1" applyFont="1" applyFill="1"/>
    <xf numFmtId="41" fontId="3" fillId="2" borderId="0" xfId="15" applyNumberFormat="1" applyFont="1" applyFill="1"/>
    <xf numFmtId="41" fontId="3" fillId="2" borderId="0" xfId="15" applyNumberFormat="1" applyFont="1" applyFill="1" applyAlignment="1">
      <alignment horizontal="center"/>
    </xf>
    <xf numFmtId="41" fontId="3" fillId="2" borderId="6" xfId="15" applyNumberFormat="1" applyFont="1" applyFill="1" applyBorder="1"/>
    <xf numFmtId="0" fontId="27" fillId="2" borderId="0" xfId="18" applyFont="1" applyFill="1"/>
    <xf numFmtId="0" fontId="7" fillId="10" borderId="6" xfId="18" applyFont="1" applyFill="1" applyBorder="1" applyAlignment="1">
      <alignment horizontal="center"/>
    </xf>
    <xf numFmtId="0" fontId="7" fillId="2" borderId="0" xfId="18" applyFont="1" applyFill="1" applyAlignment="1">
      <alignment horizontal="center"/>
    </xf>
    <xf numFmtId="0" fontId="7" fillId="10" borderId="6" xfId="18" applyFont="1" applyFill="1" applyBorder="1" applyAlignment="1">
      <alignment horizontal="center" wrapText="1"/>
    </xf>
    <xf numFmtId="0" fontId="17" fillId="2" borderId="0" xfId="18" applyFont="1" applyFill="1" applyAlignment="1">
      <alignment horizontal="center"/>
    </xf>
    <xf numFmtId="0" fontId="17" fillId="2" borderId="2" xfId="18" applyFont="1" applyFill="1" applyBorder="1"/>
    <xf numFmtId="41" fontId="28" fillId="2" borderId="0" xfId="20" applyFont="1" applyFill="1"/>
    <xf numFmtId="41" fontId="28" fillId="2" borderId="0" xfId="20" applyFont="1" applyFill="1" applyBorder="1"/>
    <xf numFmtId="41" fontId="28" fillId="2" borderId="6" xfId="20" applyFont="1" applyFill="1" applyBorder="1"/>
    <xf numFmtId="41" fontId="28" fillId="2" borderId="19" xfId="20" applyFont="1" applyFill="1" applyBorder="1"/>
    <xf numFmtId="0" fontId="13" fillId="2" borderId="0" xfId="15" applyFont="1" applyFill="1" applyAlignment="1">
      <alignment horizontal="center"/>
    </xf>
    <xf numFmtId="41" fontId="7" fillId="2" borderId="0" xfId="18" applyNumberFormat="1" applyFont="1" applyFill="1"/>
    <xf numFmtId="165" fontId="7" fillId="2" borderId="0" xfId="1" applyFont="1" applyFill="1"/>
    <xf numFmtId="165" fontId="3" fillId="2" borderId="0" xfId="15" applyNumberFormat="1" applyFont="1" applyFill="1"/>
    <xf numFmtId="0" fontId="8" fillId="0" borderId="0" xfId="15"/>
    <xf numFmtId="0" fontId="2" fillId="0" borderId="0" xfId="15" applyFont="1"/>
    <xf numFmtId="4" fontId="1" fillId="0" borderId="0" xfId="15" applyNumberFormat="1" applyFont="1"/>
    <xf numFmtId="0" fontId="1" fillId="0" borderId="0" xfId="15" applyFont="1" applyAlignment="1">
      <alignment horizontal="center"/>
    </xf>
    <xf numFmtId="0" fontId="2" fillId="11" borderId="0" xfId="15" applyFont="1" applyFill="1" applyAlignment="1">
      <alignment horizontal="center"/>
    </xf>
    <xf numFmtId="165" fontId="8" fillId="0" borderId="0" xfId="15" applyNumberFormat="1"/>
    <xf numFmtId="166" fontId="1" fillId="0" borderId="0" xfId="15" applyNumberFormat="1" applyFont="1"/>
    <xf numFmtId="0" fontId="8" fillId="0" borderId="0" xfId="15" applyAlignment="1">
      <alignment horizontal="left" indent="2"/>
    </xf>
    <xf numFmtId="166" fontId="8" fillId="0" borderId="0" xfId="15" applyNumberFormat="1"/>
    <xf numFmtId="9" fontId="8" fillId="0" borderId="0" xfId="15" applyNumberFormat="1"/>
    <xf numFmtId="0" fontId="29" fillId="0" borderId="0" xfId="15" applyFont="1"/>
    <xf numFmtId="0" fontId="30" fillId="0" borderId="0" xfId="15" applyFont="1"/>
    <xf numFmtId="41" fontId="30" fillId="0" borderId="0" xfId="15" applyNumberFormat="1" applyFont="1"/>
    <xf numFmtId="41" fontId="31" fillId="0" borderId="0" xfId="1" applyNumberFormat="1" applyFont="1" applyAlignment="1">
      <alignment horizontal="center"/>
    </xf>
    <xf numFmtId="41" fontId="30" fillId="0" borderId="0" xfId="1" applyNumberFormat="1" applyFont="1"/>
    <xf numFmtId="165" fontId="30" fillId="0" borderId="0" xfId="1" applyFont="1"/>
    <xf numFmtId="0" fontId="32" fillId="12" borderId="0" xfId="15" applyFont="1" applyFill="1" applyAlignment="1">
      <alignment horizontal="centerContinuous" wrapText="1"/>
    </xf>
    <xf numFmtId="41" fontId="33" fillId="0" borderId="0" xfId="1" applyNumberFormat="1" applyFont="1" applyAlignment="1">
      <alignment horizontal="center"/>
    </xf>
    <xf numFmtId="0" fontId="32" fillId="13" borderId="0" xfId="15" applyFont="1" applyFill="1" applyAlignment="1">
      <alignment horizontal="centerContinuous" wrapText="1"/>
    </xf>
    <xf numFmtId="0" fontId="32" fillId="13" borderId="0" xfId="15" applyFont="1" applyFill="1" applyAlignment="1">
      <alignment wrapText="1"/>
    </xf>
    <xf numFmtId="0" fontId="32" fillId="13" borderId="0" xfId="15" applyFont="1" applyFill="1" applyAlignment="1">
      <alignment horizontal="center" wrapText="1"/>
    </xf>
    <xf numFmtId="0" fontId="34" fillId="0" borderId="0" xfId="15" applyFont="1"/>
    <xf numFmtId="41" fontId="34" fillId="0" borderId="0" xfId="15" applyNumberFormat="1" applyFont="1" applyAlignment="1">
      <alignment horizontal="center"/>
    </xf>
    <xf numFmtId="41" fontId="34" fillId="0" borderId="0" xfId="15" applyNumberFormat="1" applyFont="1" applyAlignment="1">
      <alignment horizontal="center" wrapText="1"/>
    </xf>
    <xf numFmtId="41" fontId="34" fillId="0" borderId="0" xfId="15" applyNumberFormat="1" applyFont="1"/>
    <xf numFmtId="0" fontId="35" fillId="4" borderId="0" xfId="15" applyFont="1" applyFill="1" applyAlignment="1">
      <alignment horizontal="centerContinuous"/>
    </xf>
    <xf numFmtId="0" fontId="35" fillId="4" borderId="0" xfId="15" applyFont="1" applyFill="1"/>
    <xf numFmtId="41" fontId="31" fillId="0" borderId="0" xfId="15" applyNumberFormat="1" applyFont="1"/>
    <xf numFmtId="165" fontId="30" fillId="0" borderId="0" xfId="15" applyNumberFormat="1" applyFont="1"/>
    <xf numFmtId="41" fontId="30" fillId="14" borderId="0" xfId="15" applyNumberFormat="1" applyFont="1" applyFill="1"/>
    <xf numFmtId="0" fontId="30" fillId="0" borderId="0" xfId="15" applyFont="1" applyAlignment="1">
      <alignment horizontal="right"/>
    </xf>
    <xf numFmtId="41" fontId="36" fillId="0" borderId="0" xfId="1" applyNumberFormat="1" applyFont="1"/>
    <xf numFmtId="0" fontId="30" fillId="0" borderId="20" xfId="15" applyFont="1" applyBorder="1"/>
    <xf numFmtId="41" fontId="30" fillId="0" borderId="20" xfId="1" applyNumberFormat="1" applyFont="1" applyBorder="1"/>
    <xf numFmtId="41" fontId="30" fillId="0" borderId="20" xfId="15" applyNumberFormat="1" applyFont="1" applyBorder="1"/>
    <xf numFmtId="41" fontId="30" fillId="14" borderId="0" xfId="1" applyNumberFormat="1" applyFont="1" applyFill="1"/>
    <xf numFmtId="0" fontId="8" fillId="0" borderId="0" xfId="15" applyAlignment="1">
      <alignment wrapText="1"/>
    </xf>
    <xf numFmtId="0" fontId="2" fillId="11" borderId="0" xfId="15" applyFont="1" applyFill="1" applyAlignment="1">
      <alignment horizontal="center" wrapText="1"/>
    </xf>
    <xf numFmtId="0" fontId="1" fillId="0" borderId="0" xfId="15" applyFont="1"/>
    <xf numFmtId="0" fontId="37" fillId="0" borderId="0" xfId="15" applyFont="1"/>
    <xf numFmtId="0" fontId="3" fillId="0" borderId="0" xfId="15" applyFont="1"/>
    <xf numFmtId="0" fontId="13" fillId="0" borderId="0" xfId="15" applyFont="1"/>
    <xf numFmtId="10" fontId="3" fillId="0" borderId="0" xfId="3" applyNumberFormat="1" applyFont="1"/>
    <xf numFmtId="0" fontId="4" fillId="4" borderId="11" xfId="8" applyFont="1" applyFill="1" applyBorder="1" applyAlignment="1">
      <alignment horizontal="center"/>
    </xf>
    <xf numFmtId="0" fontId="4" fillId="4" borderId="12" xfId="8" applyFont="1" applyFill="1" applyBorder="1" applyAlignment="1">
      <alignment horizontal="center" wrapText="1"/>
    </xf>
    <xf numFmtId="0" fontId="4" fillId="7" borderId="10" xfId="8" applyFont="1" applyFill="1" applyBorder="1" applyAlignment="1">
      <alignment horizontal="center"/>
    </xf>
    <xf numFmtId="0" fontId="4" fillId="7" borderId="11" xfId="8" applyFont="1" applyFill="1" applyBorder="1" applyAlignment="1">
      <alignment horizontal="center"/>
    </xf>
    <xf numFmtId="0" fontId="4" fillId="7" borderId="12" xfId="8" applyFont="1" applyFill="1" applyBorder="1" applyAlignment="1">
      <alignment horizontal="center" wrapText="1"/>
    </xf>
    <xf numFmtId="164" fontId="3" fillId="0" borderId="0" xfId="2" applyFont="1"/>
    <xf numFmtId="0" fontId="17" fillId="0" borderId="0" xfId="15" applyFont="1"/>
    <xf numFmtId="15" fontId="4" fillId="7" borderId="9" xfId="8" applyNumberFormat="1" applyFont="1" applyFill="1" applyBorder="1" applyAlignment="1">
      <alignment horizontal="center"/>
    </xf>
    <xf numFmtId="15" fontId="4" fillId="4" borderId="14" xfId="8" applyNumberFormat="1" applyFont="1" applyFill="1" applyBorder="1" applyAlignment="1">
      <alignment horizontal="center"/>
    </xf>
    <xf numFmtId="15" fontId="4" fillId="7" borderId="14" xfId="8" applyNumberFormat="1" applyFont="1" applyFill="1" applyBorder="1" applyAlignment="1">
      <alignment horizontal="center"/>
    </xf>
    <xf numFmtId="41" fontId="3" fillId="0" borderId="0" xfId="15" applyNumberFormat="1" applyFont="1"/>
    <xf numFmtId="0" fontId="38" fillId="0" borderId="21" xfId="15" applyFont="1" applyBorder="1"/>
    <xf numFmtId="0" fontId="13" fillId="0" borderId="22" xfId="15" applyFont="1" applyBorder="1"/>
    <xf numFmtId="166" fontId="3" fillId="0" borderId="22" xfId="1" applyNumberFormat="1" applyFont="1" applyBorder="1"/>
    <xf numFmtId="0" fontId="3" fillId="0" borderId="23" xfId="15" applyFont="1" applyBorder="1"/>
    <xf numFmtId="0" fontId="3" fillId="10" borderId="0" xfId="15" applyFont="1" applyFill="1"/>
    <xf numFmtId="0" fontId="13" fillId="10" borderId="0" xfId="15" applyFont="1" applyFill="1"/>
    <xf numFmtId="166" fontId="3" fillId="10" borderId="0" xfId="1" applyNumberFormat="1" applyFont="1" applyFill="1" applyBorder="1"/>
    <xf numFmtId="0" fontId="3" fillId="0" borderId="24" xfId="15" applyFont="1" applyBorder="1"/>
    <xf numFmtId="0" fontId="3" fillId="0" borderId="25" xfId="15" applyFont="1" applyBorder="1"/>
    <xf numFmtId="166" fontId="3" fillId="0" borderId="0" xfId="1" applyNumberFormat="1" applyFont="1" applyBorder="1"/>
    <xf numFmtId="0" fontId="3" fillId="6" borderId="25" xfId="15" applyFont="1" applyFill="1" applyBorder="1"/>
    <xf numFmtId="166" fontId="13" fillId="6" borderId="0" xfId="1" applyNumberFormat="1" applyFont="1" applyFill="1" applyBorder="1"/>
    <xf numFmtId="166" fontId="3" fillId="6" borderId="0" xfId="1" applyNumberFormat="1" applyFont="1" applyFill="1" applyBorder="1"/>
    <xf numFmtId="0" fontId="39" fillId="0" borderId="25" xfId="15" applyFont="1" applyBorder="1"/>
    <xf numFmtId="166" fontId="3" fillId="3" borderId="0" xfId="1" applyNumberFormat="1" applyFont="1" applyFill="1" applyBorder="1"/>
    <xf numFmtId="0" fontId="3" fillId="0" borderId="26" xfId="15" applyFont="1" applyBorder="1"/>
    <xf numFmtId="0" fontId="13" fillId="0" borderId="27" xfId="15" applyFont="1" applyBorder="1"/>
    <xf numFmtId="0" fontId="3" fillId="0" borderId="27" xfId="15" applyFont="1" applyBorder="1"/>
    <xf numFmtId="0" fontId="3" fillId="0" borderId="28" xfId="15" applyFont="1" applyBorder="1"/>
    <xf numFmtId="0" fontId="38" fillId="4" borderId="29" xfId="15" applyFont="1" applyFill="1" applyBorder="1"/>
    <xf numFmtId="0" fontId="4" fillId="4" borderId="8" xfId="8" applyFont="1" applyFill="1" applyBorder="1" applyAlignment="1">
      <alignment horizontal="center"/>
    </xf>
    <xf numFmtId="166" fontId="3" fillId="0" borderId="0" xfId="15" applyNumberFormat="1" applyFont="1"/>
    <xf numFmtId="165" fontId="3" fillId="0" borderId="0" xfId="15" applyNumberFormat="1" applyFont="1"/>
    <xf numFmtId="164" fontId="3" fillId="0" borderId="0" xfId="15" applyNumberFormat="1" applyFont="1"/>
    <xf numFmtId="0" fontId="40" fillId="0" borderId="0" xfId="21" applyFont="1" applyAlignment="1">
      <alignment vertical="center"/>
    </xf>
    <xf numFmtId="0" fontId="11" fillId="0" borderId="0" xfId="21" applyFont="1"/>
    <xf numFmtId="9" fontId="11" fillId="0" borderId="0" xfId="22" applyFont="1" applyAlignment="1">
      <alignment vertical="center"/>
    </xf>
    <xf numFmtId="0" fontId="41" fillId="0" borderId="0" xfId="23" applyFont="1"/>
    <xf numFmtId="10" fontId="11" fillId="0" borderId="0" xfId="22" quotePrefix="1" applyNumberFormat="1" applyFont="1" applyAlignment="1">
      <alignment vertical="center"/>
    </xf>
    <xf numFmtId="15" fontId="40" fillId="0" borderId="0" xfId="21" quotePrefix="1" applyNumberFormat="1" applyFont="1" applyAlignment="1">
      <alignment vertical="center"/>
    </xf>
    <xf numFmtId="10" fontId="41" fillId="0" borderId="0" xfId="22" applyNumberFormat="1" applyFont="1" applyFill="1"/>
    <xf numFmtId="166" fontId="11" fillId="0" borderId="0" xfId="21" applyNumberFormat="1" applyFont="1"/>
    <xf numFmtId="0" fontId="42" fillId="3" borderId="0" xfId="23" applyFont="1" applyFill="1"/>
    <xf numFmtId="166" fontId="40" fillId="3" borderId="0" xfId="23" applyNumberFormat="1" applyFont="1" applyFill="1"/>
    <xf numFmtId="166" fontId="10" fillId="3" borderId="0" xfId="23" applyNumberFormat="1" applyFont="1" applyFill="1"/>
    <xf numFmtId="0" fontId="43" fillId="15" borderId="8" xfId="21" applyFont="1" applyFill="1" applyBorder="1" applyAlignment="1">
      <alignment horizontal="center" vertical="center"/>
    </xf>
    <xf numFmtId="0" fontId="10" fillId="0" borderId="0" xfId="23" applyFont="1"/>
    <xf numFmtId="0" fontId="41" fillId="0" borderId="1" xfId="23" applyFont="1" applyBorder="1"/>
    <xf numFmtId="0" fontId="41" fillId="0" borderId="9" xfId="23" applyFont="1" applyBorder="1"/>
    <xf numFmtId="0" fontId="41" fillId="0" borderId="30" xfId="23" applyFont="1" applyBorder="1"/>
    <xf numFmtId="166" fontId="11" fillId="0" borderId="30" xfId="24" applyNumberFormat="1" applyFont="1" applyFill="1" applyBorder="1" applyAlignment="1">
      <alignment vertical="center"/>
    </xf>
    <xf numFmtId="10" fontId="41" fillId="0" borderId="0" xfId="23" applyNumberFormat="1" applyFont="1"/>
    <xf numFmtId="166" fontId="41" fillId="0" borderId="0" xfId="23" applyNumberFormat="1" applyFont="1"/>
    <xf numFmtId="0" fontId="45" fillId="16" borderId="10" xfId="21" applyFont="1" applyFill="1" applyBorder="1" applyAlignment="1">
      <alignment vertical="center"/>
    </xf>
    <xf numFmtId="0" fontId="41" fillId="16" borderId="8" xfId="23" applyFont="1" applyFill="1" applyBorder="1"/>
    <xf numFmtId="166" fontId="11" fillId="16" borderId="8" xfId="24" applyNumberFormat="1" applyFont="1" applyFill="1" applyBorder="1" applyAlignment="1">
      <alignment vertical="center"/>
    </xf>
    <xf numFmtId="0" fontId="41" fillId="16" borderId="11" xfId="23" applyFont="1" applyFill="1" applyBorder="1"/>
    <xf numFmtId="9" fontId="41" fillId="0" borderId="0" xfId="23" applyNumberFormat="1" applyFont="1"/>
    <xf numFmtId="0" fontId="46" fillId="0" borderId="4" xfId="21" applyFont="1" applyBorder="1" applyAlignment="1">
      <alignment horizontal="center" vertical="center"/>
    </xf>
    <xf numFmtId="0" fontId="47" fillId="0" borderId="9" xfId="25" applyFont="1" applyBorder="1"/>
    <xf numFmtId="0" fontId="41" fillId="0" borderId="31" xfId="23" applyFont="1" applyBorder="1" applyAlignment="1">
      <alignment horizontal="center"/>
    </xf>
    <xf numFmtId="166" fontId="11" fillId="0" borderId="32" xfId="24" applyNumberFormat="1" applyFont="1" applyFill="1" applyBorder="1" applyAlignment="1">
      <alignment vertical="center"/>
    </xf>
    <xf numFmtId="166" fontId="11" fillId="0" borderId="0" xfId="24" applyNumberFormat="1" applyFont="1" applyFill="1" applyBorder="1" applyAlignment="1">
      <alignment vertical="center"/>
    </xf>
    <xf numFmtId="0" fontId="11" fillId="0" borderId="4" xfId="15" applyFont="1" applyBorder="1" applyAlignment="1">
      <alignment horizontal="center" vertical="center"/>
    </xf>
    <xf numFmtId="0" fontId="48" fillId="0" borderId="33" xfId="21" applyFont="1" applyBorder="1" applyAlignment="1">
      <alignment vertical="center"/>
    </xf>
    <xf numFmtId="166" fontId="11" fillId="0" borderId="4" xfId="24" applyNumberFormat="1" applyFont="1" applyFill="1" applyBorder="1" applyAlignment="1">
      <alignment vertical="center"/>
    </xf>
    <xf numFmtId="0" fontId="11" fillId="0" borderId="15" xfId="21" applyFont="1" applyBorder="1" applyAlignment="1">
      <alignment vertical="center"/>
    </xf>
    <xf numFmtId="166" fontId="11" fillId="0" borderId="15" xfId="24" applyNumberFormat="1" applyFont="1" applyFill="1" applyBorder="1" applyAlignment="1">
      <alignment vertical="center"/>
    </xf>
    <xf numFmtId="0" fontId="41" fillId="0" borderId="13" xfId="23" applyFont="1" applyBorder="1" applyAlignment="1">
      <alignment horizontal="center"/>
    </xf>
    <xf numFmtId="165" fontId="41" fillId="0" borderId="0" xfId="23" applyNumberFormat="1" applyFont="1"/>
    <xf numFmtId="165" fontId="41" fillId="0" borderId="0" xfId="1" applyFont="1"/>
    <xf numFmtId="0" fontId="46" fillId="0" borderId="14" xfId="21" applyFont="1" applyBorder="1" applyAlignment="1">
      <alignment horizontal="center" vertical="center"/>
    </xf>
    <xf numFmtId="0" fontId="11" fillId="0" borderId="7" xfId="21" applyFont="1" applyBorder="1" applyAlignment="1">
      <alignment vertical="center"/>
    </xf>
    <xf numFmtId="166" fontId="11" fillId="0" borderId="14" xfId="24" applyNumberFormat="1" applyFont="1" applyFill="1" applyBorder="1" applyAlignment="1">
      <alignment vertical="center"/>
    </xf>
    <xf numFmtId="0" fontId="46" fillId="0" borderId="15" xfId="21" applyFont="1" applyBorder="1" applyAlignment="1">
      <alignment horizontal="center" vertical="center"/>
    </xf>
    <xf numFmtId="0" fontId="47" fillId="0" borderId="13" xfId="25" applyFont="1" applyBorder="1"/>
    <xf numFmtId="0" fontId="46" fillId="0" borderId="31" xfId="23" applyFont="1" applyBorder="1" applyAlignment="1">
      <alignment horizontal="center"/>
    </xf>
    <xf numFmtId="0" fontId="11" fillId="0" borderId="30" xfId="21" applyFont="1" applyBorder="1" applyAlignment="1">
      <alignment vertical="center"/>
    </xf>
    <xf numFmtId="0" fontId="47" fillId="0" borderId="15" xfId="25" applyFont="1" applyBorder="1"/>
    <xf numFmtId="0" fontId="46" fillId="0" borderId="34" xfId="21" applyFont="1" applyBorder="1" applyAlignment="1">
      <alignment horizontal="center" vertical="center"/>
    </xf>
    <xf numFmtId="166" fontId="11" fillId="0" borderId="32" xfId="26" applyNumberFormat="1" applyFont="1" applyFill="1" applyBorder="1" applyAlignment="1">
      <alignment vertical="center"/>
    </xf>
    <xf numFmtId="166" fontId="11" fillId="0" borderId="33" xfId="26" applyNumberFormat="1" applyFont="1" applyFill="1" applyBorder="1" applyAlignment="1">
      <alignment vertical="center"/>
    </xf>
    <xf numFmtId="0" fontId="41" fillId="0" borderId="15" xfId="25" applyFont="1" applyBorder="1" applyAlignment="1">
      <alignment horizontal="left"/>
    </xf>
    <xf numFmtId="166" fontId="11" fillId="0" borderId="15" xfId="26" applyNumberFormat="1" applyFont="1" applyFill="1" applyBorder="1" applyAlignment="1">
      <alignment vertical="center"/>
    </xf>
    <xf numFmtId="0" fontId="41" fillId="0" borderId="6" xfId="23" applyFont="1" applyBorder="1"/>
    <xf numFmtId="0" fontId="11" fillId="0" borderId="15" xfId="21" applyFont="1" applyBorder="1" applyAlignment="1">
      <alignment horizontal="left" vertical="center" indent="2"/>
    </xf>
    <xf numFmtId="0" fontId="46" fillId="0" borderId="13" xfId="21" applyFont="1" applyBorder="1" applyAlignment="1">
      <alignment horizontal="center" vertical="center"/>
    </xf>
    <xf numFmtId="0" fontId="46" fillId="0" borderId="33" xfId="21" applyFont="1" applyBorder="1" applyAlignment="1">
      <alignment horizontal="center" vertical="center"/>
    </xf>
    <xf numFmtId="166" fontId="11" fillId="0" borderId="33" xfId="24" applyNumberFormat="1" applyFont="1" applyFill="1" applyBorder="1" applyAlignment="1">
      <alignment vertical="center"/>
    </xf>
    <xf numFmtId="0" fontId="46" fillId="0" borderId="35" xfId="21" applyFont="1" applyBorder="1" applyAlignment="1">
      <alignment horizontal="center" vertical="center"/>
    </xf>
    <xf numFmtId="0" fontId="49" fillId="0" borderId="15" xfId="21" applyFont="1" applyBorder="1" applyAlignment="1">
      <alignment vertical="center"/>
    </xf>
    <xf numFmtId="0" fontId="11" fillId="0" borderId="36" xfId="21" applyFont="1" applyBorder="1" applyAlignment="1">
      <alignment vertical="center"/>
    </xf>
    <xf numFmtId="0" fontId="46" fillId="0" borderId="37" xfId="21" applyFont="1" applyBorder="1" applyAlignment="1">
      <alignment horizontal="center" vertical="center"/>
    </xf>
    <xf numFmtId="166" fontId="11" fillId="0" borderId="37" xfId="24" applyNumberFormat="1" applyFont="1" applyFill="1" applyBorder="1" applyAlignment="1">
      <alignment vertical="center"/>
    </xf>
    <xf numFmtId="0" fontId="47" fillId="0" borderId="8" xfId="21" applyFont="1" applyBorder="1" applyAlignment="1">
      <alignment horizontal="center" vertical="center"/>
    </xf>
    <xf numFmtId="0" fontId="50" fillId="0" borderId="12" xfId="21" applyFont="1" applyBorder="1" applyAlignment="1">
      <alignment vertical="center"/>
    </xf>
    <xf numFmtId="166" fontId="47" fillId="0" borderId="8" xfId="24" applyNumberFormat="1" applyFont="1" applyBorder="1" applyAlignment="1">
      <alignment vertical="center"/>
    </xf>
    <xf numFmtId="0" fontId="50" fillId="0" borderId="0" xfId="23" applyFont="1"/>
    <xf numFmtId="0" fontId="40" fillId="0" borderId="0" xfId="23" applyFont="1"/>
    <xf numFmtId="166" fontId="10" fillId="0" borderId="0" xfId="27" applyNumberFormat="1" applyFont="1"/>
    <xf numFmtId="0" fontId="51" fillId="3" borderId="0" xfId="23" applyFont="1" applyFill="1"/>
    <xf numFmtId="166" fontId="42" fillId="3" borderId="0" xfId="27" applyNumberFormat="1" applyFont="1" applyFill="1"/>
    <xf numFmtId="0" fontId="53" fillId="0" borderId="0" xfId="28" applyFont="1" applyFill="1" applyBorder="1" applyAlignment="1" applyProtection="1"/>
    <xf numFmtId="0" fontId="55" fillId="0" borderId="0" xfId="29" applyFont="1"/>
    <xf numFmtId="37" fontId="55" fillId="0" borderId="0" xfId="30" applyNumberFormat="1" applyFont="1" applyAlignment="1">
      <alignment horizontal="center"/>
    </xf>
    <xf numFmtId="0" fontId="7" fillId="15" borderId="0" xfId="31" applyFont="1" applyFill="1" applyAlignment="1">
      <alignment vertical="center"/>
    </xf>
    <xf numFmtId="0" fontId="28" fillId="0" borderId="0" xfId="32" applyFont="1"/>
    <xf numFmtId="37" fontId="55" fillId="0" borderId="0" xfId="30" applyNumberFormat="1" applyFont="1" applyAlignment="1">
      <alignment horizontal="right"/>
    </xf>
    <xf numFmtId="37" fontId="55" fillId="0" borderId="6" xfId="30" applyNumberFormat="1" applyFont="1" applyBorder="1" applyAlignment="1">
      <alignment horizontal="right"/>
    </xf>
    <xf numFmtId="37" fontId="55" fillId="0" borderId="0" xfId="30" applyNumberFormat="1" applyFont="1" applyAlignment="1">
      <alignment horizontal="left"/>
    </xf>
    <xf numFmtId="0" fontId="17" fillId="0" borderId="0" xfId="29" applyFont="1"/>
    <xf numFmtId="0" fontId="3" fillId="0" borderId="0" xfId="32" applyFont="1"/>
    <xf numFmtId="0" fontId="28" fillId="7" borderId="0" xfId="32" applyFont="1" applyFill="1" applyAlignment="1">
      <alignment horizontal="right"/>
    </xf>
    <xf numFmtId="37" fontId="28" fillId="7" borderId="0" xfId="32" applyNumberFormat="1" applyFont="1" applyFill="1" applyAlignment="1">
      <alignment horizontal="right"/>
    </xf>
    <xf numFmtId="0" fontId="17" fillId="0" borderId="21" xfId="29" applyFont="1" applyBorder="1"/>
    <xf numFmtId="0" fontId="3" fillId="9" borderId="22" xfId="32" applyFont="1" applyFill="1" applyBorder="1"/>
    <xf numFmtId="0" fontId="28" fillId="0" borderId="22" xfId="32" applyFont="1" applyBorder="1"/>
    <xf numFmtId="17" fontId="28" fillId="0" borderId="22" xfId="32" quotePrefix="1" applyNumberFormat="1" applyFont="1" applyBorder="1" applyAlignment="1">
      <alignment horizontal="right"/>
    </xf>
    <xf numFmtId="0" fontId="28" fillId="0" borderId="23" xfId="32" applyFont="1" applyBorder="1"/>
    <xf numFmtId="0" fontId="17" fillId="2" borderId="25" xfId="29" applyFont="1" applyFill="1" applyBorder="1"/>
    <xf numFmtId="0" fontId="3" fillId="2" borderId="0" xfId="32" applyFont="1" applyFill="1"/>
    <xf numFmtId="0" fontId="28" fillId="2" borderId="0" xfId="32" applyFont="1" applyFill="1"/>
    <xf numFmtId="0" fontId="28" fillId="0" borderId="24" xfId="32" applyFont="1" applyBorder="1"/>
    <xf numFmtId="0" fontId="17" fillId="0" borderId="25" xfId="29" applyFont="1" applyBorder="1"/>
    <xf numFmtId="0" fontId="17" fillId="3" borderId="6" xfId="33" applyFont="1" applyFill="1" applyBorder="1"/>
    <xf numFmtId="17" fontId="17" fillId="3" borderId="6" xfId="33" applyNumberFormat="1" applyFont="1" applyFill="1" applyBorder="1" applyAlignment="1">
      <alignment horizontal="center" wrapText="1"/>
    </xf>
    <xf numFmtId="0" fontId="17" fillId="3" borderId="6" xfId="33" applyFont="1" applyFill="1" applyBorder="1" applyAlignment="1">
      <alignment horizontal="center" wrapText="1"/>
    </xf>
    <xf numFmtId="0" fontId="17" fillId="3" borderId="6" xfId="33" applyFont="1" applyFill="1" applyBorder="1" applyAlignment="1">
      <alignment horizontal="center"/>
    </xf>
    <xf numFmtId="0" fontId="17" fillId="0" borderId="38" xfId="29" applyFont="1" applyBorder="1"/>
    <xf numFmtId="0" fontId="7" fillId="0" borderId="0" xfId="33" applyFont="1"/>
    <xf numFmtId="166" fontId="7" fillId="0" borderId="0" xfId="34" applyNumberFormat="1" applyFont="1" applyBorder="1"/>
    <xf numFmtId="166" fontId="7" fillId="0" borderId="0" xfId="33" applyNumberFormat="1" applyFont="1"/>
    <xf numFmtId="0" fontId="7" fillId="0" borderId="0" xfId="33" applyFont="1" applyAlignment="1">
      <alignment horizontal="left" indent="1"/>
    </xf>
    <xf numFmtId="0" fontId="7" fillId="0" borderId="0" xfId="33" applyFont="1" applyAlignment="1">
      <alignment horizontal="left" indent="2"/>
    </xf>
    <xf numFmtId="167" fontId="28" fillId="0" borderId="0" xfId="32" applyNumberFormat="1" applyFont="1"/>
    <xf numFmtId="0" fontId="56" fillId="0" borderId="24" xfId="32" applyFont="1" applyBorder="1"/>
    <xf numFmtId="0" fontId="7" fillId="0" borderId="39" xfId="33" applyFont="1" applyBorder="1"/>
    <xf numFmtId="166" fontId="7" fillId="0" borderId="39" xfId="35" applyNumberFormat="1" applyFont="1" applyBorder="1"/>
    <xf numFmtId="166" fontId="7" fillId="0" borderId="0" xfId="35" applyNumberFormat="1" applyFont="1"/>
    <xf numFmtId="0" fontId="7" fillId="0" borderId="40" xfId="33" applyFont="1" applyBorder="1"/>
    <xf numFmtId="9" fontId="7" fillId="0" borderId="41" xfId="36" applyFont="1" applyBorder="1"/>
    <xf numFmtId="0" fontId="7" fillId="0" borderId="42" xfId="33" applyFont="1" applyBorder="1"/>
    <xf numFmtId="9" fontId="7" fillId="0" borderId="0" xfId="36" applyFont="1" applyBorder="1"/>
    <xf numFmtId="168" fontId="7" fillId="0" borderId="0" xfId="36" applyNumberFormat="1" applyFont="1" applyBorder="1"/>
    <xf numFmtId="10" fontId="7" fillId="0" borderId="0" xfId="36" applyNumberFormat="1" applyFont="1" applyBorder="1"/>
    <xf numFmtId="0" fontId="7" fillId="0" borderId="43" xfId="33" applyFont="1" applyBorder="1"/>
    <xf numFmtId="9" fontId="7" fillId="0" borderId="39" xfId="36" applyFont="1" applyBorder="1"/>
    <xf numFmtId="168" fontId="7" fillId="0" borderId="39" xfId="36" applyNumberFormat="1" applyFont="1" applyBorder="1"/>
    <xf numFmtId="10" fontId="7" fillId="0" borderId="39" xfId="36" applyNumberFormat="1" applyFont="1" applyBorder="1"/>
    <xf numFmtId="166" fontId="7" fillId="0" borderId="41" xfId="33" applyNumberFormat="1" applyFont="1" applyBorder="1"/>
    <xf numFmtId="166" fontId="17" fillId="3" borderId="6" xfId="33" applyNumberFormat="1" applyFont="1" applyFill="1" applyBorder="1"/>
    <xf numFmtId="0" fontId="17" fillId="0" borderId="26" xfId="29" applyFont="1" applyBorder="1"/>
    <xf numFmtId="0" fontId="3" fillId="0" borderId="27" xfId="32" applyFont="1" applyBorder="1"/>
    <xf numFmtId="166" fontId="28" fillId="0" borderId="27" xfId="32" applyNumberFormat="1" applyFont="1" applyBorder="1"/>
    <xf numFmtId="0" fontId="28" fillId="0" borderId="28" xfId="32" applyFont="1" applyBorder="1"/>
    <xf numFmtId="0" fontId="17" fillId="0" borderId="0" xfId="29" applyFont="1" applyAlignment="1">
      <alignment horizontal="right"/>
    </xf>
    <xf numFmtId="169" fontId="3" fillId="0" borderId="0" xfId="1" applyNumberFormat="1" applyFont="1"/>
    <xf numFmtId="37" fontId="3" fillId="0" borderId="0" xfId="32" applyNumberFormat="1" applyFont="1"/>
    <xf numFmtId="169" fontId="3" fillId="0" borderId="0" xfId="32" applyNumberFormat="1" applyFont="1"/>
    <xf numFmtId="41" fontId="3" fillId="2" borderId="0" xfId="2" applyNumberFormat="1" applyFont="1" applyFill="1" applyBorder="1"/>
    <xf numFmtId="0" fontId="22" fillId="2" borderId="0" xfId="15" applyFont="1" applyFill="1" applyAlignment="1">
      <alignment vertical="center" wrapText="1"/>
    </xf>
    <xf numFmtId="41" fontId="27" fillId="2" borderId="0" xfId="18" applyNumberFormat="1" applyFont="1" applyFill="1"/>
    <xf numFmtId="0" fontId="17" fillId="2" borderId="0" xfId="18" applyFont="1" applyFill="1" applyAlignment="1">
      <alignment horizontal="left" indent="1"/>
    </xf>
    <xf numFmtId="0" fontId="17" fillId="2" borderId="0" xfId="18" applyFont="1" applyFill="1" applyAlignment="1">
      <alignment horizontal="left" indent="2"/>
    </xf>
    <xf numFmtId="0" fontId="17" fillId="2" borderId="0" xfId="15" applyFont="1" applyFill="1"/>
    <xf numFmtId="0" fontId="18" fillId="2" borderId="0" xfId="15" applyFont="1" applyFill="1"/>
    <xf numFmtId="0" fontId="57" fillId="2" borderId="0" xfId="15" applyFont="1" applyFill="1"/>
    <xf numFmtId="0" fontId="7" fillId="2" borderId="0" xfId="15" applyFont="1" applyFill="1"/>
    <xf numFmtId="15" fontId="17" fillId="2" borderId="0" xfId="15" quotePrefix="1" applyNumberFormat="1" applyFont="1" applyFill="1"/>
    <xf numFmtId="0" fontId="58" fillId="15" borderId="0" xfId="37" applyNumberFormat="1" applyFont="1" applyFill="1"/>
    <xf numFmtId="0" fontId="59" fillId="15" borderId="0" xfId="38" applyFont="1" applyFill="1"/>
    <xf numFmtId="0" fontId="60" fillId="15" borderId="0" xfId="38" applyFont="1" applyFill="1"/>
    <xf numFmtId="0" fontId="25" fillId="15" borderId="0" xfId="38" applyFont="1" applyFill="1"/>
    <xf numFmtId="0" fontId="7" fillId="2" borderId="0" xfId="38" applyFont="1" applyFill="1"/>
    <xf numFmtId="9" fontId="7" fillId="2" borderId="0" xfId="38" applyNumberFormat="1" applyFont="1" applyFill="1"/>
    <xf numFmtId="3" fontId="7" fillId="2" borderId="0" xfId="38" applyNumberFormat="1" applyFont="1" applyFill="1"/>
    <xf numFmtId="15" fontId="17" fillId="3" borderId="8" xfId="38" applyNumberFormat="1" applyFont="1" applyFill="1" applyBorder="1" applyAlignment="1">
      <alignment horizontal="center" vertical="center"/>
    </xf>
    <xf numFmtId="0" fontId="17" fillId="2" borderId="0" xfId="38" applyFont="1" applyFill="1"/>
    <xf numFmtId="15" fontId="17" fillId="3" borderId="9" xfId="38" applyNumberFormat="1" applyFont="1" applyFill="1" applyBorder="1" applyAlignment="1">
      <alignment horizontal="center" vertical="center"/>
    </xf>
    <xf numFmtId="15" fontId="17" fillId="3" borderId="14" xfId="38" applyNumberFormat="1" applyFont="1" applyFill="1" applyBorder="1" applyAlignment="1">
      <alignment horizontal="center" vertical="center"/>
    </xf>
    <xf numFmtId="0" fontId="57" fillId="2" borderId="0" xfId="38" applyFont="1" applyFill="1"/>
    <xf numFmtId="0" fontId="13" fillId="0" borderId="2" xfId="15" applyFont="1" applyBorder="1"/>
    <xf numFmtId="0" fontId="13" fillId="0" borderId="2" xfId="15" applyFont="1" applyBorder="1" applyAlignment="1">
      <alignment horizontal="center"/>
    </xf>
    <xf numFmtId="0" fontId="7" fillId="2" borderId="0" xfId="39" applyFont="1" applyFill="1"/>
    <xf numFmtId="0" fontId="7" fillId="2" borderId="0" xfId="38" applyFont="1" applyFill="1" applyAlignment="1">
      <alignment horizontal="left"/>
    </xf>
    <xf numFmtId="166" fontId="7" fillId="2" borderId="0" xfId="40" applyNumberFormat="1" applyFont="1" applyFill="1"/>
    <xf numFmtId="166" fontId="7" fillId="14" borderId="0" xfId="40" applyNumberFormat="1" applyFont="1" applyFill="1"/>
    <xf numFmtId="0" fontId="61" fillId="2" borderId="0" xfId="39" applyFont="1" applyFill="1"/>
    <xf numFmtId="0" fontId="61" fillId="2" borderId="0" xfId="38" applyFont="1" applyFill="1"/>
    <xf numFmtId="0" fontId="61" fillId="2" borderId="0" xfId="38" applyFont="1" applyFill="1" applyAlignment="1">
      <alignment horizontal="left"/>
    </xf>
    <xf numFmtId="166" fontId="61" fillId="2" borderId="0" xfId="40" applyNumberFormat="1" applyFont="1" applyFill="1"/>
    <xf numFmtId="166" fontId="7" fillId="2" borderId="6" xfId="40" applyNumberFormat="1" applyFont="1" applyFill="1" applyBorder="1"/>
    <xf numFmtId="166" fontId="17" fillId="2" borderId="0" xfId="40" applyNumberFormat="1" applyFont="1" applyFill="1"/>
    <xf numFmtId="41" fontId="13" fillId="2" borderId="0" xfId="14" applyFont="1" applyFill="1" applyBorder="1" applyAlignment="1">
      <alignment horizontal="center" vertical="center"/>
    </xf>
    <xf numFmtId="166" fontId="17" fillId="2" borderId="11" xfId="40" applyNumberFormat="1" applyFont="1" applyFill="1" applyBorder="1"/>
    <xf numFmtId="0" fontId="62" fillId="2" borderId="0" xfId="15" applyFont="1" applyFill="1"/>
    <xf numFmtId="166" fontId="17" fillId="2" borderId="0" xfId="40" applyNumberFormat="1" applyFont="1" applyFill="1" applyBorder="1"/>
    <xf numFmtId="0" fontId="7" fillId="2" borderId="27" xfId="15" applyFont="1" applyFill="1" applyBorder="1"/>
    <xf numFmtId="41" fontId="13" fillId="2" borderId="27" xfId="14" applyFont="1" applyFill="1" applyBorder="1" applyAlignment="1">
      <alignment horizontal="center" vertical="center"/>
    </xf>
    <xf numFmtId="0" fontId="7" fillId="2" borderId="27" xfId="38" applyFont="1" applyFill="1" applyBorder="1"/>
    <xf numFmtId="0" fontId="13" fillId="2" borderId="2" xfId="15" applyFont="1" applyFill="1" applyBorder="1"/>
    <xf numFmtId="166" fontId="13" fillId="2" borderId="2" xfId="15" applyNumberFormat="1" applyFont="1" applyFill="1" applyBorder="1"/>
    <xf numFmtId="0" fontId="13" fillId="2" borderId="2" xfId="15" applyFont="1" applyFill="1" applyBorder="1" applyAlignment="1">
      <alignment horizontal="center"/>
    </xf>
    <xf numFmtId="166" fontId="61" fillId="2" borderId="0" xfId="38" applyNumberFormat="1" applyFont="1" applyFill="1"/>
    <xf numFmtId="166" fontId="7" fillId="2" borderId="0" xfId="38" applyNumberFormat="1" applyFont="1" applyFill="1"/>
    <xf numFmtId="0" fontId="57" fillId="2" borderId="0" xfId="38" applyFont="1" applyFill="1" applyAlignment="1">
      <alignment horizontal="left"/>
    </xf>
    <xf numFmtId="166" fontId="7" fillId="2" borderId="27" xfId="15" applyNumberFormat="1" applyFont="1" applyFill="1" applyBorder="1"/>
    <xf numFmtId="166" fontId="7" fillId="2" borderId="0" xfId="15" applyNumberFormat="1" applyFont="1" applyFill="1"/>
    <xf numFmtId="166" fontId="17" fillId="2" borderId="19" xfId="40" applyNumberFormat="1" applyFont="1" applyFill="1" applyBorder="1"/>
    <xf numFmtId="164" fontId="7" fillId="2" borderId="0" xfId="2" applyFont="1" applyFill="1"/>
    <xf numFmtId="0" fontId="58" fillId="15" borderId="0" xfId="41" applyNumberFormat="1" applyFont="1" applyFill="1"/>
    <xf numFmtId="0" fontId="59" fillId="15" borderId="0" xfId="15" applyFont="1" applyFill="1"/>
    <xf numFmtId="0" fontId="60" fillId="15" borderId="0" xfId="15" applyFont="1" applyFill="1"/>
    <xf numFmtId="0" fontId="25" fillId="15" borderId="0" xfId="15" applyFont="1" applyFill="1"/>
    <xf numFmtId="166" fontId="7" fillId="2" borderId="0" xfId="7" applyNumberFormat="1" applyFont="1" applyFill="1"/>
    <xf numFmtId="166" fontId="7" fillId="2" borderId="15" xfId="11" quotePrefix="1" applyNumberFormat="1" applyFont="1" applyFill="1" applyBorder="1"/>
    <xf numFmtId="9" fontId="5" fillId="2" borderId="9" xfId="3" applyFont="1" applyFill="1" applyBorder="1" applyAlignment="1">
      <alignment horizontal="center" vertical="center"/>
    </xf>
    <xf numFmtId="16" fontId="7" fillId="2" borderId="0" xfId="8" quotePrefix="1" applyNumberFormat="1" applyFont="1" applyFill="1" applyAlignment="1">
      <alignment horizontal="center" vertical="center"/>
    </xf>
    <xf numFmtId="0" fontId="13" fillId="2" borderId="44" xfId="8" applyFont="1" applyFill="1" applyBorder="1" applyAlignment="1">
      <alignment horizontal="center" vertical="center" wrapText="1"/>
    </xf>
    <xf numFmtId="0" fontId="13" fillId="2" borderId="0" xfId="8" applyFont="1" applyFill="1"/>
    <xf numFmtId="41" fontId="13" fillId="2" borderId="0" xfId="8" applyNumberFormat="1" applyFont="1" applyFill="1"/>
    <xf numFmtId="0" fontId="22" fillId="8" borderId="0" xfId="15" applyFont="1" applyFill="1"/>
    <xf numFmtId="0" fontId="13" fillId="8" borderId="0" xfId="15" applyFont="1" applyFill="1" applyAlignment="1">
      <alignment horizontal="right"/>
    </xf>
    <xf numFmtId="16" fontId="22" fillId="8" borderId="0" xfId="15" applyNumberFormat="1" applyFont="1" applyFill="1"/>
    <xf numFmtId="0" fontId="22" fillId="8" borderId="0" xfId="15" applyFont="1" applyFill="1" applyAlignment="1">
      <alignment horizontal="right"/>
    </xf>
    <xf numFmtId="164" fontId="3" fillId="2" borderId="6" xfId="2" applyFont="1" applyFill="1" applyBorder="1"/>
    <xf numFmtId="0" fontId="63" fillId="2" borderId="0" xfId="15" applyFont="1" applyFill="1"/>
    <xf numFmtId="0" fontId="7" fillId="8" borderId="0" xfId="18" applyFont="1" applyFill="1"/>
    <xf numFmtId="0" fontId="27" fillId="8" borderId="0" xfId="18" applyFont="1" applyFill="1"/>
    <xf numFmtId="0" fontId="8" fillId="6" borderId="0" xfId="15" applyFill="1"/>
    <xf numFmtId="165" fontId="8" fillId="6" borderId="0" xfId="15" applyNumberFormat="1" applyFill="1"/>
    <xf numFmtId="10" fontId="8" fillId="0" borderId="0" xfId="15" applyNumberFormat="1"/>
    <xf numFmtId="0" fontId="3" fillId="2" borderId="0" xfId="39" applyFont="1" applyFill="1"/>
    <xf numFmtId="166" fontId="3" fillId="2" borderId="0" xfId="42" applyNumberFormat="1" applyFont="1" applyFill="1"/>
    <xf numFmtId="166" fontId="3" fillId="2" borderId="0" xfId="42" applyNumberFormat="1" applyFont="1" applyFill="1" applyBorder="1"/>
    <xf numFmtId="170" fontId="3" fillId="2" borderId="0" xfId="42" applyNumberFormat="1" applyFont="1" applyFill="1" applyBorder="1"/>
    <xf numFmtId="0" fontId="3" fillId="4" borderId="9" xfId="39" applyFont="1" applyFill="1" applyBorder="1" applyAlignment="1">
      <alignment horizontal="center"/>
    </xf>
    <xf numFmtId="170" fontId="3" fillId="2" borderId="0" xfId="42" applyNumberFormat="1" applyFont="1" applyFill="1"/>
    <xf numFmtId="0" fontId="3" fillId="4" borderId="14" xfId="39" applyFont="1" applyFill="1" applyBorder="1" applyAlignment="1">
      <alignment horizontal="center"/>
    </xf>
    <xf numFmtId="166" fontId="3" fillId="7" borderId="12" xfId="42" applyNumberFormat="1" applyFont="1" applyFill="1" applyBorder="1" applyAlignment="1">
      <alignment horizontal="center"/>
    </xf>
    <xf numFmtId="166" fontId="3" fillId="7" borderId="8" xfId="42" applyNumberFormat="1" applyFont="1" applyFill="1" applyBorder="1" applyAlignment="1">
      <alignment horizontal="center"/>
    </xf>
    <xf numFmtId="166" fontId="3" fillId="6" borderId="8" xfId="42" applyNumberFormat="1" applyFont="1" applyFill="1" applyBorder="1" applyAlignment="1">
      <alignment horizontal="center"/>
    </xf>
    <xf numFmtId="0" fontId="3" fillId="2" borderId="0" xfId="39" applyFont="1" applyFill="1" applyAlignment="1">
      <alignment horizontal="center"/>
    </xf>
    <xf numFmtId="0" fontId="3" fillId="17" borderId="8" xfId="39" applyFont="1" applyFill="1" applyBorder="1"/>
    <xf numFmtId="0" fontId="3" fillId="17" borderId="8" xfId="39" applyFont="1" applyFill="1" applyBorder="1" applyAlignment="1">
      <alignment horizontal="left"/>
    </xf>
    <xf numFmtId="166" fontId="3" fillId="8" borderId="14" xfId="42" applyNumberFormat="1" applyFont="1" applyFill="1" applyBorder="1"/>
    <xf numFmtId="166" fontId="3" fillId="7" borderId="8" xfId="42" applyNumberFormat="1" applyFont="1" applyFill="1" applyBorder="1"/>
    <xf numFmtId="166" fontId="3" fillId="6" borderId="8" xfId="42" applyNumberFormat="1" applyFont="1" applyFill="1" applyBorder="1"/>
    <xf numFmtId="166" fontId="3" fillId="18" borderId="8" xfId="42" applyNumberFormat="1" applyFont="1" applyFill="1" applyBorder="1"/>
    <xf numFmtId="166" fontId="3" fillId="3" borderId="8" xfId="42" applyNumberFormat="1" applyFont="1" applyFill="1" applyBorder="1"/>
    <xf numFmtId="171" fontId="22" fillId="2" borderId="0" xfId="39" applyNumberFormat="1" applyFont="1" applyFill="1"/>
    <xf numFmtId="0" fontId="22" fillId="2" borderId="0" xfId="39" applyFont="1" applyFill="1"/>
    <xf numFmtId="166" fontId="3" fillId="8" borderId="8" xfId="42" applyNumberFormat="1" applyFont="1" applyFill="1" applyBorder="1"/>
    <xf numFmtId="166" fontId="3" fillId="4" borderId="8" xfId="42" applyNumberFormat="1" applyFont="1" applyFill="1" applyBorder="1" applyAlignment="1">
      <alignment horizontal="centerContinuous"/>
    </xf>
    <xf numFmtId="166" fontId="3" fillId="19" borderId="8" xfId="42" applyNumberFormat="1" applyFont="1" applyFill="1" applyBorder="1"/>
    <xf numFmtId="166" fontId="64" fillId="2" borderId="0" xfId="40" applyNumberFormat="1" applyFont="1" applyFill="1"/>
    <xf numFmtId="169" fontId="7" fillId="2" borderId="0" xfId="40" applyNumberFormat="1" applyFont="1" applyFill="1"/>
    <xf numFmtId="165" fontId="11" fillId="0" borderId="0" xfId="21" applyNumberFormat="1" applyFont="1"/>
    <xf numFmtId="165" fontId="3" fillId="2" borderId="0" xfId="4" applyNumberFormat="1" applyFont="1" applyFill="1" applyAlignment="1">
      <alignment horizontal="center" vertical="center"/>
    </xf>
    <xf numFmtId="164" fontId="3" fillId="0" borderId="27" xfId="2" applyFont="1" applyBorder="1"/>
    <xf numFmtId="0" fontId="13" fillId="8" borderId="0" xfId="15" applyFont="1" applyFill="1"/>
    <xf numFmtId="169" fontId="3" fillId="0" borderId="0" xfId="15" applyNumberFormat="1" applyFont="1"/>
    <xf numFmtId="41" fontId="65" fillId="2" borderId="0" xfId="20" applyFont="1" applyFill="1"/>
    <xf numFmtId="0" fontId="22" fillId="2" borderId="0" xfId="15" applyFont="1" applyFill="1" applyAlignment="1">
      <alignment horizontal="right"/>
    </xf>
    <xf numFmtId="167" fontId="30" fillId="0" borderId="0" xfId="15" applyNumberFormat="1" applyFont="1"/>
    <xf numFmtId="167" fontId="7" fillId="2" borderId="0" xfId="38" applyNumberFormat="1" applyFont="1" applyFill="1"/>
    <xf numFmtId="0" fontId="3" fillId="2" borderId="1" xfId="8" applyFont="1" applyFill="1" applyBorder="1"/>
    <xf numFmtId="0" fontId="3" fillId="2" borderId="2" xfId="8" applyFont="1" applyFill="1" applyBorder="1"/>
    <xf numFmtId="0" fontId="66" fillId="2" borderId="0" xfId="43" applyFont="1" applyFill="1"/>
    <xf numFmtId="0" fontId="67" fillId="2" borderId="0" xfId="43" applyFont="1" applyFill="1"/>
    <xf numFmtId="166" fontId="67" fillId="2" borderId="0" xfId="44" applyNumberFormat="1" applyFont="1" applyFill="1"/>
    <xf numFmtId="41" fontId="67" fillId="2" borderId="0" xfId="45" applyFont="1" applyFill="1"/>
    <xf numFmtId="0" fontId="68" fillId="2" borderId="0" xfId="43" applyFont="1" applyFill="1"/>
    <xf numFmtId="0" fontId="66" fillId="2" borderId="0" xfId="43" quotePrefix="1" applyFont="1" applyFill="1"/>
    <xf numFmtId="166" fontId="69" fillId="2" borderId="0" xfId="44" applyNumberFormat="1" applyFont="1" applyFill="1"/>
    <xf numFmtId="166" fontId="69" fillId="3" borderId="0" xfId="44" applyNumberFormat="1" applyFont="1" applyFill="1"/>
    <xf numFmtId="41" fontId="67" fillId="3" borderId="0" xfId="45" applyFont="1" applyFill="1"/>
    <xf numFmtId="0" fontId="70" fillId="2" borderId="0" xfId="43" applyFont="1" applyFill="1"/>
    <xf numFmtId="41" fontId="66" fillId="2" borderId="0" xfId="45" applyFont="1" applyFill="1" applyAlignment="1">
      <alignment horizontal="center"/>
    </xf>
    <xf numFmtId="41" fontId="66" fillId="2" borderId="0" xfId="43" applyNumberFormat="1" applyFont="1" applyFill="1" applyAlignment="1">
      <alignment horizontal="center"/>
    </xf>
    <xf numFmtId="166" fontId="67" fillId="20" borderId="10" xfId="44" applyNumberFormat="1" applyFont="1" applyFill="1" applyBorder="1" applyAlignment="1">
      <alignment horizontal="center"/>
    </xf>
    <xf numFmtId="166" fontId="67" fillId="20" borderId="11" xfId="44" applyNumberFormat="1" applyFont="1" applyFill="1" applyBorder="1" applyAlignment="1">
      <alignment horizontal="center"/>
    </xf>
    <xf numFmtId="166" fontId="67" fillId="20" borderId="12" xfId="44" applyNumberFormat="1" applyFont="1" applyFill="1" applyBorder="1" applyAlignment="1">
      <alignment horizontal="center"/>
    </xf>
    <xf numFmtId="166" fontId="67" fillId="21" borderId="10" xfId="44" applyNumberFormat="1" applyFont="1" applyFill="1" applyBorder="1"/>
    <xf numFmtId="166" fontId="67" fillId="21" borderId="11" xfId="44" applyNumberFormat="1" applyFont="1" applyFill="1" applyBorder="1"/>
    <xf numFmtId="166" fontId="67" fillId="21" borderId="12" xfId="44" applyNumberFormat="1" applyFont="1" applyFill="1" applyBorder="1"/>
    <xf numFmtId="166" fontId="67" fillId="2" borderId="0" xfId="44" applyNumberFormat="1" applyFont="1" applyFill="1" applyBorder="1"/>
    <xf numFmtId="0" fontId="11" fillId="2" borderId="0" xfId="46" applyFont="1" applyFill="1" applyAlignment="1">
      <alignment horizontal="center" wrapText="1"/>
    </xf>
    <xf numFmtId="166" fontId="11" fillId="2" borderId="0" xfId="44" applyNumberFormat="1" applyFont="1" applyFill="1" applyAlignment="1">
      <alignment horizontal="center" wrapText="1"/>
    </xf>
    <xf numFmtId="166" fontId="11" fillId="2" borderId="0" xfId="46" applyNumberFormat="1" applyFont="1" applyFill="1" applyAlignment="1">
      <alignment horizontal="center" wrapText="1"/>
    </xf>
    <xf numFmtId="169" fontId="11" fillId="2" borderId="0" xfId="44" applyNumberFormat="1" applyFont="1" applyFill="1" applyAlignment="1">
      <alignment horizontal="center" wrapText="1"/>
    </xf>
    <xf numFmtId="0" fontId="71" fillId="3" borderId="8" xfId="46" applyFont="1" applyFill="1" applyBorder="1" applyAlignment="1">
      <alignment horizontal="center" wrapText="1"/>
    </xf>
    <xf numFmtId="0" fontId="72" fillId="2" borderId="0" xfId="46" applyFont="1" applyFill="1" applyAlignment="1">
      <alignment horizontal="center" wrapText="1"/>
    </xf>
    <xf numFmtId="0" fontId="11" fillId="2" borderId="0" xfId="46" applyFont="1" applyFill="1"/>
    <xf numFmtId="166" fontId="11" fillId="2" borderId="0" xfId="44" applyNumberFormat="1" applyFont="1" applyFill="1"/>
    <xf numFmtId="15" fontId="40" fillId="2" borderId="0" xfId="46" applyNumberFormat="1" applyFont="1" applyFill="1" applyAlignment="1">
      <alignment horizontal="center"/>
    </xf>
    <xf numFmtId="169" fontId="40" fillId="2" borderId="0" xfId="44" applyNumberFormat="1" applyFont="1" applyFill="1" applyAlignment="1">
      <alignment horizontal="center"/>
    </xf>
    <xf numFmtId="37" fontId="11" fillId="2" borderId="0" xfId="47" applyNumberFormat="1" applyFont="1" applyFill="1" applyBorder="1"/>
    <xf numFmtId="165" fontId="73" fillId="2" borderId="0" xfId="46" applyNumberFormat="1" applyFont="1" applyFill="1"/>
    <xf numFmtId="0" fontId="73" fillId="2" borderId="0" xfId="46" applyFont="1" applyFill="1"/>
    <xf numFmtId="0" fontId="74" fillId="2" borderId="45" xfId="46" applyFont="1" applyFill="1" applyBorder="1"/>
    <xf numFmtId="166" fontId="74" fillId="2" borderId="45" xfId="44" applyNumberFormat="1" applyFont="1" applyFill="1" applyBorder="1"/>
    <xf numFmtId="43" fontId="46" fillId="2" borderId="45" xfId="47" applyFont="1" applyFill="1" applyBorder="1" applyAlignment="1">
      <alignment horizontal="center"/>
    </xf>
    <xf numFmtId="41" fontId="46" fillId="2" borderId="45" xfId="20" applyFont="1" applyFill="1" applyBorder="1"/>
    <xf numFmtId="0" fontId="46" fillId="2" borderId="0" xfId="46" applyFont="1" applyFill="1"/>
    <xf numFmtId="0" fontId="66" fillId="2" borderId="0" xfId="43" applyFont="1" applyFill="1" applyAlignment="1">
      <alignment horizontal="center"/>
    </xf>
    <xf numFmtId="166" fontId="75" fillId="2" borderId="0" xfId="44" applyNumberFormat="1" applyFont="1" applyFill="1" applyAlignment="1">
      <alignment horizontal="center"/>
    </xf>
    <xf numFmtId="166" fontId="66" fillId="2" borderId="0" xfId="44" applyNumberFormat="1" applyFont="1" applyFill="1" applyAlignment="1">
      <alignment horizontal="center"/>
    </xf>
    <xf numFmtId="166" fontId="66" fillId="10" borderId="0" xfId="44" applyNumberFormat="1" applyFont="1" applyFill="1" applyAlignment="1">
      <alignment horizontal="center"/>
    </xf>
    <xf numFmtId="166" fontId="67" fillId="2" borderId="0" xfId="44" applyNumberFormat="1" applyFont="1" applyFill="1" applyAlignment="1">
      <alignment horizontal="center"/>
    </xf>
    <xf numFmtId="166" fontId="67" fillId="2" borderId="0" xfId="43" applyNumberFormat="1" applyFont="1" applyFill="1"/>
    <xf numFmtId="166" fontId="67" fillId="2" borderId="6" xfId="44" applyNumberFormat="1" applyFont="1" applyFill="1" applyBorder="1" applyAlignment="1">
      <alignment horizontal="center"/>
    </xf>
    <xf numFmtId="166" fontId="67" fillId="2" borderId="0" xfId="44" applyNumberFormat="1" applyFont="1" applyFill="1" applyBorder="1" applyAlignment="1">
      <alignment horizontal="center"/>
    </xf>
    <xf numFmtId="166" fontId="67" fillId="10" borderId="0" xfId="44" applyNumberFormat="1" applyFont="1" applyFill="1" applyAlignment="1">
      <alignment horizontal="center"/>
    </xf>
    <xf numFmtId="166" fontId="66" fillId="2" borderId="2" xfId="44" applyNumberFormat="1" applyFont="1" applyFill="1" applyBorder="1" applyAlignment="1">
      <alignment horizontal="center"/>
    </xf>
    <xf numFmtId="166" fontId="66" fillId="2" borderId="0" xfId="44" applyNumberFormat="1" applyFont="1" applyFill="1" applyBorder="1" applyAlignment="1">
      <alignment horizontal="center"/>
    </xf>
    <xf numFmtId="41" fontId="66" fillId="2" borderId="0" xfId="45" applyFont="1" applyFill="1"/>
    <xf numFmtId="166" fontId="66" fillId="2" borderId="0" xfId="44" applyNumberFormat="1" applyFont="1" applyFill="1"/>
    <xf numFmtId="41" fontId="67" fillId="2" borderId="0" xfId="45" applyFont="1" applyFill="1" applyBorder="1"/>
    <xf numFmtId="41" fontId="66" fillId="2" borderId="0" xfId="45" applyFont="1" applyFill="1" applyBorder="1"/>
    <xf numFmtId="166" fontId="66" fillId="2" borderId="0" xfId="44" applyNumberFormat="1" applyFont="1" applyFill="1" applyBorder="1"/>
    <xf numFmtId="41" fontId="67" fillId="2" borderId="0" xfId="43" applyNumberFormat="1" applyFont="1" applyFill="1"/>
    <xf numFmtId="41" fontId="66" fillId="2" borderId="0" xfId="43" applyNumberFormat="1" applyFont="1" applyFill="1"/>
    <xf numFmtId="0" fontId="66" fillId="14" borderId="0" xfId="43" applyFont="1" applyFill="1"/>
    <xf numFmtId="41" fontId="66" fillId="14" borderId="0" xfId="45" applyFont="1" applyFill="1" applyBorder="1"/>
    <xf numFmtId="166" fontId="66" fillId="14" borderId="0" xfId="44" applyNumberFormat="1" applyFont="1" applyFill="1" applyBorder="1"/>
    <xf numFmtId="166" fontId="66" fillId="14" borderId="0" xfId="43" applyNumberFormat="1" applyFont="1" applyFill="1"/>
    <xf numFmtId="166" fontId="66" fillId="2" borderId="0" xfId="43" applyNumberFormat="1" applyFont="1" applyFill="1"/>
    <xf numFmtId="166" fontId="67" fillId="3" borderId="45" xfId="44" applyNumberFormat="1" applyFont="1" applyFill="1" applyBorder="1"/>
    <xf numFmtId="0" fontId="67" fillId="15" borderId="0" xfId="43" applyFont="1" applyFill="1"/>
    <xf numFmtId="166" fontId="67" fillId="15" borderId="0" xfId="44" applyNumberFormat="1" applyFont="1" applyFill="1"/>
    <xf numFmtId="41" fontId="67" fillId="15" borderId="0" xfId="45" applyFont="1" applyFill="1"/>
    <xf numFmtId="0" fontId="67" fillId="7" borderId="8" xfId="43" applyFont="1" applyFill="1" applyBorder="1" applyAlignment="1">
      <alignment horizontal="center"/>
    </xf>
    <xf numFmtId="0" fontId="66" fillId="6" borderId="0" xfId="43" applyFont="1" applyFill="1"/>
    <xf numFmtId="0" fontId="67" fillId="6" borderId="0" xfId="43" applyFont="1" applyFill="1"/>
    <xf numFmtId="41" fontId="67" fillId="6" borderId="0" xfId="45" applyFont="1" applyFill="1"/>
    <xf numFmtId="0" fontId="67" fillId="2" borderId="6" xfId="43" applyFont="1" applyFill="1" applyBorder="1" applyAlignment="1">
      <alignment horizontal="center"/>
    </xf>
    <xf numFmtId="166" fontId="67" fillId="2" borderId="6" xfId="44" applyNumberFormat="1" applyFont="1" applyFill="1" applyBorder="1"/>
    <xf numFmtId="0" fontId="69" fillId="2" borderId="0" xfId="43" applyFont="1" applyFill="1"/>
    <xf numFmtId="0" fontId="8" fillId="2" borderId="0" xfId="15" applyFill="1"/>
    <xf numFmtId="166" fontId="8" fillId="2" borderId="0" xfId="15" applyNumberFormat="1" applyFill="1"/>
    <xf numFmtId="41" fontId="67" fillId="2" borderId="6" xfId="45" applyFont="1" applyFill="1" applyBorder="1"/>
    <xf numFmtId="166" fontId="17" fillId="2" borderId="0" xfId="8" applyNumberFormat="1" applyFont="1" applyFill="1"/>
    <xf numFmtId="166" fontId="4" fillId="2" borderId="0" xfId="8" applyNumberFormat="1" applyFont="1" applyFill="1"/>
    <xf numFmtId="37" fontId="4" fillId="2" borderId="0" xfId="8" applyNumberFormat="1" applyFont="1" applyFill="1"/>
    <xf numFmtId="165" fontId="67" fillId="2" borderId="0" xfId="43" applyNumberFormat="1" applyFont="1" applyFill="1"/>
    <xf numFmtId="167" fontId="8" fillId="2" borderId="0" xfId="15" applyNumberFormat="1" applyFill="1"/>
    <xf numFmtId="165" fontId="8" fillId="2" borderId="0" xfId="15" applyNumberFormat="1" applyFill="1"/>
    <xf numFmtId="37" fontId="76" fillId="2" borderId="0" xfId="0" applyNumberFormat="1" applyFont="1" applyFill="1"/>
    <xf numFmtId="37" fontId="77" fillId="2" borderId="0" xfId="0" applyNumberFormat="1" applyFont="1" applyFill="1"/>
    <xf numFmtId="37" fontId="77" fillId="2" borderId="0" xfId="0" applyNumberFormat="1" applyFont="1" applyFill="1" applyAlignment="1">
      <alignment horizontal="center"/>
    </xf>
    <xf numFmtId="0" fontId="0" fillId="2" borderId="0" xfId="0" applyFill="1"/>
    <xf numFmtId="37" fontId="76" fillId="2" borderId="46" xfId="0" applyNumberFormat="1" applyFont="1" applyFill="1" applyBorder="1"/>
    <xf numFmtId="37" fontId="77" fillId="2" borderId="46" xfId="0" applyNumberFormat="1" applyFont="1" applyFill="1" applyBorder="1"/>
    <xf numFmtId="37" fontId="77" fillId="2" borderId="46" xfId="0" applyNumberFormat="1" applyFont="1" applyFill="1" applyBorder="1" applyAlignment="1">
      <alignment horizontal="center"/>
    </xf>
    <xf numFmtId="37" fontId="77" fillId="2" borderId="0" xfId="0" applyNumberFormat="1" applyFont="1" applyFill="1" applyAlignment="1">
      <alignment vertical="center"/>
    </xf>
    <xf numFmtId="37" fontId="77" fillId="2" borderId="0" xfId="0" applyNumberFormat="1" applyFont="1" applyFill="1" applyAlignment="1">
      <alignment horizontal="center" vertical="center"/>
    </xf>
    <xf numFmtId="37" fontId="77" fillId="2" borderId="0" xfId="0" applyNumberFormat="1" applyFont="1" applyFill="1" applyAlignment="1">
      <alignment horizontal="center" vertical="center" wrapText="1"/>
    </xf>
    <xf numFmtId="37" fontId="77" fillId="2" borderId="0" xfId="0" quotePrefix="1" applyNumberFormat="1" applyFont="1" applyFill="1" applyAlignment="1">
      <alignment horizontal="center"/>
    </xf>
    <xf numFmtId="37" fontId="78" fillId="2" borderId="46" xfId="0" applyNumberFormat="1" applyFont="1" applyFill="1" applyBorder="1" applyAlignment="1">
      <alignment horizontal="center"/>
    </xf>
    <xf numFmtId="37" fontId="78" fillId="2" borderId="46" xfId="0" quotePrefix="1" applyNumberFormat="1" applyFont="1" applyFill="1" applyBorder="1" applyAlignment="1">
      <alignment horizontal="center"/>
    </xf>
    <xf numFmtId="37" fontId="78" fillId="2" borderId="0" xfId="0" applyNumberFormat="1" applyFont="1" applyFill="1" applyAlignment="1">
      <alignment horizontal="center"/>
    </xf>
    <xf numFmtId="37" fontId="76" fillId="2" borderId="0" xfId="0" applyNumberFormat="1" applyFont="1" applyFill="1" applyAlignment="1">
      <alignment horizontal="center"/>
    </xf>
    <xf numFmtId="166" fontId="77" fillId="2" borderId="0" xfId="0" applyNumberFormat="1" applyFont="1" applyFill="1"/>
    <xf numFmtId="0" fontId="77" fillId="2" borderId="0" xfId="0" applyFont="1" applyFill="1"/>
    <xf numFmtId="166" fontId="77" fillId="2" borderId="46" xfId="0" applyNumberFormat="1" applyFont="1" applyFill="1" applyBorder="1"/>
    <xf numFmtId="166" fontId="77" fillId="2" borderId="47" xfId="0" applyNumberFormat="1" applyFont="1" applyFill="1" applyBorder="1"/>
    <xf numFmtId="166" fontId="76" fillId="2" borderId="0" xfId="0" applyNumberFormat="1" applyFont="1" applyFill="1"/>
    <xf numFmtId="166" fontId="76" fillId="2" borderId="48" xfId="0" applyNumberFormat="1" applyFont="1" applyFill="1" applyBorder="1"/>
    <xf numFmtId="9" fontId="76" fillId="2" borderId="0" xfId="3" applyFont="1" applyFill="1"/>
    <xf numFmtId="165" fontId="0" fillId="2" borderId="0" xfId="1" applyFont="1" applyFill="1"/>
    <xf numFmtId="165" fontId="77" fillId="2" borderId="0" xfId="1" applyFont="1" applyFill="1"/>
    <xf numFmtId="165" fontId="77" fillId="2" borderId="0" xfId="1" applyFont="1" applyFill="1" applyAlignment="1">
      <alignment horizontal="center"/>
    </xf>
    <xf numFmtId="37" fontId="79" fillId="2" borderId="0" xfId="0" applyNumberFormat="1" applyFont="1" applyFill="1"/>
    <xf numFmtId="0" fontId="0" fillId="8" borderId="0" xfId="0" applyFill="1"/>
    <xf numFmtId="37" fontId="76" fillId="2" borderId="0" xfId="75" applyNumberFormat="1" applyFont="1" applyFill="1" applyAlignment="1">
      <alignment horizontal="left"/>
    </xf>
    <xf numFmtId="37" fontId="77" fillId="2" borderId="0" xfId="75" applyNumberFormat="1" applyFont="1" applyFill="1" applyAlignment="1">
      <alignment horizontal="center" vertical="center"/>
    </xf>
    <xf numFmtId="0" fontId="77" fillId="2" borderId="0" xfId="75" applyFont="1" applyFill="1" applyAlignment="1">
      <alignment horizontal="left" indent="3"/>
    </xf>
    <xf numFmtId="0" fontId="81" fillId="2" borderId="0" xfId="75" applyFont="1" applyFill="1" applyAlignment="1">
      <alignment vertical="top"/>
    </xf>
    <xf numFmtId="37" fontId="76" fillId="2" borderId="46" xfId="75" applyNumberFormat="1" applyFont="1" applyFill="1" applyBorder="1"/>
    <xf numFmtId="0" fontId="80" fillId="2" borderId="0" xfId="75" applyFill="1"/>
    <xf numFmtId="41" fontId="8" fillId="2" borderId="0" xfId="15" applyNumberFormat="1" applyFill="1"/>
    <xf numFmtId="166" fontId="76" fillId="2" borderId="0" xfId="75" applyNumberFormat="1" applyFont="1" applyFill="1"/>
    <xf numFmtId="9" fontId="8" fillId="2" borderId="0" xfId="3" applyFill="1"/>
    <xf numFmtId="37" fontId="77" fillId="2" borderId="0" xfId="75" applyNumberFormat="1" applyFont="1" applyFill="1"/>
    <xf numFmtId="37" fontId="76" fillId="2" borderId="0" xfId="75" applyNumberFormat="1" applyFont="1" applyFill="1"/>
    <xf numFmtId="37" fontId="77" fillId="2" borderId="0" xfId="75" applyNumberFormat="1" applyFont="1" applyFill="1" applyAlignment="1">
      <alignment horizontal="center"/>
    </xf>
    <xf numFmtId="37" fontId="77" fillId="2" borderId="0" xfId="75" quotePrefix="1" applyNumberFormat="1" applyFont="1" applyFill="1"/>
    <xf numFmtId="37" fontId="76" fillId="2" borderId="0" xfId="75" applyNumberFormat="1" applyFont="1" applyFill="1" applyAlignment="1">
      <alignment horizontal="left" indent="2"/>
    </xf>
    <xf numFmtId="37" fontId="78" fillId="2" borderId="0" xfId="75" applyNumberFormat="1" applyFont="1" applyFill="1" applyAlignment="1">
      <alignment horizontal="center"/>
    </xf>
    <xf numFmtId="37" fontId="76" fillId="2" borderId="0" xfId="75" applyNumberFormat="1" applyFont="1" applyFill="1" applyAlignment="1">
      <alignment horizontal="left" indent="1"/>
    </xf>
    <xf numFmtId="37" fontId="77" fillId="2" borderId="0" xfId="75" applyNumberFormat="1" applyFont="1" applyFill="1" applyAlignment="1">
      <alignment horizontal="left" indent="2"/>
    </xf>
    <xf numFmtId="166" fontId="77" fillId="2" borderId="46" xfId="75" applyNumberFormat="1" applyFont="1" applyFill="1" applyBorder="1"/>
    <xf numFmtId="0" fontId="77" fillId="2" borderId="46" xfId="75" applyFont="1" applyFill="1" applyBorder="1" applyAlignment="1">
      <alignment horizontal="center"/>
    </xf>
    <xf numFmtId="37" fontId="78" fillId="2" borderId="46" xfId="75" applyNumberFormat="1" applyFont="1" applyFill="1" applyBorder="1" applyAlignment="1">
      <alignment horizontal="center"/>
    </xf>
    <xf numFmtId="166" fontId="77" fillId="2" borderId="0" xfId="75" applyNumberFormat="1" applyFont="1" applyFill="1"/>
    <xf numFmtId="0" fontId="77" fillId="2" borderId="0" xfId="75" applyFont="1" applyFill="1"/>
    <xf numFmtId="37" fontId="77" fillId="2" borderId="46" xfId="75" applyNumberFormat="1" applyFont="1" applyFill="1" applyBorder="1" applyAlignment="1">
      <alignment horizontal="center"/>
    </xf>
    <xf numFmtId="166" fontId="77" fillId="2" borderId="48" xfId="75" applyNumberFormat="1" applyFont="1" applyFill="1" applyBorder="1"/>
    <xf numFmtId="166" fontId="76" fillId="2" borderId="46" xfId="75" applyNumberFormat="1" applyFont="1" applyFill="1" applyBorder="1"/>
    <xf numFmtId="37" fontId="77" fillId="2" borderId="46" xfId="75" applyNumberFormat="1" applyFont="1" applyFill="1" applyBorder="1"/>
    <xf numFmtId="0" fontId="4" fillId="4" borderId="10" xfId="8" applyFont="1" applyFill="1" applyBorder="1" applyAlignment="1">
      <alignment horizontal="center"/>
    </xf>
    <xf numFmtId="166" fontId="4" fillId="3" borderId="1" xfId="10" applyNumberFormat="1" applyFont="1" applyFill="1" applyBorder="1" applyAlignment="1">
      <alignment horizontal="center" vertical="center"/>
    </xf>
    <xf numFmtId="166" fontId="4" fillId="3" borderId="3" xfId="10" applyNumberFormat="1" applyFont="1" applyFill="1" applyBorder="1" applyAlignment="1">
      <alignment horizontal="center" vertical="center"/>
    </xf>
    <xf numFmtId="166" fontId="4" fillId="3" borderId="4" xfId="10" applyNumberFormat="1" applyFont="1" applyFill="1" applyBorder="1" applyAlignment="1">
      <alignment horizontal="center" vertical="center"/>
    </xf>
    <xf numFmtId="166" fontId="4" fillId="3" borderId="13" xfId="10" applyNumberFormat="1" applyFont="1" applyFill="1" applyBorder="1" applyAlignment="1">
      <alignment horizontal="center" vertical="center"/>
    </xf>
    <xf numFmtId="0" fontId="4" fillId="4" borderId="9" xfId="8" applyFont="1" applyFill="1" applyBorder="1" applyAlignment="1">
      <alignment horizontal="center" wrapText="1"/>
    </xf>
    <xf numFmtId="0" fontId="4" fillId="4" borderId="14" xfId="8" applyFont="1" applyFill="1" applyBorder="1" applyAlignment="1">
      <alignment horizontal="center" wrapText="1"/>
    </xf>
    <xf numFmtId="0" fontId="4" fillId="5" borderId="10" xfId="8" applyFont="1" applyFill="1" applyBorder="1" applyAlignment="1">
      <alignment horizontal="center"/>
    </xf>
    <xf numFmtId="0" fontId="4" fillId="5" borderId="11" xfId="8" applyFont="1" applyFill="1" applyBorder="1" applyAlignment="1">
      <alignment horizontal="center"/>
    </xf>
    <xf numFmtId="0" fontId="4" fillId="5" borderId="12" xfId="8" applyFont="1" applyFill="1" applyBorder="1" applyAlignment="1">
      <alignment horizontal="center"/>
    </xf>
    <xf numFmtId="15" fontId="4" fillId="4" borderId="9" xfId="15" quotePrefix="1" applyNumberFormat="1" applyFont="1" applyFill="1" applyBorder="1" applyAlignment="1">
      <alignment horizontal="center" wrapText="1"/>
    </xf>
    <xf numFmtId="15" fontId="4" fillId="4" borderId="14" xfId="15" quotePrefix="1" applyNumberFormat="1" applyFont="1" applyFill="1" applyBorder="1" applyAlignment="1">
      <alignment horizontal="center" wrapText="1"/>
    </xf>
    <xf numFmtId="166" fontId="4" fillId="3" borderId="5" xfId="10" applyNumberFormat="1" applyFont="1" applyFill="1" applyBorder="1" applyAlignment="1">
      <alignment horizontal="center" vertical="center"/>
    </xf>
    <xf numFmtId="166" fontId="4" fillId="3" borderId="7" xfId="10" applyNumberFormat="1" applyFont="1" applyFill="1" applyBorder="1" applyAlignment="1">
      <alignment horizontal="center" vertical="center"/>
    </xf>
    <xf numFmtId="0" fontId="4" fillId="4" borderId="12" xfId="8" applyFont="1" applyFill="1" applyBorder="1" applyAlignment="1">
      <alignment horizontal="center"/>
    </xf>
    <xf numFmtId="0" fontId="43" fillId="15" borderId="10" xfId="21" applyFont="1" applyFill="1" applyBorder="1" applyAlignment="1">
      <alignment horizontal="center" vertical="center"/>
    </xf>
    <xf numFmtId="0" fontId="43" fillId="15" borderId="12" xfId="21" applyFont="1" applyFill="1" applyBorder="1" applyAlignment="1">
      <alignment horizontal="center" vertical="center"/>
    </xf>
    <xf numFmtId="0" fontId="43" fillId="15" borderId="8" xfId="21" applyFont="1" applyFill="1" applyBorder="1" applyAlignment="1">
      <alignment horizontal="center" vertical="center"/>
    </xf>
    <xf numFmtId="0" fontId="22" fillId="2" borderId="0" xfId="15" applyFont="1" applyFill="1" applyAlignment="1">
      <alignment vertical="center"/>
    </xf>
    <xf numFmtId="0" fontId="3" fillId="17" borderId="1" xfId="39" applyFont="1" applyFill="1" applyBorder="1" applyAlignment="1">
      <alignment horizontal="center"/>
    </xf>
    <xf numFmtId="0" fontId="3" fillId="17" borderId="3" xfId="39" applyFont="1" applyFill="1" applyBorder="1" applyAlignment="1">
      <alignment horizontal="center"/>
    </xf>
    <xf numFmtId="0" fontId="3" fillId="17" borderId="5" xfId="39" applyFont="1" applyFill="1" applyBorder="1" applyAlignment="1">
      <alignment horizontal="center"/>
    </xf>
    <xf numFmtId="0" fontId="3" fillId="17" borderId="7" xfId="39" applyFont="1" applyFill="1" applyBorder="1" applyAlignment="1">
      <alignment horizontal="center"/>
    </xf>
    <xf numFmtId="166" fontId="3" fillId="7" borderId="11" xfId="42" applyNumberFormat="1" applyFont="1" applyFill="1" applyBorder="1" applyAlignment="1">
      <alignment horizontal="center"/>
    </xf>
    <xf numFmtId="166" fontId="3" fillId="6" borderId="10" xfId="42" applyNumberFormat="1" applyFont="1" applyFill="1" applyBorder="1" applyAlignment="1">
      <alignment horizontal="center"/>
    </xf>
    <xf numFmtId="166" fontId="3" fillId="6" borderId="11" xfId="42" applyNumberFormat="1" applyFont="1" applyFill="1" applyBorder="1" applyAlignment="1">
      <alignment horizontal="center"/>
    </xf>
    <xf numFmtId="166" fontId="3" fillId="6" borderId="12" xfId="42" applyNumberFormat="1" applyFont="1" applyFill="1" applyBorder="1" applyAlignment="1">
      <alignment horizontal="center"/>
    </xf>
    <xf numFmtId="166" fontId="3" fillId="18" borderId="9" xfId="42" applyNumberFormat="1" applyFont="1" applyFill="1" applyBorder="1" applyAlignment="1">
      <alignment horizontal="center" wrapText="1"/>
    </xf>
    <xf numFmtId="166" fontId="3" fillId="18" borderId="14" xfId="42" applyNumberFormat="1" applyFont="1" applyFill="1" applyBorder="1" applyAlignment="1">
      <alignment horizontal="center" wrapText="1"/>
    </xf>
    <xf numFmtId="166" fontId="3" fillId="3" borderId="9" xfId="42" applyNumberFormat="1" applyFont="1" applyFill="1" applyBorder="1" applyAlignment="1">
      <alignment horizontal="center"/>
    </xf>
    <xf numFmtId="166" fontId="3" fillId="3" borderId="14" xfId="42" applyNumberFormat="1" applyFont="1" applyFill="1" applyBorder="1" applyAlignment="1">
      <alignment horizontal="center"/>
    </xf>
  </cellXfs>
  <cellStyles count="97">
    <cellStyle name="Comma" xfId="1" builtinId="3"/>
    <cellStyle name="Comma [0]" xfId="2" builtinId="6"/>
    <cellStyle name="Comma [0] 10 2" xfId="14" xr:uid="{8616AF67-646D-4CA4-91FE-098516CB876F}"/>
    <cellStyle name="Comma [0] 10 2 29" xfId="34" xr:uid="{D9D4B198-02DF-4003-A8C9-5A53F7987764}"/>
    <cellStyle name="Comma [0] 2" xfId="6" xr:uid="{F14730EA-CA89-43C0-948E-687CA5F88509}"/>
    <cellStyle name="Comma [0] 2 2" xfId="53" xr:uid="{FED8AC3B-D987-4C80-A3B1-1C978D53C394}"/>
    <cellStyle name="Comma [0] 2 3 11" xfId="20" xr:uid="{4F5723E1-A1C3-4A4D-8627-FBBFF2172B90}"/>
    <cellStyle name="Comma [0] 43 2" xfId="45" xr:uid="{C99D3860-AC93-4A04-B8A6-75D8A3F84E75}"/>
    <cellStyle name="Comma 10" xfId="93" xr:uid="{4D479282-3595-4500-B575-754224A25B52}"/>
    <cellStyle name="Comma 10 10" xfId="41" xr:uid="{00BD758D-161C-4F06-AC11-31A48CB2ED75}"/>
    <cellStyle name="Comma 10 10 2" xfId="69" xr:uid="{A2D2B442-F1FD-483F-9DC7-3C100BB8A221}"/>
    <cellStyle name="Comma 10 2 3 2 2 2" xfId="10" xr:uid="{CBC60662-4702-47BC-A90F-E36AA8ED391A}"/>
    <cellStyle name="Comma 10 8" xfId="37" xr:uid="{877A5239-10FF-4F2D-A977-307FE2017605}"/>
    <cellStyle name="Comma 1008" xfId="44" xr:uid="{33527692-E7FA-4F87-8389-B199917A5D2C}"/>
    <cellStyle name="Comma 104 2" xfId="88" xr:uid="{7C5FF761-B4CC-46A1-8C4D-71D313FE9581}"/>
    <cellStyle name="Comma 11" xfId="49" xr:uid="{A3898D62-F0C2-4588-8EBB-BBC1E9A541E0}"/>
    <cellStyle name="Comma 12" xfId="78" xr:uid="{5D26F03C-AA85-40DB-9B4B-47EBF1F02BC8}"/>
    <cellStyle name="Comma 13" xfId="62" xr:uid="{8290FDBB-8BD0-4A4A-916F-2E0D6551E69B}"/>
    <cellStyle name="Comma 151 3" xfId="40" xr:uid="{B962C7B4-E77A-45A9-874C-1A616409DBAD}"/>
    <cellStyle name="Comma 163" xfId="70" xr:uid="{FB062267-3A81-4CA8-970E-327DC064BEBB}"/>
    <cellStyle name="Comma 171" xfId="64" xr:uid="{06CB1D60-E4B0-455C-B4EE-B79AE7409F8E}"/>
    <cellStyle name="Comma 177" xfId="72" xr:uid="{78B3E2BC-08E2-4D5C-B53C-F37ED56223E3}"/>
    <cellStyle name="Comma 2" xfId="5" xr:uid="{AA879E30-A8DC-43C2-992B-66C3F68AA54C}"/>
    <cellStyle name="Comma 2 2" xfId="11" xr:uid="{B9CB7A79-BFE3-48A8-A258-EFF13CC0D6E3}"/>
    <cellStyle name="Comma 2 2 2" xfId="56" xr:uid="{AE323EC9-D418-4396-9148-2AFCB0335147}"/>
    <cellStyle name="Comma 2 2 3" xfId="13" xr:uid="{ABB05524-0850-4FA1-8A64-0F82283D9D2E}"/>
    <cellStyle name="Comma 2 3" xfId="50" xr:uid="{B647772A-D8FF-4587-B535-58AFF05D3B65}"/>
    <cellStyle name="Comma 2 4" xfId="19" xr:uid="{924A2338-8333-4A84-A1CB-69FB59108924}"/>
    <cellStyle name="Comma 2 8" xfId="77" xr:uid="{53E1051F-EF9D-4E2F-8FDF-421727BB5C2F}"/>
    <cellStyle name="Comma 2 9" xfId="83" xr:uid="{AADAEE18-26F1-4E64-8F5B-63777B83618A}"/>
    <cellStyle name="Comma 2 9 4 2" xfId="27" xr:uid="{B31A0748-3017-4E19-A67F-C49416099325}"/>
    <cellStyle name="Comma 21" xfId="80" xr:uid="{6FC00E21-52C5-426D-9ECA-8BB0E706E81F}"/>
    <cellStyle name="Comma 233" xfId="82" xr:uid="{AFBEC541-BF30-4862-A88B-1B68FAF1DEC3}"/>
    <cellStyle name="Comma 270 2 2" xfId="24" xr:uid="{302F7028-9928-466E-800C-386F2C01F179}"/>
    <cellStyle name="Comma 29 12" xfId="26" xr:uid="{1F888154-8DDD-419F-9CE2-0CCE433FC749}"/>
    <cellStyle name="Comma 3" xfId="54" xr:uid="{3F402CF1-E28D-461C-9251-2411D89B3F45}"/>
    <cellStyle name="Comma 3 12 4 2" xfId="47" xr:uid="{5DD7DE88-D690-440A-9F70-388BCAD75D22}"/>
    <cellStyle name="Comma 4" xfId="52" xr:uid="{52C2936F-AAF6-416D-9A72-04B806986AD5}"/>
    <cellStyle name="Comma 5" xfId="58" xr:uid="{471F6E23-DFAF-4E36-88CC-0C13555A50D9}"/>
    <cellStyle name="Comma 5 2" xfId="95" xr:uid="{FC27DD03-22D4-49FC-9C00-0801BDD3A4B4}"/>
    <cellStyle name="Comma 5 2 2 2" xfId="84" xr:uid="{6227D953-2DD1-4059-BEDC-7E872E557279}"/>
    <cellStyle name="Comma 51" xfId="42" xr:uid="{54A622D4-B261-438C-B623-99BF6FE945C2}"/>
    <cellStyle name="Comma 6" xfId="59" xr:uid="{AD8E6097-0070-4425-A1E4-F7B437FCBADE}"/>
    <cellStyle name="Comma 7" xfId="60" xr:uid="{E599EBDD-9956-4F3F-BB56-21625BE46C88}"/>
    <cellStyle name="Comma 8" xfId="61" xr:uid="{1B38FC51-4DC0-4FC0-86E3-1FCC590A0C29}"/>
    <cellStyle name="Comma 9" xfId="67" xr:uid="{9993A5B9-E1FA-40D6-8B3A-8E7503D0229C}"/>
    <cellStyle name="E&amp;Y House" xfId="28" xr:uid="{B0AAFED3-203F-4EEB-8752-85C417DDE7B1}"/>
    <cellStyle name="Hyperlink 2" xfId="71" xr:uid="{6FFCEE62-98B8-4204-ABC0-9914C148AEFA}"/>
    <cellStyle name="Hyperlink 2 2" xfId="79" xr:uid="{881B46FD-7C65-4911-B315-252F3BBDC3E0}"/>
    <cellStyle name="Hyperlink 3" xfId="68" xr:uid="{C4B0F127-710D-41D9-A35C-2DAB878233AA}"/>
    <cellStyle name="Normal" xfId="0" builtinId="0"/>
    <cellStyle name="Normal - Style1" xfId="31" xr:uid="{2FA07C3A-BE31-4EB6-B6FB-4D69356C7477}"/>
    <cellStyle name="Normal - Style1 4" xfId="33" xr:uid="{6AF74BE0-381C-47AA-BECE-536EB79A8F8C}"/>
    <cellStyle name="Normal 10" xfId="89" xr:uid="{625007EB-A601-4B10-BA54-805B26D9E2E7}"/>
    <cellStyle name="Normal 10 2" xfId="9" xr:uid="{60A03A08-6C50-48B2-9E86-BD3E10C8DB5A}"/>
    <cellStyle name="Normal 101" xfId="65" xr:uid="{8D353BE5-5A7F-490F-9332-F88FCA8F7C97}"/>
    <cellStyle name="Normal 102" xfId="66" xr:uid="{40055C80-5D70-4B56-9CA6-1230DCCFBD5A}"/>
    <cellStyle name="Normal 11 2 10" xfId="46" xr:uid="{FC6B8B35-3C4D-470D-A250-2990C8E6DB9A}"/>
    <cellStyle name="Normal 12" xfId="25" xr:uid="{653C9CF6-DFBE-4F94-8379-12222334120A}"/>
    <cellStyle name="Normal 121 9" xfId="39" xr:uid="{48D8351C-89BF-476E-9071-BFA734EF362C}"/>
    <cellStyle name="Normal 166" xfId="94" xr:uid="{CBF0B5A0-2670-4712-93CD-0F2192A2A09A}"/>
    <cellStyle name="Normal 2" xfId="4" xr:uid="{F30AACE5-F8B5-4E09-9B6A-994FF66D9E45}"/>
    <cellStyle name="Normal 2 10" xfId="76" xr:uid="{FBC55B20-7413-4026-9C1E-01EAE4CCE90E}"/>
    <cellStyle name="Normal 2 10 10" xfId="16" xr:uid="{4415C397-B1EB-49CA-9F47-89C13B4BFACA}"/>
    <cellStyle name="Normal 2 135" xfId="7" xr:uid="{D330FE63-EADF-4214-B998-2E37267CA75D}"/>
    <cellStyle name="Normal 2 2" xfId="85" xr:uid="{2211B194-A823-46F2-96B3-48E7DDBC4CFE}"/>
    <cellStyle name="Normal 2 2 10 3" xfId="38" xr:uid="{CA09E195-2A2E-4814-9F4F-1E584250FFC6}"/>
    <cellStyle name="Normal 2 3" xfId="91" xr:uid="{DBD444B0-AC7B-4ADE-88BD-FE86C731F90D}"/>
    <cellStyle name="Normal 2 4" xfId="90" xr:uid="{B4152154-96D5-4BB7-A7F4-EFD01D5EE266}"/>
    <cellStyle name="Normal 246 2" xfId="35" xr:uid="{7285E667-992B-4193-9B3C-F2440701CA41}"/>
    <cellStyle name="Normal 269 2" xfId="21" xr:uid="{4705FAC8-69F8-4543-8C87-AC1D855561EB}"/>
    <cellStyle name="Normal 28" xfId="15" xr:uid="{4ED87C9E-9702-489B-8D17-136BA459D734}"/>
    <cellStyle name="Normal 3" xfId="55" xr:uid="{0D7DB1D9-4987-440A-BC0E-8069397DB1F3}"/>
    <cellStyle name="Normal 3 2" xfId="32" xr:uid="{714C4B1D-B0BF-44DC-97C3-8EB507DC646D}"/>
    <cellStyle name="Normal 3 2 2" xfId="81" xr:uid="{A969102D-1E38-4269-93AD-CE8683F4C1AA}"/>
    <cellStyle name="Normal 3 21" xfId="8" xr:uid="{4CA02F00-8C97-4C4B-B5BF-1343F78C28E2}"/>
    <cellStyle name="Normal 3 3" xfId="86" xr:uid="{42307871-F66E-4034-BA92-C58AB09C096F}"/>
    <cellStyle name="Normal 3 4" xfId="87" xr:uid="{3AC70069-A361-48DA-87FC-4DE87213C8CD}"/>
    <cellStyle name="Normal 3 8 3 3" xfId="23" xr:uid="{20284795-3503-4ABD-9C43-C20A21F04C77}"/>
    <cellStyle name="Normal 4" xfId="57" xr:uid="{E3931929-8B69-4476-AEEF-9EC926988912}"/>
    <cellStyle name="Normal 414" xfId="43" xr:uid="{30CF8F60-3C88-4227-B5C0-1A5CD17F4FC8}"/>
    <cellStyle name="Normal 5" xfId="51" xr:uid="{2E929B7F-5067-40FC-BDA5-CF6A5568628F}"/>
    <cellStyle name="Normal 6" xfId="63" xr:uid="{900D9225-F4C2-4FCE-B8E0-180487BA082E}"/>
    <cellStyle name="Normal 6 18" xfId="18" xr:uid="{2C354076-6832-4F76-9796-95586646AE50}"/>
    <cellStyle name="Normal 7" xfId="92" xr:uid="{4160EEC6-D258-4466-B31D-50615D3DF802}"/>
    <cellStyle name="Normal 7 3" xfId="96" xr:uid="{1C3EB4E3-314D-44FD-B250-379C656F888B}"/>
    <cellStyle name="Normal 8" xfId="48" xr:uid="{22C21746-75DB-4FFB-A9BD-58B0310700F3}"/>
    <cellStyle name="Normal 9" xfId="75" xr:uid="{02C415EF-2A5D-4821-9823-44D164A2B196}"/>
    <cellStyle name="Normal 9 15" xfId="29" xr:uid="{3D46F9B7-E962-46DF-9C5A-621576978E66}"/>
    <cellStyle name="Normal_INSEAD Top Trials &amp; Leads" xfId="30" xr:uid="{02F3F099-DFF1-4234-BAD6-14C48F40F171}"/>
    <cellStyle name="Normal_Sheet1" xfId="12" xr:uid="{6ABF3C94-F9BE-457A-959F-8C7CB5DED117}"/>
    <cellStyle name="Per cent" xfId="3" builtinId="5"/>
    <cellStyle name="Percent 2" xfId="17" xr:uid="{185EBBAF-A5B8-46BA-B706-FF1FB682AB08}"/>
    <cellStyle name="Percent 2 2" xfId="73" xr:uid="{F9775565-A0CD-4C4E-BF77-80151329B1D9}"/>
    <cellStyle name="Percent 2 5 3 2" xfId="22" xr:uid="{523593E6-E9CD-4809-ACE3-D87391CB8355}"/>
    <cellStyle name="Percent 3" xfId="74" xr:uid="{D58B548F-C632-4438-BAA6-978B4A7C0506}"/>
    <cellStyle name="Percent 52" xfId="36" xr:uid="{C416DD36-EE3B-4E43-A85D-E9F9ED47E986}"/>
  </cellStyles>
  <dxfs count="634"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66FF33"/>
        </patternFill>
      </fill>
      <border>
        <vertical/>
        <horizontal/>
      </border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66FF33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25400</xdr:colOff>
      <xdr:row>9</xdr:row>
      <xdr:rowOff>0</xdr:rowOff>
    </xdr:from>
    <xdr:to>
      <xdr:col>24</xdr:col>
      <xdr:colOff>139700</xdr:colOff>
      <xdr:row>50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2CE710B-EED2-4BE3-81A4-0C50D1B0C921}"/>
            </a:ext>
          </a:extLst>
        </xdr:cNvPr>
        <xdr:cNvGrpSpPr/>
      </xdr:nvGrpSpPr>
      <xdr:grpSpPr>
        <a:xfrm>
          <a:off x="19772136" y="2354792"/>
          <a:ext cx="114300" cy="6879166"/>
          <a:chOff x="9847580" y="2194560"/>
          <a:chExt cx="114300" cy="1833245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78417076-4E13-349C-5C79-D740D0D7C2F4}"/>
              </a:ext>
            </a:extLst>
          </xdr:cNvPr>
          <xdr:cNvCxnSpPr/>
        </xdr:nvCxnSpPr>
        <xdr:spPr>
          <a:xfrm>
            <a:off x="9898380" y="2194560"/>
            <a:ext cx="0" cy="1833245"/>
          </a:xfrm>
          <a:prstGeom prst="line">
            <a:avLst/>
          </a:prstGeom>
          <a:ln w="1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C2FD3259-639B-F00B-8D88-3B55E9C94E4E}"/>
              </a:ext>
            </a:extLst>
          </xdr:cNvPr>
          <xdr:cNvCxnSpPr/>
        </xdr:nvCxnSpPr>
        <xdr:spPr>
          <a:xfrm>
            <a:off x="9847580" y="4027805"/>
            <a:ext cx="114300" cy="0"/>
          </a:xfrm>
          <a:prstGeom prst="line">
            <a:avLst/>
          </a:prstGeom>
          <a:ln w="1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25400</xdr:colOff>
      <xdr:row>9</xdr:row>
      <xdr:rowOff>0</xdr:rowOff>
    </xdr:from>
    <xdr:to>
      <xdr:col>24</xdr:col>
      <xdr:colOff>139700</xdr:colOff>
      <xdr:row>50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0E6ECBC-4C17-4E1E-9921-28E1E51B529F}"/>
            </a:ext>
          </a:extLst>
        </xdr:cNvPr>
        <xdr:cNvGrpSpPr/>
      </xdr:nvGrpSpPr>
      <xdr:grpSpPr>
        <a:xfrm>
          <a:off x="19723100" y="2343150"/>
          <a:ext cx="114300" cy="6781800"/>
          <a:chOff x="9847580" y="2194560"/>
          <a:chExt cx="114300" cy="1833245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59D4FB62-4C67-F18B-9427-AFCFDC88E381}"/>
              </a:ext>
            </a:extLst>
          </xdr:cNvPr>
          <xdr:cNvCxnSpPr/>
        </xdr:nvCxnSpPr>
        <xdr:spPr>
          <a:xfrm>
            <a:off x="9898380" y="2194560"/>
            <a:ext cx="0" cy="1833245"/>
          </a:xfrm>
          <a:prstGeom prst="line">
            <a:avLst/>
          </a:prstGeom>
          <a:ln w="1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BFAEF903-70E0-2BF1-CB0C-7BD06CE217B9}"/>
              </a:ext>
            </a:extLst>
          </xdr:cNvPr>
          <xdr:cNvCxnSpPr/>
        </xdr:nvCxnSpPr>
        <xdr:spPr>
          <a:xfrm>
            <a:off x="9847580" y="4027805"/>
            <a:ext cx="114300" cy="0"/>
          </a:xfrm>
          <a:prstGeom prst="line">
            <a:avLst/>
          </a:prstGeom>
          <a:ln w="1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headEnd type="none" w="med" len="sm"/>
            <a:tailEnd type="none" w="med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38099</xdr:colOff>
      <xdr:row>26</xdr:row>
      <xdr:rowOff>57151</xdr:rowOff>
    </xdr:from>
    <xdr:to>
      <xdr:col>16</xdr:col>
      <xdr:colOff>238124</xdr:colOff>
      <xdr:row>27</xdr:row>
      <xdr:rowOff>123826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88C0F957-C537-4534-85B4-7537FEE61F2C}"/>
            </a:ext>
          </a:extLst>
        </xdr:cNvPr>
        <xdr:cNvSpPr/>
      </xdr:nvSpPr>
      <xdr:spPr>
        <a:xfrm>
          <a:off x="11820524" y="4267201"/>
          <a:ext cx="152400" cy="228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85FE-DE2F-4CAD-867F-0D984B5DCF74}">
  <sheetPr>
    <tabColor rgb="FFC00000"/>
  </sheetPr>
  <dimension ref="A1"/>
  <sheetViews>
    <sheetView workbookViewId="0"/>
  </sheetViews>
  <sheetFormatPr defaultColWidth="9.1796875" defaultRowHeight="14.5"/>
  <cols>
    <col min="1" max="16384" width="9.1796875" style="62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35F5-DDE9-4AA4-825E-18F73AA30612}">
  <dimension ref="A1:W1015"/>
  <sheetViews>
    <sheetView workbookViewId="0"/>
  </sheetViews>
  <sheetFormatPr defaultColWidth="12.54296875" defaultRowHeight="14.5" outlineLevelCol="1"/>
  <cols>
    <col min="1" max="4" width="1.453125" style="601" customWidth="1"/>
    <col min="5" max="5" width="21.81640625" style="601" customWidth="1"/>
    <col min="6" max="6" width="2.1796875" style="601" customWidth="1"/>
    <col min="7" max="7" width="8.1796875" style="601" customWidth="1"/>
    <col min="8" max="8" width="1.453125" style="601" customWidth="1"/>
    <col min="9" max="9" width="1.81640625" style="601" customWidth="1" outlineLevel="1"/>
    <col min="10" max="10" width="17" style="601" customWidth="1"/>
    <col min="11" max="11" width="1.453125" style="601" customWidth="1"/>
    <col min="12" max="12" width="17.54296875" style="601" bestFit="1" customWidth="1" outlineLevel="1"/>
    <col min="13" max="13" width="1.81640625" style="601" customWidth="1"/>
    <col min="14" max="14" width="16.1796875" style="601" customWidth="1"/>
    <col min="15" max="18" width="1.453125" style="601" customWidth="1"/>
    <col min="19" max="19" width="24.453125" style="601" customWidth="1"/>
    <col min="20" max="20" width="13.453125" style="601" customWidth="1"/>
    <col min="21" max="16384" width="12.54296875" style="601"/>
  </cols>
  <sheetData>
    <row r="1" spans="1:20" ht="11.25" customHeight="1">
      <c r="A1" s="598" t="s">
        <v>1050</v>
      </c>
      <c r="B1" s="599"/>
      <c r="C1" s="599"/>
      <c r="D1" s="599"/>
      <c r="E1" s="599"/>
      <c r="F1" s="599"/>
      <c r="G1" s="600"/>
      <c r="H1" s="599"/>
      <c r="I1" s="599"/>
      <c r="J1" s="599"/>
      <c r="K1" s="599"/>
      <c r="L1" s="599"/>
      <c r="M1" s="599"/>
      <c r="N1" s="598" t="s">
        <v>1051</v>
      </c>
      <c r="O1" s="598"/>
      <c r="P1" s="599"/>
      <c r="Q1" s="598"/>
      <c r="R1" s="599"/>
      <c r="S1" s="599"/>
      <c r="T1" s="599"/>
    </row>
    <row r="2" spans="1:20" ht="11.25" customHeight="1">
      <c r="A2" s="598" t="s">
        <v>965</v>
      </c>
      <c r="B2" s="599"/>
      <c r="C2" s="599"/>
      <c r="D2" s="599"/>
      <c r="E2" s="599"/>
      <c r="F2" s="599"/>
      <c r="G2" s="600"/>
      <c r="H2" s="599"/>
      <c r="I2" s="599"/>
      <c r="J2" s="599"/>
      <c r="K2" s="599"/>
      <c r="L2" s="599"/>
      <c r="M2" s="599"/>
      <c r="N2" s="598" t="s">
        <v>966</v>
      </c>
      <c r="O2" s="598"/>
      <c r="P2" s="599"/>
      <c r="Q2" s="598"/>
      <c r="R2" s="599"/>
      <c r="S2" s="599"/>
      <c r="T2" s="599"/>
    </row>
    <row r="3" spans="1:20" ht="11.25" customHeight="1">
      <c r="A3" s="598" t="s">
        <v>1053</v>
      </c>
      <c r="B3" s="599"/>
      <c r="C3" s="599"/>
      <c r="D3" s="599"/>
      <c r="E3" s="599"/>
      <c r="F3" s="599"/>
      <c r="G3" s="600"/>
      <c r="H3" s="599"/>
      <c r="I3" s="599"/>
      <c r="J3" s="599"/>
      <c r="K3" s="599"/>
      <c r="L3" s="599"/>
      <c r="M3" s="599"/>
      <c r="N3" s="598" t="s">
        <v>1052</v>
      </c>
      <c r="O3" s="598"/>
      <c r="P3" s="599"/>
      <c r="Q3" s="598"/>
      <c r="R3" s="599"/>
      <c r="S3" s="599"/>
      <c r="T3" s="599"/>
    </row>
    <row r="4" spans="1:20" ht="11.25" customHeight="1">
      <c r="A4" s="602" t="s">
        <v>1133</v>
      </c>
      <c r="B4" s="603"/>
      <c r="C4" s="603"/>
      <c r="D4" s="603"/>
      <c r="E4" s="603"/>
      <c r="F4" s="603"/>
      <c r="G4" s="604"/>
      <c r="H4" s="603"/>
      <c r="I4" s="603"/>
      <c r="J4" s="603"/>
      <c r="K4" s="603"/>
      <c r="L4" s="603"/>
      <c r="M4" s="603"/>
      <c r="N4" s="602" t="s">
        <v>1134</v>
      </c>
      <c r="O4" s="602"/>
      <c r="P4" s="603"/>
      <c r="Q4" s="602"/>
      <c r="R4" s="603"/>
      <c r="S4" s="603"/>
      <c r="T4" s="599"/>
    </row>
    <row r="5" spans="1:20" ht="11.25" customHeight="1">
      <c r="A5" s="599"/>
      <c r="B5" s="599"/>
      <c r="C5" s="599"/>
      <c r="D5" s="599"/>
      <c r="E5" s="599"/>
      <c r="F5" s="599"/>
      <c r="G5" s="600"/>
      <c r="H5" s="599"/>
      <c r="I5" s="599"/>
      <c r="J5" s="599"/>
      <c r="K5" s="599"/>
      <c r="L5" s="599"/>
      <c r="M5" s="599"/>
      <c r="N5" s="599"/>
      <c r="O5" s="599"/>
      <c r="P5" s="598"/>
      <c r="Q5" s="598"/>
      <c r="R5" s="599"/>
      <c r="S5" s="599"/>
      <c r="T5" s="599"/>
    </row>
    <row r="6" spans="1:20" ht="25" customHeight="1">
      <c r="A6" s="605"/>
      <c r="B6" s="605"/>
      <c r="C6" s="605"/>
      <c r="D6" s="605"/>
      <c r="E6" s="605"/>
      <c r="F6" s="605"/>
      <c r="G6" s="606"/>
      <c r="H6" s="605"/>
      <c r="I6" s="606"/>
      <c r="J6" s="606"/>
      <c r="K6" s="605"/>
      <c r="L6" s="607"/>
      <c r="M6" s="606"/>
      <c r="N6" s="606"/>
      <c r="O6" s="605"/>
      <c r="P6" s="605"/>
      <c r="Q6" s="605"/>
      <c r="R6" s="605"/>
      <c r="S6" s="605"/>
      <c r="T6" s="605"/>
    </row>
    <row r="7" spans="1:20" ht="11.25" customHeight="1">
      <c r="A7" s="599"/>
      <c r="B7" s="599"/>
      <c r="C7" s="599"/>
      <c r="D7" s="599"/>
      <c r="E7" s="599"/>
      <c r="F7" s="599"/>
      <c r="G7" s="600" t="s">
        <v>967</v>
      </c>
      <c r="H7" s="599"/>
      <c r="I7" s="600"/>
      <c r="J7" s="608" t="s">
        <v>1048</v>
      </c>
      <c r="K7" s="599"/>
      <c r="L7" s="608" t="s">
        <v>968</v>
      </c>
      <c r="M7" s="600"/>
      <c r="N7" s="608" t="s">
        <v>969</v>
      </c>
      <c r="O7" s="599"/>
      <c r="P7" s="599"/>
      <c r="Q7" s="599"/>
      <c r="R7" s="599"/>
      <c r="S7" s="605"/>
      <c r="T7" s="605"/>
    </row>
    <row r="8" spans="1:20" ht="11.25" customHeight="1">
      <c r="A8" s="599"/>
      <c r="B8" s="599"/>
      <c r="C8" s="599"/>
      <c r="D8" s="599"/>
      <c r="E8" s="599"/>
      <c r="F8" s="599"/>
      <c r="G8" s="609" t="s">
        <v>172</v>
      </c>
      <c r="H8" s="599"/>
      <c r="I8" s="609"/>
      <c r="J8" s="610" t="s">
        <v>1049</v>
      </c>
      <c r="K8" s="599"/>
      <c r="L8" s="610" t="s">
        <v>382</v>
      </c>
      <c r="M8" s="609"/>
      <c r="N8" s="610" t="s">
        <v>970</v>
      </c>
      <c r="O8" s="599"/>
      <c r="P8" s="599"/>
      <c r="Q8" s="599"/>
      <c r="R8" s="599"/>
      <c r="S8" s="605"/>
      <c r="T8" s="605"/>
    </row>
    <row r="9" spans="1:20" ht="11.25" customHeight="1">
      <c r="A9" s="599"/>
      <c r="B9" s="599"/>
      <c r="C9" s="599"/>
      <c r="D9" s="599"/>
      <c r="E9" s="599"/>
      <c r="F9" s="599"/>
      <c r="G9" s="611"/>
      <c r="H9" s="599"/>
      <c r="I9" s="611"/>
      <c r="J9" s="611"/>
      <c r="K9" s="599"/>
      <c r="L9" s="611"/>
      <c r="M9" s="611"/>
      <c r="N9" s="611"/>
      <c r="O9" s="599"/>
      <c r="P9" s="599"/>
      <c r="Q9" s="599"/>
      <c r="R9" s="599"/>
      <c r="S9" s="605"/>
      <c r="T9" s="605"/>
    </row>
    <row r="10" spans="1:20" ht="11.25" customHeight="1">
      <c r="A10" s="598" t="s">
        <v>971</v>
      </c>
      <c r="B10" s="598"/>
      <c r="C10" s="598"/>
      <c r="D10" s="598"/>
      <c r="E10" s="598"/>
      <c r="F10" s="598"/>
      <c r="G10" s="612"/>
      <c r="H10" s="598"/>
      <c r="I10" s="598"/>
      <c r="J10" s="598"/>
      <c r="K10" s="598"/>
      <c r="L10" s="598"/>
      <c r="M10" s="598"/>
      <c r="N10" s="598"/>
      <c r="O10" s="598"/>
      <c r="P10" s="598" t="s">
        <v>972</v>
      </c>
      <c r="Q10" s="598"/>
      <c r="R10" s="598"/>
      <c r="S10" s="598"/>
      <c r="T10" s="598"/>
    </row>
    <row r="11" spans="1:20" ht="11.25" customHeight="1">
      <c r="A11" s="598" t="s">
        <v>973</v>
      </c>
      <c r="B11" s="598"/>
      <c r="C11" s="598"/>
      <c r="D11" s="598"/>
      <c r="E11" s="598"/>
      <c r="F11" s="598"/>
      <c r="G11" s="612"/>
      <c r="H11" s="598"/>
      <c r="I11" s="598"/>
      <c r="J11" s="598"/>
      <c r="K11" s="598"/>
      <c r="L11" s="598"/>
      <c r="M11" s="598"/>
      <c r="N11" s="598"/>
      <c r="O11" s="598"/>
      <c r="P11" s="598" t="s">
        <v>974</v>
      </c>
      <c r="Q11" s="598"/>
      <c r="R11" s="598"/>
      <c r="S11" s="598"/>
      <c r="T11" s="598"/>
    </row>
    <row r="12" spans="1:20" ht="11.25" customHeight="1">
      <c r="A12" s="599" t="s">
        <v>975</v>
      </c>
      <c r="B12" s="599"/>
      <c r="C12" s="599"/>
      <c r="D12" s="599"/>
      <c r="E12" s="599"/>
      <c r="F12" s="599"/>
      <c r="G12" s="600"/>
      <c r="H12" s="599"/>
      <c r="I12" s="613"/>
      <c r="J12" s="613">
        <f>'Consol SoFP 24'!AH15</f>
        <v>61178535792</v>
      </c>
      <c r="K12" s="613"/>
      <c r="L12" s="613">
        <f>'Consol SoFP 23 &amp; 22'!AE15</f>
        <v>75109486095</v>
      </c>
      <c r="M12" s="613"/>
      <c r="N12" s="613">
        <f>'Consol SoFP 23 &amp; 22'!BF15</f>
        <v>40661258337</v>
      </c>
      <c r="O12" s="599"/>
      <c r="P12" s="599" t="s">
        <v>976</v>
      </c>
      <c r="Q12" s="599"/>
      <c r="R12" s="599"/>
      <c r="S12" s="599"/>
      <c r="T12" s="598"/>
    </row>
    <row r="13" spans="1:20" ht="11.25" customHeight="1">
      <c r="A13" s="599" t="s">
        <v>977</v>
      </c>
      <c r="B13" s="599"/>
      <c r="C13" s="599"/>
      <c r="D13" s="599"/>
      <c r="E13" s="599"/>
      <c r="F13" s="599"/>
      <c r="G13" s="600"/>
      <c r="H13" s="599"/>
      <c r="I13" s="613"/>
      <c r="J13" s="613">
        <f>SUM('Consol SoFP 24'!AH17:AH18,'Consol SoFP 24'!AH20)</f>
        <v>244672056004</v>
      </c>
      <c r="K13" s="613"/>
      <c r="L13" s="613">
        <f>SUM('Consol SoFP 23 &amp; 22'!AE17:AE18,'Consol SoFP 23 &amp; 22'!AE20)</f>
        <v>323260364520</v>
      </c>
      <c r="M13" s="613"/>
      <c r="N13" s="613">
        <f>SUM('Consol SoFP 23 &amp; 22'!BF17:BF18)</f>
        <v>227940501708</v>
      </c>
      <c r="O13" s="599"/>
      <c r="P13" s="599" t="s">
        <v>19</v>
      </c>
      <c r="Q13" s="599"/>
      <c r="R13" s="599"/>
      <c r="S13" s="599"/>
      <c r="T13" s="598"/>
    </row>
    <row r="14" spans="1:20" ht="11.25" customHeight="1">
      <c r="A14" s="599" t="s">
        <v>978</v>
      </c>
      <c r="B14" s="599"/>
      <c r="C14" s="599"/>
      <c r="D14" s="599"/>
      <c r="E14" s="599"/>
      <c r="F14" s="599"/>
      <c r="G14" s="600"/>
      <c r="H14" s="599"/>
      <c r="I14" s="613"/>
      <c r="J14" s="613">
        <f>'Consol SoFP 24'!AH22</f>
        <v>5217740512</v>
      </c>
      <c r="K14" s="613"/>
      <c r="L14" s="613">
        <f>'Consol SoFP 23 &amp; 22'!AE22</f>
        <v>15830303102</v>
      </c>
      <c r="M14" s="613"/>
      <c r="N14" s="613">
        <f>'Consol SoFP 23 &amp; 22'!BF22</f>
        <v>14442442151</v>
      </c>
      <c r="O14" s="599"/>
      <c r="P14" s="599" t="s">
        <v>979</v>
      </c>
      <c r="Q14" s="599"/>
      <c r="R14" s="599"/>
      <c r="S14" s="599"/>
      <c r="T14" s="598"/>
    </row>
    <row r="15" spans="1:20" ht="11.25" customHeight="1">
      <c r="A15" s="599" t="s">
        <v>980</v>
      </c>
      <c r="B15" s="599"/>
      <c r="C15" s="599"/>
      <c r="D15" s="599"/>
      <c r="E15" s="599"/>
      <c r="F15" s="599"/>
      <c r="G15" s="600"/>
      <c r="H15" s="599"/>
      <c r="I15" s="613"/>
      <c r="J15" s="613">
        <f>SUM('Consol SoFP 24'!AH23,'Consol SoFP 24'!AH28:AH29,'Consol SoFP 24'!AH25)</f>
        <v>62971200011</v>
      </c>
      <c r="K15" s="613"/>
      <c r="L15" s="613">
        <f>SUM('Consol SoFP 23 &amp; 22'!AE28:AE29)</f>
        <v>38356602143</v>
      </c>
      <c r="M15" s="613"/>
      <c r="N15" s="613">
        <f>'Consol SoFP 23 &amp; 22'!BF28</f>
        <v>5434584686</v>
      </c>
      <c r="O15" s="599"/>
      <c r="P15" s="599" t="s">
        <v>981</v>
      </c>
      <c r="Q15" s="599"/>
      <c r="R15" s="599"/>
      <c r="S15" s="599"/>
      <c r="T15" s="598"/>
    </row>
    <row r="16" spans="1:20" ht="11.25" customHeight="1">
      <c r="A16" s="599" t="s">
        <v>982</v>
      </c>
      <c r="B16" s="599"/>
      <c r="C16" s="599"/>
      <c r="D16" s="599"/>
      <c r="E16" s="599"/>
      <c r="F16" s="599"/>
      <c r="G16" s="600"/>
      <c r="H16" s="599"/>
      <c r="I16" s="613"/>
      <c r="J16" s="613">
        <f>SUM('Consol SoFP 24'!AH26)</f>
        <v>131678101647</v>
      </c>
      <c r="K16" s="613"/>
      <c r="L16" s="613">
        <f>'Consol SoFP 23 &amp; 22'!AE26</f>
        <v>20326406410</v>
      </c>
      <c r="M16" s="613"/>
      <c r="N16" s="613">
        <f>'Consol SoFP 23 &amp; 22'!BF26</f>
        <v>5180796035</v>
      </c>
      <c r="O16" s="599"/>
      <c r="P16" s="599" t="s">
        <v>983</v>
      </c>
      <c r="Q16" s="599"/>
      <c r="R16" s="599"/>
      <c r="S16" s="599"/>
      <c r="T16" s="598"/>
    </row>
    <row r="17" spans="1:20" ht="11.25" customHeight="1">
      <c r="A17" s="599" t="s">
        <v>984</v>
      </c>
      <c r="B17" s="599"/>
      <c r="C17" s="599"/>
      <c r="D17" s="599"/>
      <c r="E17" s="599"/>
      <c r="F17" s="599"/>
      <c r="G17" s="600"/>
      <c r="H17" s="599"/>
      <c r="I17" s="613"/>
      <c r="J17" s="613">
        <f>'Consol SoFP 24'!AH31</f>
        <v>6267463919</v>
      </c>
      <c r="K17" s="613"/>
      <c r="L17" s="613">
        <f>'Consol SoFP 23 &amp; 22'!AE32</f>
        <v>11811728970</v>
      </c>
      <c r="M17" s="613"/>
      <c r="N17" s="613">
        <f>'Consol SoFP 23 &amp; 22'!BF32</f>
        <v>46432019959</v>
      </c>
      <c r="O17" s="599"/>
      <c r="P17" s="614" t="s">
        <v>985</v>
      </c>
      <c r="Q17" s="599"/>
      <c r="R17" s="599"/>
      <c r="S17" s="599"/>
      <c r="T17" s="598"/>
    </row>
    <row r="18" spans="1:20" ht="11.25" customHeight="1">
      <c r="A18" s="599" t="s">
        <v>986</v>
      </c>
      <c r="B18" s="599"/>
      <c r="C18" s="599"/>
      <c r="D18" s="599"/>
      <c r="E18" s="599"/>
      <c r="F18" s="599"/>
      <c r="G18" s="600"/>
      <c r="H18" s="599"/>
      <c r="I18" s="613"/>
      <c r="J18" s="613">
        <f>'Consol SoFP 24'!AH32</f>
        <v>9836948341</v>
      </c>
      <c r="K18" s="613"/>
      <c r="L18" s="613">
        <f>'Consol SoFP 23 &amp; 22'!AE31</f>
        <v>2623976876</v>
      </c>
      <c r="M18" s="613"/>
      <c r="N18" s="613">
        <f>'Consol SoFP 23 &amp; 22'!BF31</f>
        <v>90969692</v>
      </c>
      <c r="O18" s="599"/>
      <c r="P18" s="614" t="s">
        <v>987</v>
      </c>
      <c r="Q18" s="599"/>
      <c r="R18" s="599"/>
      <c r="S18" s="599"/>
      <c r="T18" s="598"/>
    </row>
    <row r="19" spans="1:20" ht="11.25" customHeight="1">
      <c r="A19" s="599" t="s">
        <v>988</v>
      </c>
      <c r="B19" s="599"/>
      <c r="C19" s="599"/>
      <c r="D19" s="599"/>
      <c r="E19" s="599"/>
      <c r="F19" s="599"/>
      <c r="G19" s="600"/>
      <c r="H19" s="599"/>
      <c r="I19" s="613"/>
      <c r="J19" s="613">
        <f>'Consol SoFP 24'!AH34</f>
        <v>143195607918</v>
      </c>
      <c r="K19" s="613"/>
      <c r="L19" s="613">
        <f>'Consol SoFP 23 &amp; 22'!AE34</f>
        <v>159588593589</v>
      </c>
      <c r="M19" s="613"/>
      <c r="N19" s="613">
        <f>'Consol SoFP 23 &amp; 22'!BF34</f>
        <v>55354071673</v>
      </c>
      <c r="O19" s="599"/>
      <c r="P19" s="599" t="s">
        <v>988</v>
      </c>
      <c r="Q19" s="599"/>
      <c r="R19" s="599"/>
      <c r="S19" s="599"/>
      <c r="T19" s="598"/>
    </row>
    <row r="20" spans="1:20" ht="11.25" customHeight="1">
      <c r="A20" s="599" t="s">
        <v>989</v>
      </c>
      <c r="B20" s="599"/>
      <c r="C20" s="599"/>
      <c r="D20" s="599"/>
      <c r="E20" s="599"/>
      <c r="F20" s="599"/>
      <c r="G20" s="600"/>
      <c r="H20" s="599"/>
      <c r="I20" s="613"/>
      <c r="J20" s="615">
        <f>SUM('Consol SoFP 24'!AH33,'Consol SoFP 24'!AH30,'Consol SoFP 24'!AH35)</f>
        <v>2036699933</v>
      </c>
      <c r="K20" s="613"/>
      <c r="L20" s="615">
        <f>'Consol SoFP 23 &amp; 22'!AE35</f>
        <v>24013216750</v>
      </c>
      <c r="M20" s="613"/>
      <c r="N20" s="615">
        <f>'Consol SoFP 23 &amp; 22'!BF35</f>
        <v>12634397153</v>
      </c>
      <c r="O20" s="599"/>
      <c r="P20" s="599" t="s">
        <v>990</v>
      </c>
      <c r="Q20" s="599"/>
      <c r="R20" s="599"/>
      <c r="S20" s="599"/>
      <c r="T20" s="598"/>
    </row>
    <row r="21" spans="1:20" ht="11.25" customHeight="1">
      <c r="A21" s="599"/>
      <c r="B21" s="599"/>
      <c r="C21" s="599"/>
      <c r="D21" s="599"/>
      <c r="E21" s="599"/>
      <c r="F21" s="599"/>
      <c r="G21" s="600"/>
      <c r="H21" s="599"/>
      <c r="I21" s="613"/>
      <c r="J21" s="613"/>
      <c r="K21" s="613"/>
      <c r="L21" s="613"/>
      <c r="M21" s="613"/>
      <c r="N21" s="616"/>
      <c r="O21" s="599"/>
      <c r="P21" s="599"/>
      <c r="Q21" s="599"/>
      <c r="R21" s="599"/>
      <c r="S21" s="599"/>
      <c r="T21" s="599"/>
    </row>
    <row r="22" spans="1:20" ht="11.25" customHeight="1">
      <c r="A22" s="599" t="s">
        <v>991</v>
      </c>
      <c r="B22" s="599"/>
      <c r="C22" s="599"/>
      <c r="D22" s="599"/>
      <c r="E22" s="599"/>
      <c r="F22" s="599"/>
      <c r="G22" s="600"/>
      <c r="H22" s="599"/>
      <c r="I22" s="613"/>
      <c r="J22" s="615">
        <f>SUM(J12:J20)</f>
        <v>667054354077</v>
      </c>
      <c r="K22" s="613"/>
      <c r="L22" s="615">
        <f>SUM(L12:L20)</f>
        <v>670920678455</v>
      </c>
      <c r="M22" s="613"/>
      <c r="N22" s="615">
        <f>SUM(N12:N20)</f>
        <v>408171041394</v>
      </c>
      <c r="O22" s="599"/>
      <c r="P22" s="599" t="s">
        <v>992</v>
      </c>
      <c r="Q22" s="599"/>
      <c r="R22" s="599"/>
      <c r="S22" s="599"/>
      <c r="T22" s="599"/>
    </row>
    <row r="23" spans="1:20" ht="11.25" customHeight="1">
      <c r="A23" s="599"/>
      <c r="B23" s="599"/>
      <c r="C23" s="599"/>
      <c r="D23" s="599"/>
      <c r="E23" s="599"/>
      <c r="F23" s="599"/>
      <c r="G23" s="600"/>
      <c r="H23" s="599"/>
      <c r="I23" s="613"/>
      <c r="J23" s="613"/>
      <c r="K23" s="613"/>
      <c r="L23" s="613"/>
      <c r="M23" s="613"/>
      <c r="N23" s="613"/>
      <c r="O23" s="599"/>
      <c r="P23" s="599"/>
      <c r="Q23" s="599"/>
      <c r="R23" s="599"/>
      <c r="S23" s="599"/>
      <c r="T23" s="599"/>
    </row>
    <row r="24" spans="1:20" ht="11.25" customHeight="1">
      <c r="A24" s="598" t="s">
        <v>993</v>
      </c>
      <c r="B24" s="598"/>
      <c r="C24" s="598"/>
      <c r="D24" s="598"/>
      <c r="E24" s="598"/>
      <c r="F24" s="598"/>
      <c r="G24" s="612"/>
      <c r="H24" s="598"/>
      <c r="I24" s="617"/>
      <c r="J24" s="617"/>
      <c r="K24" s="617"/>
      <c r="L24" s="617"/>
      <c r="M24" s="617"/>
      <c r="N24" s="617"/>
      <c r="O24" s="598"/>
      <c r="P24" s="598" t="s">
        <v>994</v>
      </c>
      <c r="Q24" s="598"/>
      <c r="R24" s="598"/>
      <c r="S24" s="598"/>
      <c r="T24" s="598"/>
    </row>
    <row r="25" spans="1:20" ht="11.25" customHeight="1">
      <c r="A25" s="599" t="s">
        <v>995</v>
      </c>
      <c r="B25" s="599"/>
      <c r="C25" s="599"/>
      <c r="D25" s="599"/>
      <c r="E25" s="599"/>
      <c r="F25" s="599"/>
      <c r="G25" s="600"/>
      <c r="H25" s="599"/>
      <c r="I25" s="613"/>
      <c r="J25" s="613">
        <v>0</v>
      </c>
      <c r="K25" s="613"/>
      <c r="L25" s="613">
        <f>'Consol SoFP 23 &amp; 22'!AE42</f>
        <v>2156177190</v>
      </c>
      <c r="M25" s="613"/>
      <c r="N25" s="613">
        <f>'Consol SoFP 23 &amp; 22'!BF42</f>
        <v>14398163289</v>
      </c>
      <c r="O25" s="599"/>
      <c r="P25" s="599" t="s">
        <v>985</v>
      </c>
      <c r="Q25" s="599"/>
      <c r="R25" s="599"/>
      <c r="S25" s="599"/>
      <c r="T25" s="598"/>
    </row>
    <row r="26" spans="1:20" ht="11.25" customHeight="1">
      <c r="A26" s="599" t="s">
        <v>996</v>
      </c>
      <c r="B26" s="598"/>
      <c r="C26" s="598"/>
      <c r="D26" s="598"/>
      <c r="E26" s="598"/>
      <c r="F26" s="598"/>
      <c r="G26" s="600"/>
      <c r="H26" s="598"/>
      <c r="I26" s="613"/>
      <c r="J26" s="613">
        <f>'Consol SoFP 24'!AH43</f>
        <v>71907700936</v>
      </c>
      <c r="K26" s="613"/>
      <c r="L26" s="613">
        <f>'Consol SoFP 23 &amp; 22'!AE44</f>
        <v>21832710982</v>
      </c>
      <c r="M26" s="613"/>
      <c r="N26" s="613">
        <f>'Consol SoFP 23 &amp; 22'!BF44</f>
        <v>35664033274</v>
      </c>
      <c r="O26" s="598"/>
      <c r="P26" s="599" t="s">
        <v>997</v>
      </c>
      <c r="Q26" s="598"/>
      <c r="R26" s="598"/>
      <c r="S26" s="598"/>
      <c r="T26" s="598"/>
    </row>
    <row r="27" spans="1:20" ht="11.25" customHeight="1">
      <c r="A27" s="599" t="s">
        <v>998</v>
      </c>
      <c r="B27" s="598"/>
      <c r="C27" s="598"/>
      <c r="D27" s="598"/>
      <c r="E27" s="598"/>
      <c r="F27" s="598"/>
      <c r="G27" s="600"/>
      <c r="H27" s="598"/>
      <c r="I27" s="613"/>
      <c r="J27" s="613">
        <f>'Consol SoFP 24'!AH45</f>
        <v>36242446809</v>
      </c>
      <c r="K27" s="613"/>
      <c r="L27" s="613">
        <f>'Consol SoFP 23 &amp; 22'!AE46</f>
        <v>11843914378</v>
      </c>
      <c r="M27" s="613"/>
      <c r="N27" s="613">
        <f>'Consol SoFP 23 &amp; 22'!BF46</f>
        <v>140145541230</v>
      </c>
      <c r="O27" s="598"/>
      <c r="P27" s="599" t="s">
        <v>942</v>
      </c>
      <c r="Q27" s="598"/>
      <c r="R27" s="598"/>
      <c r="S27" s="598"/>
      <c r="T27" s="598"/>
    </row>
    <row r="28" spans="1:20" ht="11.25" customHeight="1">
      <c r="A28" s="599" t="s">
        <v>999</v>
      </c>
      <c r="B28" s="598"/>
      <c r="C28" s="598"/>
      <c r="D28" s="598"/>
      <c r="E28" s="598"/>
      <c r="F28" s="598"/>
      <c r="G28" s="600"/>
      <c r="H28" s="598"/>
      <c r="I28" s="613"/>
      <c r="J28" s="613">
        <f>'Consol SoFP 24'!AH44</f>
        <v>16469508674</v>
      </c>
      <c r="K28" s="613"/>
      <c r="L28" s="613">
        <f>'Consol SoFP 23 &amp; 22'!AE45</f>
        <v>24886088064</v>
      </c>
      <c r="M28" s="613"/>
      <c r="N28" s="613">
        <f>'Consol SoFP 23 &amp; 22'!BF45</f>
        <v>43488307487</v>
      </c>
      <c r="O28" s="598"/>
      <c r="P28" s="599" t="s">
        <v>1000</v>
      </c>
      <c r="Q28" s="598"/>
      <c r="R28" s="598"/>
      <c r="S28" s="598"/>
      <c r="T28" s="598"/>
    </row>
    <row r="29" spans="1:20" ht="11.25" customHeight="1">
      <c r="A29" s="599" t="s">
        <v>1001</v>
      </c>
      <c r="B29" s="599"/>
      <c r="C29" s="599"/>
      <c r="D29" s="599"/>
      <c r="E29" s="599"/>
      <c r="F29" s="599"/>
      <c r="G29" s="600"/>
      <c r="H29" s="599"/>
      <c r="I29" s="613"/>
      <c r="J29" s="613">
        <f>'Consol SoFP 24'!AH46</f>
        <v>2314180101</v>
      </c>
      <c r="K29" s="613"/>
      <c r="L29" s="613">
        <f>'Consol SoFP 23 &amp; 22'!AE47</f>
        <v>2482200000</v>
      </c>
      <c r="M29" s="613"/>
      <c r="N29" s="613">
        <f>'Consol SoFP 23 &amp; 22'!BF47</f>
        <v>874125000</v>
      </c>
      <c r="O29" s="599"/>
      <c r="P29" s="599" t="s">
        <v>48</v>
      </c>
      <c r="Q29" s="599"/>
      <c r="R29" s="599"/>
      <c r="S29" s="599"/>
      <c r="T29" s="598"/>
    </row>
    <row r="30" spans="1:20" ht="11.25" customHeight="1">
      <c r="A30" s="599" t="s">
        <v>369</v>
      </c>
      <c r="B30" s="599"/>
      <c r="C30" s="599"/>
      <c r="D30" s="599"/>
      <c r="E30" s="599"/>
      <c r="F30" s="599"/>
      <c r="G30" s="600"/>
      <c r="H30" s="599"/>
      <c r="I30" s="613"/>
      <c r="J30" s="613">
        <v>0</v>
      </c>
      <c r="K30" s="613"/>
      <c r="L30" s="613">
        <v>0</v>
      </c>
      <c r="M30" s="613"/>
      <c r="N30" s="613">
        <v>0</v>
      </c>
      <c r="O30" s="599"/>
      <c r="P30" s="599" t="s">
        <v>353</v>
      </c>
      <c r="Q30" s="599"/>
      <c r="R30" s="599"/>
      <c r="S30" s="599"/>
      <c r="T30" s="598"/>
    </row>
    <row r="31" spans="1:20" ht="11.25" customHeight="1">
      <c r="A31" s="599" t="s">
        <v>1002</v>
      </c>
      <c r="B31" s="599"/>
      <c r="C31" s="599"/>
      <c r="D31" s="599"/>
      <c r="E31" s="599"/>
      <c r="F31" s="599"/>
      <c r="G31" s="600"/>
      <c r="H31" s="599"/>
      <c r="I31" s="613"/>
      <c r="J31" s="615">
        <f>'Consol SoFP 24'!AH49</f>
        <v>84860041916</v>
      </c>
      <c r="K31" s="613"/>
      <c r="L31" s="615">
        <f>'Consol SoFP 23 &amp; 22'!AE50</f>
        <v>12960995205</v>
      </c>
      <c r="M31" s="613"/>
      <c r="N31" s="613">
        <f>'Consol SoFP 23 &amp; 22'!BF50+'Consol SoFP 23 &amp; 22'!BF48</f>
        <v>10947704500</v>
      </c>
      <c r="O31" s="599"/>
      <c r="P31" s="599" t="s">
        <v>163</v>
      </c>
      <c r="Q31" s="599"/>
      <c r="R31" s="599"/>
      <c r="S31" s="599"/>
      <c r="T31" s="598"/>
    </row>
    <row r="32" spans="1:20" ht="11.25" customHeight="1">
      <c r="A32" s="599"/>
      <c r="B32" s="599"/>
      <c r="C32" s="599"/>
      <c r="D32" s="599"/>
      <c r="E32" s="599"/>
      <c r="F32" s="599"/>
      <c r="G32" s="600"/>
      <c r="H32" s="599"/>
      <c r="I32" s="613"/>
      <c r="J32" s="613"/>
      <c r="K32" s="613"/>
      <c r="L32" s="613"/>
      <c r="M32" s="613"/>
      <c r="N32" s="616"/>
      <c r="O32" s="599"/>
      <c r="P32" s="599"/>
      <c r="Q32" s="599"/>
      <c r="R32" s="599"/>
      <c r="S32" s="599"/>
      <c r="T32" s="599"/>
    </row>
    <row r="33" spans="1:20" ht="11.25" customHeight="1">
      <c r="A33" s="599" t="s">
        <v>1003</v>
      </c>
      <c r="B33" s="599"/>
      <c r="C33" s="599"/>
      <c r="D33" s="599"/>
      <c r="E33" s="599"/>
      <c r="F33" s="599"/>
      <c r="G33" s="600"/>
      <c r="H33" s="599"/>
      <c r="I33" s="613"/>
      <c r="J33" s="615">
        <f>SUM(J25:J31)</f>
        <v>211793878436</v>
      </c>
      <c r="K33" s="613"/>
      <c r="L33" s="615">
        <f>SUM(L25:L31)</f>
        <v>76162085819</v>
      </c>
      <c r="M33" s="613"/>
      <c r="N33" s="615">
        <f>SUM(N25:N31)</f>
        <v>245517874780</v>
      </c>
      <c r="O33" s="599"/>
      <c r="P33" s="599" t="s">
        <v>1004</v>
      </c>
      <c r="Q33" s="599"/>
      <c r="R33" s="599"/>
      <c r="S33" s="599"/>
      <c r="T33" s="599"/>
    </row>
    <row r="34" spans="1:20" ht="11.25" customHeight="1">
      <c r="A34" s="599"/>
      <c r="B34" s="599"/>
      <c r="C34" s="599"/>
      <c r="D34" s="599"/>
      <c r="E34" s="599"/>
      <c r="F34" s="599"/>
      <c r="G34" s="600"/>
      <c r="H34" s="599"/>
      <c r="I34" s="613"/>
      <c r="J34" s="613"/>
      <c r="K34" s="613"/>
      <c r="L34" s="613"/>
      <c r="M34" s="613"/>
      <c r="N34" s="613"/>
      <c r="O34" s="599"/>
      <c r="P34" s="599"/>
      <c r="Q34" s="599"/>
      <c r="R34" s="599"/>
      <c r="S34" s="599"/>
      <c r="T34" s="599"/>
    </row>
    <row r="35" spans="1:20" ht="11.25" customHeight="1" thickBot="1">
      <c r="A35" s="598" t="s">
        <v>1005</v>
      </c>
      <c r="B35" s="598"/>
      <c r="C35" s="598"/>
      <c r="D35" s="598"/>
      <c r="E35" s="598"/>
      <c r="F35" s="598"/>
      <c r="G35" s="612"/>
      <c r="H35" s="598"/>
      <c r="I35" s="617"/>
      <c r="J35" s="618">
        <f>+J22+J33</f>
        <v>878848232513</v>
      </c>
      <c r="K35" s="617"/>
      <c r="L35" s="618">
        <f>+L22+L33</f>
        <v>747082764274</v>
      </c>
      <c r="M35" s="617"/>
      <c r="N35" s="618">
        <f>+N22+N33</f>
        <v>653688916174</v>
      </c>
      <c r="O35" s="598"/>
      <c r="P35" s="598" t="s">
        <v>53</v>
      </c>
      <c r="Q35" s="598"/>
      <c r="R35" s="598"/>
      <c r="S35" s="598"/>
      <c r="T35" s="598"/>
    </row>
    <row r="36" spans="1:20" ht="11.25" customHeight="1" thickTop="1">
      <c r="A36" s="599"/>
      <c r="B36" s="599"/>
      <c r="C36" s="599"/>
      <c r="D36" s="599"/>
      <c r="E36" s="599"/>
      <c r="F36" s="599"/>
      <c r="G36" s="600"/>
      <c r="H36" s="599"/>
      <c r="I36" s="613"/>
      <c r="J36" s="613"/>
      <c r="K36" s="613"/>
      <c r="L36" s="613"/>
      <c r="M36" s="613"/>
      <c r="N36" s="613"/>
      <c r="O36" s="599"/>
      <c r="P36" s="599"/>
      <c r="Q36" s="599"/>
      <c r="R36" s="599"/>
      <c r="S36" s="599"/>
      <c r="T36" s="599"/>
    </row>
    <row r="37" spans="1:20" ht="11.25" customHeight="1">
      <c r="A37" s="598" t="s">
        <v>1006</v>
      </c>
      <c r="B37" s="598"/>
      <c r="C37" s="598"/>
      <c r="D37" s="598"/>
      <c r="E37" s="598"/>
      <c r="F37" s="598"/>
      <c r="G37" s="612"/>
      <c r="H37" s="598"/>
      <c r="I37" s="617"/>
      <c r="J37" s="617"/>
      <c r="K37" s="617"/>
      <c r="L37" s="617"/>
      <c r="M37" s="617"/>
      <c r="N37" s="617"/>
      <c r="O37" s="598"/>
      <c r="P37" s="598" t="s">
        <v>1007</v>
      </c>
      <c r="Q37" s="598"/>
      <c r="R37" s="598"/>
      <c r="S37" s="598"/>
      <c r="T37" s="598"/>
    </row>
    <row r="38" spans="1:20" ht="11.25" customHeight="1">
      <c r="A38" s="599"/>
      <c r="B38" s="599"/>
      <c r="C38" s="599"/>
      <c r="D38" s="599"/>
      <c r="E38" s="599"/>
      <c r="F38" s="599"/>
      <c r="G38" s="600"/>
      <c r="H38" s="599"/>
      <c r="I38" s="613"/>
      <c r="J38" s="613"/>
      <c r="K38" s="613"/>
      <c r="L38" s="613"/>
      <c r="M38" s="613"/>
      <c r="N38" s="613"/>
      <c r="O38" s="599"/>
      <c r="P38" s="599"/>
      <c r="Q38" s="599"/>
      <c r="R38" s="599"/>
      <c r="S38" s="599"/>
      <c r="T38" s="599"/>
    </row>
    <row r="39" spans="1:20" ht="11.25" customHeight="1">
      <c r="A39" s="598" t="s">
        <v>1008</v>
      </c>
      <c r="B39" s="598"/>
      <c r="C39" s="598"/>
      <c r="D39" s="598"/>
      <c r="E39" s="598"/>
      <c r="F39" s="598"/>
      <c r="G39" s="612"/>
      <c r="H39" s="598"/>
      <c r="I39" s="617"/>
      <c r="J39" s="619"/>
      <c r="K39" s="617"/>
      <c r="L39" s="617"/>
      <c r="M39" s="617"/>
      <c r="N39" s="617"/>
      <c r="O39" s="598"/>
      <c r="P39" s="598" t="s">
        <v>55</v>
      </c>
      <c r="Q39" s="599"/>
      <c r="R39" s="599"/>
      <c r="S39" s="599"/>
      <c r="T39" s="599"/>
    </row>
    <row r="40" spans="1:20" ht="11.25" customHeight="1">
      <c r="A40" s="599" t="s">
        <v>1009</v>
      </c>
      <c r="B40" s="598"/>
      <c r="C40" s="598"/>
      <c r="D40" s="598"/>
      <c r="E40" s="598"/>
      <c r="F40" s="598"/>
      <c r="G40" s="600"/>
      <c r="H40" s="598"/>
      <c r="I40" s="613"/>
      <c r="J40" s="613">
        <f>-SUM('Consol SoFP 24'!AH59:AH60,'Consol SoFP 24'!AH68:AH69)</f>
        <v>100244378567</v>
      </c>
      <c r="K40" s="613"/>
      <c r="L40" s="613">
        <f>-SUM('Consol SoFP 23 &amp; 22'!AE60:AE61,'Consol SoFP 23 &amp; 22'!AE70)</f>
        <v>53941650149</v>
      </c>
      <c r="M40" s="613"/>
      <c r="N40" s="613">
        <f>-'Consol SoFP 23 &amp; 22'!BF60</f>
        <v>35633999745</v>
      </c>
      <c r="O40" s="598"/>
      <c r="P40" s="599" t="s">
        <v>880</v>
      </c>
      <c r="Q40" s="599"/>
      <c r="R40" s="599"/>
      <c r="S40" s="599"/>
      <c r="T40" s="599"/>
    </row>
    <row r="41" spans="1:20" ht="11.25" customHeight="1">
      <c r="A41" s="599" t="s">
        <v>1010</v>
      </c>
      <c r="B41" s="598"/>
      <c r="C41" s="598"/>
      <c r="D41" s="598"/>
      <c r="E41" s="598"/>
      <c r="F41" s="598"/>
      <c r="G41" s="600"/>
      <c r="H41" s="598"/>
      <c r="I41" s="613"/>
      <c r="J41" s="613">
        <f>-'Consol SoFP 24'!AH75</f>
        <v>44246726806</v>
      </c>
      <c r="K41" s="613"/>
      <c r="L41" s="613">
        <f>-'Consol SoFP 23 &amp; 22'!AE75</f>
        <v>57438550502</v>
      </c>
      <c r="M41" s="613"/>
      <c r="N41" s="613">
        <f>-'Consol SoFP 23 &amp; 22'!BF75</f>
        <v>52729712992</v>
      </c>
      <c r="O41" s="598"/>
      <c r="P41" s="599" t="s">
        <v>1011</v>
      </c>
      <c r="Q41" s="599"/>
      <c r="R41" s="599"/>
      <c r="S41" s="599"/>
      <c r="T41" s="599"/>
    </row>
    <row r="42" spans="1:20" ht="11.25" customHeight="1">
      <c r="A42" s="599" t="s">
        <v>1054</v>
      </c>
      <c r="B42" s="598"/>
      <c r="C42" s="598"/>
      <c r="D42" s="598"/>
      <c r="E42" s="598"/>
      <c r="F42" s="598"/>
      <c r="G42" s="600"/>
      <c r="H42" s="598"/>
      <c r="I42" s="613"/>
      <c r="J42" s="613">
        <f>-SUM('Consol SoFP 24'!AH57)</f>
        <v>109688388792</v>
      </c>
      <c r="K42" s="613"/>
      <c r="L42" s="613">
        <f>-'Consol SoFP 23 &amp; 22'!AE58</f>
        <v>141442017128</v>
      </c>
      <c r="M42" s="613"/>
      <c r="N42" s="613">
        <f>-'Consol SoFP 23 &amp; 22'!BF58</f>
        <v>43196374892</v>
      </c>
      <c r="O42" s="598"/>
      <c r="P42" s="599" t="s">
        <v>1055</v>
      </c>
      <c r="Q42" s="599"/>
      <c r="R42" s="599"/>
      <c r="S42" s="599"/>
      <c r="T42" s="599"/>
    </row>
    <row r="43" spans="1:20" ht="11.25" customHeight="1">
      <c r="A43" s="599" t="s">
        <v>1012</v>
      </c>
      <c r="B43" s="599"/>
      <c r="C43" s="599"/>
      <c r="D43" s="599"/>
      <c r="E43" s="599"/>
      <c r="F43" s="599"/>
      <c r="G43" s="600"/>
      <c r="H43" s="599"/>
      <c r="I43" s="613"/>
      <c r="J43" s="613">
        <f>-'Consol SoFP 24'!AH64</f>
        <v>1597985933</v>
      </c>
      <c r="K43" s="613"/>
      <c r="L43" s="613">
        <f>-'Consol SoFP 23 &amp; 22'!AE65</f>
        <v>3998598175</v>
      </c>
      <c r="M43" s="613"/>
      <c r="N43" s="613">
        <f>-'Consol SoFP 23 &amp; 22'!BF65</f>
        <v>6108774604</v>
      </c>
      <c r="O43" s="599"/>
      <c r="P43" s="614" t="s">
        <v>881</v>
      </c>
      <c r="Q43" s="599"/>
      <c r="R43" s="599"/>
      <c r="S43" s="599"/>
      <c r="T43" s="599"/>
    </row>
    <row r="44" spans="1:20" ht="11.25" customHeight="1">
      <c r="A44" s="599" t="s">
        <v>1013</v>
      </c>
      <c r="B44" s="599"/>
      <c r="C44" s="599"/>
      <c r="D44" s="599"/>
      <c r="E44" s="599"/>
      <c r="F44" s="599"/>
      <c r="G44" s="600"/>
      <c r="H44" s="599"/>
      <c r="I44" s="613"/>
      <c r="J44" s="613">
        <f>-SUM('Consol SoFP 24'!AH62:AH63)</f>
        <v>28052747312</v>
      </c>
      <c r="K44" s="613"/>
      <c r="L44" s="613">
        <f>-SUM('Consol SoFP 23 &amp; 22'!AE63:AE64)</f>
        <v>59423529841</v>
      </c>
      <c r="M44" s="613"/>
      <c r="N44" s="613">
        <f>-SUM('Consol SoFP 23 &amp; 22'!BF63:BF64)</f>
        <v>83657606012</v>
      </c>
      <c r="O44" s="599"/>
      <c r="P44" s="599" t="s">
        <v>882</v>
      </c>
      <c r="Q44" s="599"/>
      <c r="R44" s="599"/>
      <c r="S44" s="599"/>
      <c r="T44" s="599"/>
    </row>
    <row r="45" spans="1:20" ht="11.25" customHeight="1">
      <c r="A45" s="599" t="s">
        <v>1057</v>
      </c>
      <c r="B45" s="599"/>
      <c r="C45" s="599"/>
      <c r="D45" s="599"/>
      <c r="E45" s="599"/>
      <c r="F45" s="599"/>
      <c r="G45" s="600"/>
      <c r="H45" s="599"/>
      <c r="I45" s="613"/>
      <c r="J45" s="613">
        <f>-'Consol SoFP 24'!AH71</f>
        <v>0</v>
      </c>
      <c r="K45" s="613"/>
      <c r="L45" s="613">
        <v>0</v>
      </c>
      <c r="M45" s="613"/>
      <c r="N45" s="613">
        <v>0</v>
      </c>
      <c r="O45" s="599"/>
      <c r="P45" s="599" t="s">
        <v>70</v>
      </c>
      <c r="Q45" s="599"/>
      <c r="R45" s="599"/>
      <c r="S45" s="599"/>
      <c r="T45" s="599"/>
    </row>
    <row r="46" spans="1:20" ht="11.25" customHeight="1">
      <c r="A46" s="599" t="s">
        <v>1058</v>
      </c>
      <c r="B46" s="599"/>
      <c r="C46" s="599"/>
      <c r="D46" s="599"/>
      <c r="E46" s="599"/>
      <c r="F46" s="599"/>
      <c r="G46" s="600"/>
      <c r="H46" s="599"/>
      <c r="I46" s="613"/>
      <c r="J46" s="613">
        <f>-'Consol SoFP 24'!AH74</f>
        <v>22024685439</v>
      </c>
      <c r="K46" s="613"/>
      <c r="L46" s="613"/>
      <c r="M46" s="613"/>
      <c r="N46" s="613"/>
      <c r="O46" s="599"/>
      <c r="P46" s="599" t="s">
        <v>73</v>
      </c>
      <c r="Q46" s="599"/>
      <c r="R46" s="599"/>
      <c r="S46" s="599"/>
      <c r="T46" s="599"/>
    </row>
    <row r="47" spans="1:20" ht="11.25" customHeight="1">
      <c r="A47" s="599" t="s">
        <v>1014</v>
      </c>
      <c r="B47" s="599"/>
      <c r="C47" s="599"/>
      <c r="D47" s="599"/>
      <c r="E47" s="599"/>
      <c r="F47" s="599"/>
      <c r="G47" s="600"/>
      <c r="H47" s="599"/>
      <c r="I47" s="613"/>
      <c r="J47" s="613">
        <f>-'Consol SoFP 24'!AH66</f>
        <v>81841385213</v>
      </c>
      <c r="K47" s="613"/>
      <c r="L47" s="613">
        <f>-'Consol SoFP 23 &amp; 22'!AE67</f>
        <v>15917342497</v>
      </c>
      <c r="M47" s="613"/>
      <c r="N47" s="613">
        <f>-'Consol SoFP 23 &amp; 22'!BF67</f>
        <v>40302224</v>
      </c>
      <c r="O47" s="599"/>
      <c r="P47" s="599" t="s">
        <v>847</v>
      </c>
      <c r="Q47" s="599"/>
      <c r="R47" s="599"/>
      <c r="S47" s="599"/>
      <c r="T47" s="599"/>
    </row>
    <row r="48" spans="1:20" ht="11.25" customHeight="1">
      <c r="A48" s="599" t="s">
        <v>1015</v>
      </c>
      <c r="B48" s="599"/>
      <c r="C48" s="599"/>
      <c r="D48" s="599"/>
      <c r="E48" s="599"/>
      <c r="F48" s="599"/>
      <c r="G48" s="600"/>
      <c r="H48" s="599"/>
      <c r="I48" s="613"/>
      <c r="J48" s="615">
        <f>-'Consol SoFP 24'!AH65</f>
        <v>351201384</v>
      </c>
      <c r="K48" s="613"/>
      <c r="L48" s="615">
        <f>-'Consol SoFP 23 &amp; 22'!AE66</f>
        <v>5484244074</v>
      </c>
      <c r="M48" s="613"/>
      <c r="N48" s="613">
        <f>-'Consol SoFP 23 &amp; 22'!BF66</f>
        <v>8775032472</v>
      </c>
      <c r="O48" s="599"/>
      <c r="P48" s="599" t="s">
        <v>1016</v>
      </c>
      <c r="Q48" s="599"/>
      <c r="R48" s="599"/>
      <c r="S48" s="599"/>
      <c r="T48" s="599"/>
    </row>
    <row r="49" spans="1:23" ht="11.25" customHeight="1">
      <c r="A49" s="599"/>
      <c r="B49" s="599"/>
      <c r="C49" s="599"/>
      <c r="D49" s="599"/>
      <c r="E49" s="599"/>
      <c r="F49" s="599"/>
      <c r="G49" s="600"/>
      <c r="H49" s="599"/>
      <c r="I49" s="613"/>
      <c r="J49" s="613"/>
      <c r="K49" s="613"/>
      <c r="L49" s="613"/>
      <c r="M49" s="613"/>
      <c r="N49" s="616"/>
      <c r="O49" s="599"/>
      <c r="P49" s="599"/>
      <c r="Q49" s="599"/>
      <c r="R49" s="599"/>
      <c r="S49" s="599"/>
      <c r="T49" s="599"/>
    </row>
    <row r="50" spans="1:23" ht="11.25" customHeight="1">
      <c r="A50" s="599" t="s">
        <v>1017</v>
      </c>
      <c r="B50" s="599"/>
      <c r="C50" s="599"/>
      <c r="D50" s="599"/>
      <c r="E50" s="599"/>
      <c r="F50" s="599"/>
      <c r="G50" s="600"/>
      <c r="H50" s="599"/>
      <c r="I50" s="613"/>
      <c r="J50" s="615">
        <f>SUM(J40:J48)</f>
        <v>388047499446</v>
      </c>
      <c r="K50" s="613"/>
      <c r="L50" s="615">
        <f>SUM(L40:L48)</f>
        <v>337645932366</v>
      </c>
      <c r="M50" s="613"/>
      <c r="N50" s="615">
        <f>SUM(N40:N48)</f>
        <v>230141802941</v>
      </c>
      <c r="O50" s="599"/>
      <c r="P50" s="599" t="s">
        <v>1018</v>
      </c>
      <c r="Q50" s="599"/>
      <c r="R50" s="599"/>
      <c r="S50" s="599"/>
      <c r="T50" s="599"/>
    </row>
    <row r="51" spans="1:23" ht="11.25" customHeight="1">
      <c r="A51" s="599"/>
      <c r="B51" s="599"/>
      <c r="C51" s="599"/>
      <c r="D51" s="599"/>
      <c r="E51" s="599"/>
      <c r="F51" s="599"/>
      <c r="G51" s="600"/>
      <c r="H51" s="599"/>
      <c r="I51" s="613"/>
      <c r="J51" s="613"/>
      <c r="K51" s="613"/>
      <c r="L51" s="613"/>
      <c r="M51" s="613"/>
      <c r="N51" s="613"/>
      <c r="O51" s="599"/>
      <c r="P51" s="599"/>
      <c r="Q51" s="599"/>
      <c r="R51" s="599"/>
      <c r="S51" s="599"/>
      <c r="T51" s="599"/>
    </row>
    <row r="52" spans="1:23" ht="11.25" customHeight="1">
      <c r="A52" s="598" t="s">
        <v>1019</v>
      </c>
      <c r="B52" s="598"/>
      <c r="C52" s="598"/>
      <c r="D52" s="598"/>
      <c r="E52" s="598"/>
      <c r="F52" s="598"/>
      <c r="G52" s="612"/>
      <c r="H52" s="598"/>
      <c r="I52" s="617"/>
      <c r="J52" s="617"/>
      <c r="K52" s="617"/>
      <c r="L52" s="617"/>
      <c r="M52" s="617"/>
      <c r="N52" s="617"/>
      <c r="O52" s="598"/>
      <c r="P52" s="598" t="s">
        <v>1020</v>
      </c>
      <c r="Q52" s="599"/>
      <c r="R52" s="599"/>
      <c r="S52" s="599"/>
      <c r="T52" s="599"/>
    </row>
    <row r="53" spans="1:23" ht="11.25" customHeight="1">
      <c r="A53" s="599" t="s">
        <v>1021</v>
      </c>
      <c r="B53" s="599"/>
      <c r="C53" s="599"/>
      <c r="D53" s="599"/>
      <c r="E53" s="599"/>
      <c r="F53" s="599"/>
      <c r="G53" s="600"/>
      <c r="H53" s="599"/>
      <c r="I53" s="613"/>
      <c r="J53" s="613">
        <f>-'Consol SoFP 24'!AH81</f>
        <v>54385084988</v>
      </c>
      <c r="K53" s="613"/>
      <c r="L53" s="613">
        <f>-'Consol SoFP 23 &amp; 22'!AE81</f>
        <v>32226982313</v>
      </c>
      <c r="M53" s="613"/>
      <c r="N53" s="613">
        <f>-'Consol SoFP 23 &amp; 22'!BF81</f>
        <v>72365951559</v>
      </c>
      <c r="O53" s="599"/>
      <c r="P53" s="599" t="s">
        <v>1022</v>
      </c>
      <c r="Q53" s="599"/>
      <c r="R53" s="599"/>
      <c r="S53" s="599"/>
      <c r="T53" s="599"/>
    </row>
    <row r="54" spans="1:23" ht="11.25" customHeight="1">
      <c r="A54" s="599" t="s">
        <v>1059</v>
      </c>
      <c r="B54" s="599"/>
      <c r="C54" s="599"/>
      <c r="D54" s="599"/>
      <c r="E54" s="599"/>
      <c r="F54" s="599"/>
      <c r="G54" s="600"/>
      <c r="H54" s="599"/>
      <c r="I54" s="613"/>
      <c r="J54" s="613">
        <f>-'Consol SoFP 24'!AH82</f>
        <v>0</v>
      </c>
      <c r="K54" s="613"/>
      <c r="L54" s="613">
        <v>0</v>
      </c>
      <c r="M54" s="613"/>
      <c r="N54" s="613">
        <v>0</v>
      </c>
      <c r="O54" s="599"/>
      <c r="P54" s="599" t="s">
        <v>958</v>
      </c>
      <c r="Q54" s="599"/>
      <c r="R54" s="599"/>
      <c r="S54" s="599"/>
      <c r="T54" s="599"/>
    </row>
    <row r="55" spans="1:23" ht="11.25" customHeight="1">
      <c r="A55" s="599" t="s">
        <v>1023</v>
      </c>
      <c r="B55" s="599"/>
      <c r="C55" s="599"/>
      <c r="D55" s="599"/>
      <c r="E55" s="599"/>
      <c r="F55" s="599"/>
      <c r="G55" s="600"/>
      <c r="H55" s="599"/>
      <c r="I55" s="613"/>
      <c r="J55" s="613">
        <f>-'Consol SoFP 24'!AH83</f>
        <v>4853302291</v>
      </c>
      <c r="K55" s="613"/>
      <c r="L55" s="613">
        <f>-'Consol SoFP 23 &amp; 22'!AE82</f>
        <v>4853302291</v>
      </c>
      <c r="M55" s="613"/>
      <c r="N55" s="613">
        <f>-'Consol SoFP 23 &amp; 22'!BF82</f>
        <v>4918246882</v>
      </c>
      <c r="O55" s="599"/>
      <c r="P55" s="599" t="s">
        <v>1024</v>
      </c>
      <c r="Q55" s="599"/>
      <c r="R55" s="599"/>
      <c r="S55" s="599"/>
      <c r="T55" s="599"/>
    </row>
    <row r="56" spans="1:23" ht="11.25" customHeight="1">
      <c r="A56" s="599" t="s">
        <v>1025</v>
      </c>
      <c r="B56" s="599"/>
      <c r="C56" s="599"/>
      <c r="D56" s="599"/>
      <c r="E56" s="599"/>
      <c r="F56" s="599"/>
      <c r="G56" s="600"/>
      <c r="H56" s="599"/>
      <c r="I56" s="613"/>
      <c r="J56" s="613">
        <f>-'Consol SoFP 24'!AH84</f>
        <v>11841969436</v>
      </c>
      <c r="K56" s="613"/>
      <c r="L56" s="613">
        <f>-'Consol SoFP 23 &amp; 22'!AE84</f>
        <v>11841969435</v>
      </c>
      <c r="M56" s="613"/>
      <c r="N56" s="613">
        <f>-'Consol SoFP 23 &amp; 22'!BF84</f>
        <v>3469782201</v>
      </c>
      <c r="O56" s="599"/>
      <c r="P56" s="599" t="s">
        <v>82</v>
      </c>
      <c r="Q56" s="599"/>
      <c r="R56" s="599"/>
      <c r="S56" s="599"/>
      <c r="T56" s="599"/>
    </row>
    <row r="57" spans="1:23" ht="11.25" customHeight="1">
      <c r="A57" s="599" t="s">
        <v>1026</v>
      </c>
      <c r="B57" s="599"/>
      <c r="C57" s="599"/>
      <c r="D57" s="599"/>
      <c r="E57" s="599"/>
      <c r="F57" s="599"/>
      <c r="G57" s="600"/>
      <c r="H57" s="599"/>
      <c r="I57" s="613"/>
      <c r="J57" s="615">
        <f>-'Consol SoFP 24'!AH85</f>
        <v>4735334275</v>
      </c>
      <c r="K57" s="613"/>
      <c r="L57" s="615">
        <f>-'Consol SoFP 23 &amp; 22'!AE85</f>
        <v>4735334275</v>
      </c>
      <c r="M57" s="613"/>
      <c r="N57" s="613">
        <v>0</v>
      </c>
      <c r="O57" s="599"/>
      <c r="P57" s="599" t="s">
        <v>1027</v>
      </c>
      <c r="Q57" s="599"/>
      <c r="R57" s="599"/>
      <c r="S57" s="599"/>
      <c r="T57" s="599"/>
    </row>
    <row r="58" spans="1:23" ht="11.25" customHeight="1">
      <c r="A58" s="599"/>
      <c r="B58" s="599"/>
      <c r="C58" s="599"/>
      <c r="D58" s="599"/>
      <c r="E58" s="599"/>
      <c r="F58" s="599"/>
      <c r="G58" s="600"/>
      <c r="H58" s="599"/>
      <c r="I58" s="613"/>
      <c r="J58" s="613"/>
      <c r="K58" s="613"/>
      <c r="L58" s="613"/>
      <c r="M58" s="613"/>
      <c r="N58" s="616"/>
      <c r="O58" s="599"/>
      <c r="P58" s="599"/>
      <c r="Q58" s="599"/>
      <c r="R58" s="599"/>
      <c r="S58" s="599"/>
      <c r="T58" s="599"/>
    </row>
    <row r="59" spans="1:23" ht="11.25" customHeight="1">
      <c r="A59" s="599" t="s">
        <v>1028</v>
      </c>
      <c r="B59" s="599"/>
      <c r="C59" s="599"/>
      <c r="D59" s="599"/>
      <c r="E59" s="599"/>
      <c r="F59" s="599"/>
      <c r="G59" s="600"/>
      <c r="H59" s="599"/>
      <c r="I59" s="613"/>
      <c r="J59" s="615">
        <f>SUM(J53:J57)</f>
        <v>75815690990</v>
      </c>
      <c r="K59" s="613"/>
      <c r="L59" s="615">
        <f>SUM(L53:L57)</f>
        <v>53657588314</v>
      </c>
      <c r="M59" s="613"/>
      <c r="N59" s="615">
        <f>SUM(N53:N57)</f>
        <v>80753980642</v>
      </c>
      <c r="O59" s="599"/>
      <c r="P59" s="599" t="s">
        <v>1029</v>
      </c>
      <c r="Q59" s="599"/>
      <c r="R59" s="599"/>
      <c r="S59" s="599"/>
      <c r="T59" s="599"/>
    </row>
    <row r="60" spans="1:23" ht="11.25" customHeight="1">
      <c r="A60" s="599"/>
      <c r="B60" s="599"/>
      <c r="C60" s="599"/>
      <c r="D60" s="599"/>
      <c r="E60" s="599"/>
      <c r="F60" s="599"/>
      <c r="G60" s="600"/>
      <c r="H60" s="599"/>
      <c r="I60" s="613"/>
      <c r="J60" s="613"/>
      <c r="K60" s="613"/>
      <c r="L60" s="613"/>
      <c r="M60" s="613"/>
      <c r="N60" s="613"/>
      <c r="O60" s="599"/>
      <c r="P60" s="599"/>
      <c r="Q60" s="599"/>
      <c r="R60" s="599"/>
      <c r="S60" s="599"/>
      <c r="T60" s="599"/>
    </row>
    <row r="61" spans="1:23" ht="11.25" customHeight="1" thickBot="1">
      <c r="A61" s="598" t="s">
        <v>1030</v>
      </c>
      <c r="B61" s="599"/>
      <c r="C61" s="599"/>
      <c r="D61" s="599"/>
      <c r="E61" s="599"/>
      <c r="F61" s="599"/>
      <c r="G61" s="600"/>
      <c r="H61" s="599"/>
      <c r="I61" s="617"/>
      <c r="J61" s="618">
        <f>+J50+J59</f>
        <v>463863190436</v>
      </c>
      <c r="K61" s="617"/>
      <c r="L61" s="618">
        <f>+L50+L59</f>
        <v>391303520680</v>
      </c>
      <c r="M61" s="617"/>
      <c r="N61" s="618">
        <f>+N50+N59</f>
        <v>310895783583</v>
      </c>
      <c r="O61" s="599"/>
      <c r="P61" s="598" t="s">
        <v>85</v>
      </c>
      <c r="Q61" s="599"/>
      <c r="R61" s="599"/>
      <c r="S61" s="599"/>
      <c r="T61" s="599"/>
    </row>
    <row r="62" spans="1:23" ht="11.25" customHeight="1" thickTop="1">
      <c r="A62" s="599"/>
      <c r="B62" s="599"/>
      <c r="C62" s="599"/>
      <c r="D62" s="599"/>
      <c r="E62" s="599"/>
      <c r="F62" s="599"/>
      <c r="G62" s="600"/>
      <c r="H62" s="599"/>
      <c r="I62" s="613"/>
      <c r="J62" s="613"/>
      <c r="K62" s="613"/>
      <c r="L62" s="613"/>
      <c r="M62" s="613"/>
      <c r="N62" s="613"/>
      <c r="O62" s="599"/>
      <c r="P62" s="599"/>
      <c r="Q62" s="599"/>
      <c r="R62" s="599"/>
      <c r="S62" s="599"/>
      <c r="T62" s="599"/>
      <c r="W62" s="620"/>
    </row>
    <row r="63" spans="1:23" ht="11.25" customHeight="1">
      <c r="A63" s="598" t="s">
        <v>1031</v>
      </c>
      <c r="B63" s="598"/>
      <c r="C63" s="598"/>
      <c r="D63" s="598"/>
      <c r="E63" s="598"/>
      <c r="F63" s="598"/>
      <c r="G63" s="612"/>
      <c r="H63" s="598"/>
      <c r="I63" s="617"/>
      <c r="J63" s="617"/>
      <c r="K63" s="617"/>
      <c r="L63" s="617"/>
      <c r="M63" s="617"/>
      <c r="N63" s="617"/>
      <c r="O63" s="598"/>
      <c r="P63" s="598" t="s">
        <v>86</v>
      </c>
      <c r="Q63" s="598"/>
      <c r="R63" s="598"/>
      <c r="S63" s="598"/>
      <c r="T63" s="598"/>
    </row>
    <row r="64" spans="1:23" ht="11.25" customHeight="1">
      <c r="A64" s="599" t="s">
        <v>1032</v>
      </c>
      <c r="B64" s="599"/>
      <c r="C64" s="599"/>
      <c r="D64" s="599"/>
      <c r="E64" s="599"/>
      <c r="F64" s="599"/>
      <c r="G64" s="600"/>
      <c r="H64" s="599"/>
      <c r="I64" s="613"/>
      <c r="J64" s="613">
        <f>-'Consol SoFP 24'!AH93</f>
        <v>486708075000</v>
      </c>
      <c r="K64" s="613"/>
      <c r="L64" s="613">
        <f>-'Consol SoFP 23 &amp; 22'!AE93</f>
        <v>486708075000</v>
      </c>
      <c r="M64" s="613"/>
      <c r="N64" s="613">
        <f>-'Consol SoFP 23 &amp; 22'!BF93</f>
        <v>142427250000</v>
      </c>
      <c r="O64" s="599"/>
      <c r="P64" s="599" t="s">
        <v>205</v>
      </c>
      <c r="Q64" s="599"/>
      <c r="R64" s="599"/>
      <c r="S64" s="599"/>
      <c r="T64" s="599"/>
    </row>
    <row r="65" spans="1:20" ht="11.25" customHeight="1">
      <c r="A65" s="599" t="s">
        <v>1033</v>
      </c>
      <c r="B65" s="599"/>
      <c r="C65" s="599"/>
      <c r="D65" s="599"/>
      <c r="E65" s="599"/>
      <c r="F65" s="599"/>
      <c r="G65" s="600"/>
      <c r="H65" s="599"/>
      <c r="I65" s="613"/>
      <c r="J65" s="613">
        <f>-SUM('Consol SoFP 24'!AH101:AH102)</f>
        <v>-902232119329</v>
      </c>
      <c r="K65" s="613"/>
      <c r="L65" s="613">
        <f>-SUM('Consol SoFP 23 &amp; 22'!AE101:AE102)</f>
        <v>-649879728743</v>
      </c>
      <c r="M65" s="613"/>
      <c r="N65" s="613">
        <f>-SUM('Consol SoFP 23 &amp; 22'!BF101:BF102)</f>
        <v>-323673912325</v>
      </c>
      <c r="O65" s="599"/>
      <c r="P65" s="599" t="s">
        <v>1034</v>
      </c>
      <c r="Q65" s="599"/>
      <c r="R65" s="599"/>
      <c r="S65" s="599"/>
      <c r="T65" s="599"/>
    </row>
    <row r="66" spans="1:20" ht="11.25" customHeight="1">
      <c r="A66" s="599" t="s">
        <v>1056</v>
      </c>
      <c r="B66" s="599"/>
      <c r="C66" s="599"/>
      <c r="D66" s="599"/>
      <c r="E66" s="599"/>
      <c r="F66" s="599"/>
      <c r="G66" s="600"/>
      <c r="H66" s="599"/>
      <c r="I66" s="613"/>
      <c r="J66" s="613">
        <f>-'Consol SoFP 24'!AH104</f>
        <v>1505283289</v>
      </c>
      <c r="K66" s="613"/>
      <c r="L66" s="613">
        <f>-SUM('Consol SoFP 23 &amp; 22'!AE104:AE105)</f>
        <v>1505283288</v>
      </c>
      <c r="M66" s="613"/>
      <c r="N66" s="613">
        <f>-SUM('Consol SoFP 23 &amp; 22'!BF104:BF105)</f>
        <v>890579715</v>
      </c>
      <c r="O66" s="599"/>
      <c r="P66" s="599" t="s">
        <v>175</v>
      </c>
      <c r="Q66" s="599"/>
      <c r="R66" s="599"/>
      <c r="S66" s="599"/>
      <c r="T66" s="599"/>
    </row>
    <row r="67" spans="1:20" ht="11.25" customHeight="1">
      <c r="A67" s="599" t="s">
        <v>1035</v>
      </c>
      <c r="B67" s="599"/>
      <c r="C67" s="599"/>
      <c r="D67" s="599"/>
      <c r="E67" s="599"/>
      <c r="F67" s="599"/>
      <c r="G67" s="600"/>
      <c r="H67" s="599"/>
      <c r="I67" s="613"/>
      <c r="J67" s="613">
        <f>-'Consol SoFP 24'!AH94</f>
        <v>1608246198282</v>
      </c>
      <c r="K67" s="613"/>
      <c r="L67" s="613">
        <f>-'Consol SoFP 23 &amp; 22'!AE94</f>
        <v>1003275649843</v>
      </c>
      <c r="M67" s="613"/>
      <c r="N67" s="613">
        <f>-'Consol SoFP 23 &amp; 22'!BF94</f>
        <v>357853579198</v>
      </c>
      <c r="O67" s="599"/>
      <c r="P67" s="599" t="s">
        <v>1036</v>
      </c>
      <c r="Q67" s="599"/>
      <c r="R67" s="599"/>
      <c r="S67" s="599"/>
      <c r="T67" s="599"/>
    </row>
    <row r="68" spans="1:20" ht="11.25" customHeight="1">
      <c r="A68" s="599" t="s">
        <v>1037</v>
      </c>
      <c r="B68" s="599"/>
      <c r="C68" s="599"/>
      <c r="D68" s="599"/>
      <c r="E68" s="599"/>
      <c r="F68" s="599"/>
      <c r="G68" s="600"/>
      <c r="H68" s="599"/>
      <c r="I68" s="613"/>
      <c r="J68" s="613">
        <f>-'Consol SoFP 24'!AH98</f>
        <v>42384330497</v>
      </c>
      <c r="K68" s="613"/>
      <c r="L68" s="613">
        <f>-SUM('Consol SoFP 23 &amp; 22'!AE97:AE98)</f>
        <v>42384330497</v>
      </c>
      <c r="M68" s="613"/>
      <c r="N68" s="613">
        <f>-SUM('Consol SoFP 23 &amp; 22'!BF97:BF98)</f>
        <v>28533901860</v>
      </c>
      <c r="O68" s="599"/>
      <c r="P68" s="599" t="s">
        <v>92</v>
      </c>
      <c r="Q68" s="599"/>
      <c r="R68" s="599"/>
      <c r="S68" s="599"/>
      <c r="T68" s="599"/>
    </row>
    <row r="69" spans="1:20" ht="11.25" customHeight="1">
      <c r="A69" s="599" t="s">
        <v>1060</v>
      </c>
      <c r="B69" s="599"/>
      <c r="C69" s="599"/>
      <c r="D69" s="599"/>
      <c r="E69" s="599"/>
      <c r="F69" s="599"/>
      <c r="G69" s="600"/>
      <c r="H69" s="599"/>
      <c r="I69" s="613"/>
      <c r="J69" s="613">
        <f>-'Consol SoFP 24'!AH96</f>
        <v>-85320141313</v>
      </c>
      <c r="K69" s="613"/>
      <c r="L69" s="613">
        <v>0</v>
      </c>
      <c r="M69" s="613"/>
      <c r="N69" s="613">
        <v>0</v>
      </c>
      <c r="O69" s="599"/>
      <c r="P69" s="599" t="s">
        <v>1061</v>
      </c>
      <c r="Q69" s="599"/>
      <c r="R69" s="599"/>
      <c r="S69" s="599"/>
      <c r="T69" s="599"/>
    </row>
    <row r="70" spans="1:20" ht="11.25" customHeight="1">
      <c r="A70" s="599" t="s">
        <v>372</v>
      </c>
      <c r="B70" s="599"/>
      <c r="C70" s="599"/>
      <c r="D70" s="599"/>
      <c r="E70" s="599"/>
      <c r="F70" s="599"/>
      <c r="G70" s="600"/>
      <c r="H70" s="599"/>
      <c r="I70" s="613"/>
      <c r="J70" s="615">
        <v>0</v>
      </c>
      <c r="K70" s="613"/>
      <c r="L70" s="615">
        <f>-'Consol SoFP 23 &amp; 22'!AE106</f>
        <v>-55005764507</v>
      </c>
      <c r="M70" s="613"/>
      <c r="N70" s="615">
        <f>-'Consol SoFP 23 &amp; 22'!BF106</f>
        <v>2093719896</v>
      </c>
      <c r="O70" s="599"/>
      <c r="P70" s="599" t="s">
        <v>1038</v>
      </c>
      <c r="Q70" s="599"/>
      <c r="R70" s="599"/>
      <c r="S70" s="599"/>
      <c r="T70" s="599"/>
    </row>
    <row r="71" spans="1:20" ht="11.25" customHeight="1">
      <c r="A71" s="599"/>
      <c r="B71" s="599"/>
      <c r="C71" s="599"/>
      <c r="D71" s="599"/>
      <c r="E71" s="599"/>
      <c r="F71" s="599"/>
      <c r="G71" s="600"/>
      <c r="H71" s="599"/>
      <c r="I71" s="613"/>
      <c r="J71" s="613"/>
      <c r="K71" s="613"/>
      <c r="L71" s="613"/>
      <c r="M71" s="613"/>
      <c r="N71" s="613"/>
      <c r="O71" s="599"/>
      <c r="P71" s="599"/>
      <c r="Q71" s="599"/>
      <c r="R71" s="599"/>
      <c r="S71" s="599"/>
      <c r="T71" s="599"/>
    </row>
    <row r="72" spans="1:20" ht="11.25" customHeight="1">
      <c r="A72" s="599" t="s">
        <v>102</v>
      </c>
      <c r="B72" s="599"/>
      <c r="C72" s="599"/>
      <c r="D72" s="599"/>
      <c r="E72" s="599"/>
      <c r="F72" s="599"/>
      <c r="G72" s="600"/>
      <c r="H72" s="599"/>
      <c r="I72" s="613"/>
      <c r="J72" s="613">
        <f>SUM(J64:J70)</f>
        <v>1151291626426</v>
      </c>
      <c r="K72" s="613"/>
      <c r="L72" s="613">
        <f>SUM(L64:L70)</f>
        <v>828987845378</v>
      </c>
      <c r="M72" s="613"/>
      <c r="N72" s="613">
        <f>SUM(N64:N70)</f>
        <v>208125118344</v>
      </c>
      <c r="O72" s="599"/>
      <c r="P72" s="599" t="s">
        <v>102</v>
      </c>
      <c r="R72" s="599"/>
      <c r="S72" s="599"/>
      <c r="T72" s="599"/>
    </row>
    <row r="73" spans="1:20" ht="11.25" customHeight="1">
      <c r="A73" s="599" t="s">
        <v>1039</v>
      </c>
      <c r="B73" s="599"/>
      <c r="C73" s="599"/>
      <c r="D73" s="599"/>
      <c r="E73" s="599"/>
      <c r="F73" s="599"/>
      <c r="G73" s="600"/>
      <c r="H73" s="599"/>
      <c r="I73" s="613"/>
      <c r="J73" s="615">
        <f>-'Consol SoFP 24'!AH110</f>
        <v>-736306584348.53674</v>
      </c>
      <c r="K73" s="613"/>
      <c r="L73" s="615">
        <f>-'Consol SoFP 23 &amp; 22'!AE110</f>
        <v>-473208601783.68762</v>
      </c>
      <c r="M73" s="613"/>
      <c r="N73" s="615">
        <f>-'Consol SoFP 23 &amp; 22'!BF110</f>
        <v>134668014247</v>
      </c>
      <c r="O73" s="599"/>
      <c r="P73" s="599" t="s">
        <v>1040</v>
      </c>
      <c r="Q73" s="599"/>
      <c r="R73" s="599"/>
      <c r="S73" s="599"/>
      <c r="T73" s="599"/>
    </row>
    <row r="74" spans="1:20" ht="11.25" customHeight="1">
      <c r="A74" s="599" t="s">
        <v>1041</v>
      </c>
      <c r="B74" s="599"/>
      <c r="C74" s="599"/>
      <c r="D74" s="599"/>
      <c r="E74" s="599"/>
      <c r="F74" s="599"/>
      <c r="G74" s="600"/>
      <c r="H74" s="599"/>
      <c r="I74" s="613"/>
      <c r="J74" s="613">
        <f>SUM(J72:J73)</f>
        <v>414985042077.46326</v>
      </c>
      <c r="K74" s="613"/>
      <c r="L74" s="613">
        <f>SUM(L72:L73)</f>
        <v>355779243594.31238</v>
      </c>
      <c r="M74" s="613"/>
      <c r="N74" s="613">
        <f>SUM(N72:N73)</f>
        <v>342793132591</v>
      </c>
      <c r="O74" s="599"/>
      <c r="P74" s="599"/>
      <c r="Q74" s="599"/>
      <c r="R74" s="599"/>
      <c r="S74" s="599"/>
      <c r="T74" s="599"/>
    </row>
    <row r="75" spans="1:20" ht="11.25" customHeight="1">
      <c r="A75" s="599"/>
      <c r="B75" s="599"/>
      <c r="C75" s="599"/>
      <c r="D75" s="599"/>
      <c r="E75" s="599"/>
      <c r="F75" s="599"/>
      <c r="G75" s="600"/>
      <c r="H75" s="599"/>
      <c r="I75" s="613"/>
      <c r="J75" s="613"/>
      <c r="K75" s="613"/>
      <c r="L75" s="613"/>
      <c r="M75" s="613"/>
      <c r="N75" s="613"/>
      <c r="O75" s="599"/>
      <c r="P75" s="599"/>
      <c r="Q75" s="599"/>
      <c r="R75" s="599"/>
      <c r="S75" s="599"/>
      <c r="T75" s="599"/>
    </row>
    <row r="76" spans="1:20" ht="11.25" customHeight="1" thickBot="1">
      <c r="A76" s="598" t="s">
        <v>1042</v>
      </c>
      <c r="B76" s="598"/>
      <c r="C76" s="598"/>
      <c r="D76" s="598"/>
      <c r="E76" s="598"/>
      <c r="F76" s="598"/>
      <c r="G76" s="612"/>
      <c r="H76" s="598"/>
      <c r="I76" s="617"/>
      <c r="J76" s="618">
        <f>J61+J74</f>
        <v>878848232513.46326</v>
      </c>
      <c r="K76" s="617"/>
      <c r="L76" s="618">
        <f>L74+L61</f>
        <v>747082764274.31238</v>
      </c>
      <c r="M76" s="617"/>
      <c r="N76" s="618">
        <f>N74+N61</f>
        <v>653688916174</v>
      </c>
      <c r="O76" s="598"/>
      <c r="P76" s="598" t="s">
        <v>1043</v>
      </c>
      <c r="Q76" s="598"/>
      <c r="R76" s="598"/>
      <c r="S76" s="598"/>
      <c r="T76" s="598"/>
    </row>
    <row r="77" spans="1:20" ht="11.25" customHeight="1" thickTop="1">
      <c r="A77" s="599"/>
      <c r="B77" s="599"/>
      <c r="C77" s="599"/>
      <c r="D77" s="599"/>
      <c r="E77" s="599"/>
      <c r="F77" s="599"/>
      <c r="G77" s="600"/>
      <c r="H77" s="599"/>
      <c r="I77" s="599"/>
      <c r="J77" s="599"/>
      <c r="K77" s="599"/>
      <c r="L77" s="599"/>
      <c r="M77" s="599"/>
      <c r="N77" s="599"/>
      <c r="O77" s="599"/>
      <c r="P77" s="599"/>
      <c r="Q77" s="599"/>
      <c r="R77" s="599"/>
      <c r="S77" s="599"/>
      <c r="T77" s="599"/>
    </row>
    <row r="78" spans="1:20" ht="11.25" customHeight="1">
      <c r="A78" s="599"/>
      <c r="B78" s="599"/>
      <c r="C78" s="599"/>
      <c r="D78" s="599"/>
      <c r="E78" s="599"/>
      <c r="F78" s="599"/>
      <c r="G78" s="600"/>
      <c r="H78" s="599"/>
      <c r="I78" s="599"/>
      <c r="J78" s="599">
        <f>J35-J76</f>
        <v>-0.4632568359375</v>
      </c>
      <c r="K78" s="599"/>
      <c r="L78" s="599">
        <f>L35-L76</f>
        <v>-0.3123779296875</v>
      </c>
      <c r="M78" s="599"/>
      <c r="N78" s="599">
        <f>N35-N76</f>
        <v>0</v>
      </c>
      <c r="O78" s="599"/>
      <c r="P78" s="599"/>
      <c r="Q78" s="599"/>
      <c r="R78" s="599"/>
      <c r="S78" s="599"/>
      <c r="T78" s="599"/>
    </row>
    <row r="79" spans="1:20" ht="11.25" customHeight="1">
      <c r="A79" s="599"/>
      <c r="B79" s="599"/>
      <c r="C79" s="599"/>
      <c r="D79" s="599"/>
      <c r="E79" s="599"/>
      <c r="F79" s="599"/>
      <c r="G79" s="600"/>
      <c r="H79" s="599"/>
      <c r="I79" s="599"/>
      <c r="J79" s="599"/>
      <c r="K79" s="599"/>
      <c r="L79" s="599"/>
      <c r="M79" s="599"/>
      <c r="N79" s="599"/>
      <c r="O79" s="599"/>
      <c r="P79" s="599"/>
      <c r="Q79" s="599"/>
      <c r="R79" s="599"/>
      <c r="S79" s="599"/>
      <c r="T79" s="599"/>
    </row>
    <row r="80" spans="1:20" ht="11.25" customHeight="1">
      <c r="A80" s="599" t="s">
        <v>1044</v>
      </c>
      <c r="B80" s="599"/>
      <c r="C80" s="599"/>
      <c r="D80" s="599"/>
      <c r="E80" s="599"/>
      <c r="F80" s="599"/>
      <c r="G80" s="600"/>
      <c r="H80" s="599"/>
      <c r="I80" s="599"/>
      <c r="J80" s="599"/>
      <c r="K80" s="599"/>
      <c r="L80" s="599"/>
      <c r="M80" s="599"/>
      <c r="N80" s="599" t="s">
        <v>1045</v>
      </c>
      <c r="O80" s="599"/>
      <c r="P80" s="599"/>
      <c r="Q80" s="599"/>
      <c r="R80" s="599"/>
      <c r="S80" s="599"/>
      <c r="T80" s="599"/>
    </row>
    <row r="81" spans="1:20" ht="11.25" customHeight="1">
      <c r="A81" s="599" t="s">
        <v>1046</v>
      </c>
      <c r="B81" s="599"/>
      <c r="C81" s="599"/>
      <c r="D81" s="599"/>
      <c r="E81" s="599"/>
      <c r="F81" s="599"/>
      <c r="G81" s="600"/>
      <c r="H81" s="599"/>
      <c r="I81" s="599"/>
      <c r="J81" s="599"/>
      <c r="K81" s="599"/>
      <c r="L81" s="599"/>
      <c r="M81" s="599"/>
      <c r="N81" s="599" t="s">
        <v>1047</v>
      </c>
      <c r="O81" s="599"/>
      <c r="P81" s="599"/>
      <c r="Q81" s="599"/>
      <c r="R81" s="599"/>
      <c r="S81" s="599"/>
      <c r="T81" s="599"/>
    </row>
    <row r="82" spans="1:20" ht="11.25" customHeight="1">
      <c r="A82" s="599"/>
      <c r="B82" s="599"/>
      <c r="C82" s="599"/>
      <c r="D82" s="599"/>
      <c r="E82" s="599"/>
      <c r="F82" s="599"/>
      <c r="G82" s="600"/>
      <c r="H82" s="599"/>
      <c r="I82" s="599"/>
      <c r="J82" s="599"/>
      <c r="K82" s="599"/>
      <c r="L82" s="599"/>
      <c r="M82" s="599"/>
      <c r="N82" s="599"/>
      <c r="O82" s="599"/>
      <c r="P82" s="599"/>
      <c r="Q82" s="599"/>
      <c r="R82" s="599"/>
      <c r="S82" s="599"/>
      <c r="T82" s="599"/>
    </row>
    <row r="83" spans="1:20" ht="11.25" customHeight="1">
      <c r="A83" s="599"/>
      <c r="B83" s="599"/>
      <c r="C83" s="599"/>
      <c r="D83" s="599"/>
      <c r="E83" s="599"/>
      <c r="F83" s="599"/>
      <c r="G83" s="600"/>
      <c r="H83" s="599"/>
      <c r="I83" s="599"/>
      <c r="J83" s="599"/>
      <c r="K83" s="599"/>
      <c r="L83" s="599"/>
      <c r="M83" s="599"/>
      <c r="N83" s="599"/>
      <c r="O83" s="599"/>
      <c r="P83" s="599"/>
      <c r="Q83" s="599"/>
      <c r="R83" s="599"/>
      <c r="S83" s="599"/>
      <c r="T83" s="599"/>
    </row>
    <row r="84" spans="1:20" s="620" customFormat="1" ht="11.25" customHeight="1">
      <c r="A84" s="621"/>
      <c r="B84" s="621"/>
      <c r="C84" s="621"/>
      <c r="D84" s="621"/>
      <c r="E84" s="621"/>
      <c r="F84" s="621"/>
      <c r="G84" s="622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</row>
    <row r="85" spans="1:20" ht="11.25" customHeight="1">
      <c r="A85" s="599"/>
      <c r="B85" s="599"/>
      <c r="C85" s="599"/>
      <c r="D85" s="599"/>
      <c r="E85" s="599"/>
      <c r="F85" s="599"/>
      <c r="G85" s="600"/>
      <c r="H85" s="599"/>
      <c r="I85" s="599"/>
      <c r="J85" s="599"/>
      <c r="K85" s="599"/>
      <c r="L85" s="599"/>
      <c r="M85" s="599"/>
      <c r="N85" s="599"/>
      <c r="O85" s="599"/>
      <c r="P85" s="599"/>
      <c r="Q85" s="599"/>
      <c r="R85" s="599"/>
      <c r="S85" s="599"/>
      <c r="T85" s="599"/>
    </row>
    <row r="86" spans="1:20" ht="11.25" customHeight="1">
      <c r="A86" s="599"/>
      <c r="B86" s="599"/>
      <c r="C86" s="599"/>
      <c r="D86" s="599"/>
      <c r="E86" s="599"/>
      <c r="F86" s="599"/>
      <c r="G86" s="600"/>
      <c r="H86" s="599"/>
      <c r="I86" s="599"/>
      <c r="J86" s="623"/>
      <c r="K86" s="599"/>
      <c r="L86" s="623"/>
      <c r="M86" s="623"/>
      <c r="N86" s="623"/>
      <c r="O86" s="599"/>
      <c r="P86" s="599"/>
      <c r="Q86" s="599"/>
      <c r="R86" s="599"/>
      <c r="S86" s="599"/>
      <c r="T86" s="599"/>
    </row>
    <row r="87" spans="1:20" ht="11.25" customHeight="1">
      <c r="A87" s="599"/>
      <c r="B87" s="599"/>
      <c r="C87" s="599"/>
      <c r="D87" s="599"/>
      <c r="E87" s="599"/>
      <c r="F87" s="599"/>
      <c r="G87" s="600"/>
      <c r="H87" s="599"/>
      <c r="I87" s="599"/>
      <c r="J87" s="599"/>
      <c r="K87" s="599"/>
      <c r="L87" s="599"/>
      <c r="M87" s="599"/>
      <c r="N87" s="599"/>
      <c r="O87" s="599"/>
      <c r="P87" s="599"/>
      <c r="Q87" s="599"/>
      <c r="R87" s="599"/>
      <c r="S87" s="599"/>
      <c r="T87" s="599"/>
    </row>
    <row r="88" spans="1:20" ht="11.25" customHeight="1">
      <c r="A88" s="599"/>
      <c r="B88" s="599"/>
      <c r="C88" s="599"/>
      <c r="D88" s="599"/>
      <c r="E88" s="599"/>
      <c r="F88" s="599"/>
      <c r="G88" s="600"/>
      <c r="H88" s="599"/>
      <c r="I88" s="599"/>
      <c r="J88" s="599"/>
      <c r="K88" s="599"/>
      <c r="L88" s="599"/>
      <c r="M88" s="599"/>
      <c r="N88" s="599"/>
      <c r="O88" s="599"/>
      <c r="P88" s="599"/>
      <c r="Q88" s="599"/>
      <c r="R88" s="599"/>
      <c r="S88" s="599"/>
      <c r="T88" s="599"/>
    </row>
    <row r="89" spans="1:20" ht="11.25" customHeight="1">
      <c r="A89" s="599"/>
      <c r="B89" s="599"/>
      <c r="C89" s="599"/>
      <c r="D89" s="599"/>
      <c r="E89" s="599"/>
      <c r="F89" s="599"/>
      <c r="G89" s="600"/>
      <c r="H89" s="599"/>
      <c r="I89" s="599"/>
      <c r="J89" s="599"/>
      <c r="K89" s="599"/>
      <c r="L89" s="599"/>
      <c r="M89" s="599"/>
      <c r="N89" s="599"/>
      <c r="O89" s="599"/>
      <c r="P89" s="599"/>
      <c r="Q89" s="599"/>
      <c r="R89" s="599"/>
      <c r="S89" s="599"/>
      <c r="T89" s="599"/>
    </row>
    <row r="90" spans="1:20" ht="11.25" customHeight="1">
      <c r="A90" s="599"/>
      <c r="B90" s="599"/>
      <c r="C90" s="599"/>
      <c r="D90" s="599"/>
      <c r="E90" s="599"/>
      <c r="F90" s="599"/>
      <c r="G90" s="600"/>
      <c r="H90" s="599"/>
      <c r="I90" s="599"/>
      <c r="J90" s="599"/>
      <c r="K90" s="599"/>
      <c r="L90" s="599"/>
      <c r="M90" s="599"/>
      <c r="N90" s="599"/>
      <c r="O90" s="599"/>
      <c r="P90" s="599"/>
      <c r="Q90" s="599"/>
      <c r="R90" s="599"/>
      <c r="S90" s="599"/>
      <c r="T90" s="599"/>
    </row>
    <row r="91" spans="1:20" ht="11.25" customHeight="1">
      <c r="A91" s="599"/>
      <c r="B91" s="599"/>
      <c r="C91" s="599"/>
      <c r="D91" s="599"/>
      <c r="E91" s="599"/>
      <c r="F91" s="599"/>
      <c r="G91" s="600"/>
      <c r="H91" s="599"/>
      <c r="I91" s="599"/>
      <c r="J91" s="599"/>
      <c r="K91" s="599"/>
      <c r="L91" s="599"/>
      <c r="M91" s="599"/>
      <c r="N91" s="599"/>
      <c r="O91" s="599"/>
      <c r="P91" s="599"/>
      <c r="Q91" s="599"/>
      <c r="R91" s="599"/>
      <c r="S91" s="599"/>
      <c r="T91" s="599"/>
    </row>
    <row r="92" spans="1:20" ht="11.25" customHeight="1">
      <c r="A92" s="599"/>
      <c r="B92" s="599"/>
      <c r="C92" s="599"/>
      <c r="D92" s="599"/>
      <c r="E92" s="599"/>
      <c r="F92" s="599"/>
      <c r="G92" s="600"/>
      <c r="H92" s="599"/>
      <c r="I92" s="599"/>
      <c r="J92" s="599"/>
      <c r="K92" s="599"/>
      <c r="L92" s="599"/>
      <c r="M92" s="599"/>
      <c r="N92" s="599"/>
      <c r="O92" s="599"/>
      <c r="P92" s="599"/>
      <c r="Q92" s="599"/>
      <c r="R92" s="599"/>
      <c r="S92" s="599"/>
      <c r="T92" s="599"/>
    </row>
    <row r="93" spans="1:20" ht="11.25" customHeight="1">
      <c r="A93" s="599"/>
      <c r="B93" s="599"/>
      <c r="C93" s="599"/>
      <c r="D93" s="599"/>
      <c r="E93" s="599"/>
      <c r="F93" s="599"/>
      <c r="G93" s="600"/>
      <c r="H93" s="599"/>
      <c r="I93" s="599"/>
      <c r="J93" s="599"/>
      <c r="K93" s="599"/>
      <c r="L93" s="599"/>
      <c r="M93" s="599"/>
      <c r="N93" s="599"/>
      <c r="O93" s="599"/>
      <c r="P93" s="599"/>
      <c r="Q93" s="599"/>
      <c r="R93" s="599"/>
      <c r="S93" s="599"/>
      <c r="T93" s="599"/>
    </row>
    <row r="94" spans="1:20" ht="11.25" customHeight="1">
      <c r="A94" s="599"/>
      <c r="B94" s="599"/>
      <c r="C94" s="599"/>
      <c r="D94" s="599"/>
      <c r="E94" s="599"/>
      <c r="F94" s="599"/>
      <c r="G94" s="600"/>
      <c r="H94" s="599"/>
      <c r="I94" s="599"/>
      <c r="J94" s="599"/>
      <c r="K94" s="599"/>
      <c r="L94" s="599"/>
      <c r="M94" s="599"/>
      <c r="N94" s="599"/>
      <c r="O94" s="599"/>
      <c r="P94" s="599"/>
      <c r="Q94" s="599"/>
      <c r="R94" s="599"/>
      <c r="S94" s="599"/>
      <c r="T94" s="599"/>
    </row>
    <row r="95" spans="1:20" ht="11.25" customHeight="1">
      <c r="A95" s="599"/>
      <c r="B95" s="599"/>
      <c r="C95" s="599"/>
      <c r="D95" s="599"/>
      <c r="E95" s="599"/>
      <c r="F95" s="599"/>
      <c r="G95" s="600"/>
      <c r="H95" s="599"/>
      <c r="I95" s="599"/>
      <c r="J95" s="599"/>
      <c r="K95" s="599"/>
      <c r="L95" s="599"/>
      <c r="M95" s="599"/>
      <c r="N95" s="599"/>
      <c r="O95" s="599"/>
      <c r="P95" s="599"/>
      <c r="Q95" s="599"/>
      <c r="R95" s="599"/>
      <c r="S95" s="599"/>
      <c r="T95" s="599"/>
    </row>
    <row r="96" spans="1:20" ht="11.25" customHeight="1">
      <c r="A96" s="599"/>
      <c r="B96" s="599"/>
      <c r="C96" s="599"/>
      <c r="D96" s="599"/>
      <c r="E96" s="599"/>
      <c r="F96" s="599"/>
      <c r="G96" s="600"/>
      <c r="H96" s="599"/>
      <c r="I96" s="599"/>
      <c r="J96" s="599"/>
      <c r="K96" s="599"/>
      <c r="L96" s="599"/>
      <c r="M96" s="599"/>
      <c r="N96" s="599"/>
      <c r="O96" s="599"/>
      <c r="P96" s="599"/>
      <c r="Q96" s="599"/>
      <c r="R96" s="599"/>
      <c r="S96" s="599"/>
      <c r="T96" s="599"/>
    </row>
    <row r="97" spans="1:20" ht="11.25" customHeight="1">
      <c r="A97" s="599"/>
      <c r="B97" s="599"/>
      <c r="C97" s="599"/>
      <c r="D97" s="599"/>
      <c r="E97" s="599"/>
      <c r="F97" s="599"/>
      <c r="G97" s="600"/>
      <c r="H97" s="599"/>
      <c r="I97" s="599"/>
      <c r="J97" s="599"/>
      <c r="K97" s="599"/>
      <c r="L97" s="599"/>
      <c r="M97" s="599"/>
      <c r="N97" s="599"/>
      <c r="O97" s="599"/>
      <c r="P97" s="599"/>
      <c r="Q97" s="599"/>
      <c r="R97" s="599"/>
      <c r="S97" s="599"/>
      <c r="T97" s="599"/>
    </row>
    <row r="98" spans="1:20" ht="11.25" customHeight="1">
      <c r="A98" s="599"/>
      <c r="B98" s="599"/>
      <c r="C98" s="599"/>
      <c r="D98" s="599"/>
      <c r="E98" s="599"/>
      <c r="F98" s="599"/>
      <c r="G98" s="600"/>
      <c r="H98" s="599"/>
      <c r="I98" s="599"/>
      <c r="J98" s="599"/>
      <c r="K98" s="599"/>
      <c r="L98" s="599"/>
      <c r="M98" s="599"/>
      <c r="N98" s="599"/>
      <c r="O98" s="599"/>
      <c r="P98" s="599"/>
      <c r="Q98" s="599"/>
      <c r="R98" s="599"/>
      <c r="S98" s="599"/>
      <c r="T98" s="599"/>
    </row>
    <row r="99" spans="1:20" ht="11.25" customHeight="1">
      <c r="A99" s="599"/>
      <c r="B99" s="599"/>
      <c r="C99" s="599"/>
      <c r="D99" s="599"/>
      <c r="E99" s="599"/>
      <c r="F99" s="599"/>
      <c r="G99" s="600"/>
      <c r="H99" s="599"/>
      <c r="I99" s="599"/>
      <c r="J99" s="599"/>
      <c r="K99" s="599"/>
      <c r="L99" s="599"/>
      <c r="M99" s="599"/>
      <c r="N99" s="599"/>
      <c r="O99" s="599"/>
      <c r="P99" s="599"/>
      <c r="Q99" s="599"/>
      <c r="R99" s="599"/>
      <c r="S99" s="599"/>
      <c r="T99" s="599"/>
    </row>
    <row r="100" spans="1:20" ht="11.25" customHeight="1">
      <c r="A100" s="599"/>
      <c r="B100" s="599"/>
      <c r="C100" s="599"/>
      <c r="D100" s="599"/>
      <c r="E100" s="599"/>
      <c r="F100" s="599"/>
      <c r="G100" s="600"/>
      <c r="H100" s="599"/>
      <c r="I100" s="599"/>
      <c r="J100" s="599"/>
      <c r="K100" s="599"/>
      <c r="L100" s="599"/>
      <c r="M100" s="599"/>
      <c r="N100" s="599"/>
      <c r="O100" s="599"/>
      <c r="P100" s="599"/>
      <c r="Q100" s="599"/>
      <c r="R100" s="599"/>
      <c r="S100" s="599"/>
      <c r="T100" s="599"/>
    </row>
    <row r="101" spans="1:20" ht="11.25" customHeight="1">
      <c r="A101" s="599"/>
      <c r="B101" s="599"/>
      <c r="C101" s="599"/>
      <c r="D101" s="599"/>
      <c r="E101" s="599"/>
      <c r="F101" s="599"/>
      <c r="G101" s="600"/>
      <c r="H101" s="599"/>
      <c r="I101" s="599"/>
      <c r="J101" s="599"/>
      <c r="K101" s="599"/>
      <c r="L101" s="599"/>
      <c r="M101" s="599"/>
      <c r="N101" s="599"/>
      <c r="O101" s="599"/>
      <c r="P101" s="599"/>
      <c r="Q101" s="599"/>
      <c r="R101" s="599"/>
      <c r="S101" s="599"/>
      <c r="T101" s="599"/>
    </row>
    <row r="102" spans="1:20" ht="11.25" customHeight="1">
      <c r="A102" s="599"/>
      <c r="B102" s="599"/>
      <c r="C102" s="599"/>
      <c r="D102" s="599"/>
      <c r="E102" s="599"/>
      <c r="F102" s="599"/>
      <c r="G102" s="600"/>
      <c r="H102" s="599"/>
      <c r="I102" s="599"/>
      <c r="J102" s="599"/>
      <c r="K102" s="599"/>
      <c r="L102" s="599"/>
      <c r="M102" s="599"/>
      <c r="N102" s="599"/>
      <c r="O102" s="599"/>
      <c r="P102" s="599"/>
      <c r="Q102" s="599"/>
      <c r="R102" s="599"/>
      <c r="S102" s="599"/>
      <c r="T102" s="599"/>
    </row>
    <row r="103" spans="1:20" ht="11.25" customHeight="1">
      <c r="A103" s="599"/>
      <c r="B103" s="599"/>
      <c r="C103" s="599"/>
      <c r="D103" s="599"/>
      <c r="E103" s="599"/>
      <c r="F103" s="599"/>
      <c r="G103" s="600"/>
      <c r="H103" s="599"/>
      <c r="I103" s="599"/>
      <c r="J103" s="599"/>
      <c r="K103" s="599"/>
      <c r="L103" s="599"/>
      <c r="M103" s="599"/>
      <c r="N103" s="599"/>
      <c r="O103" s="599"/>
      <c r="P103" s="599"/>
      <c r="Q103" s="599"/>
      <c r="R103" s="599"/>
      <c r="S103" s="599"/>
      <c r="T103" s="599"/>
    </row>
    <row r="104" spans="1:20" ht="11.25" customHeight="1">
      <c r="A104" s="599"/>
      <c r="B104" s="599"/>
      <c r="C104" s="599"/>
      <c r="D104" s="599"/>
      <c r="E104" s="599"/>
      <c r="F104" s="599"/>
      <c r="G104" s="600"/>
      <c r="H104" s="599"/>
      <c r="I104" s="599"/>
      <c r="J104" s="599"/>
      <c r="K104" s="599"/>
      <c r="L104" s="599"/>
      <c r="M104" s="599"/>
      <c r="N104" s="599"/>
      <c r="O104" s="599"/>
      <c r="P104" s="599"/>
      <c r="Q104" s="599"/>
      <c r="R104" s="599"/>
      <c r="S104" s="599"/>
      <c r="T104" s="599"/>
    </row>
    <row r="105" spans="1:20" ht="11.25" customHeight="1">
      <c r="A105" s="599"/>
      <c r="B105" s="599"/>
      <c r="C105" s="599"/>
      <c r="D105" s="599"/>
      <c r="E105" s="599"/>
      <c r="F105" s="599"/>
      <c r="G105" s="600"/>
      <c r="H105" s="599"/>
      <c r="I105" s="599"/>
      <c r="J105" s="599"/>
      <c r="K105" s="599"/>
      <c r="L105" s="599"/>
      <c r="M105" s="599"/>
      <c r="N105" s="599"/>
      <c r="O105" s="599"/>
      <c r="P105" s="599"/>
      <c r="Q105" s="599"/>
      <c r="R105" s="599"/>
      <c r="S105" s="599"/>
      <c r="T105" s="599"/>
    </row>
    <row r="106" spans="1:20" ht="11.25" customHeight="1">
      <c r="A106" s="599"/>
      <c r="B106" s="599"/>
      <c r="C106" s="599"/>
      <c r="D106" s="599"/>
      <c r="E106" s="599"/>
      <c r="F106" s="599"/>
      <c r="G106" s="600"/>
      <c r="H106" s="599"/>
      <c r="I106" s="599"/>
      <c r="J106" s="599"/>
      <c r="K106" s="599"/>
      <c r="L106" s="599"/>
      <c r="M106" s="599"/>
      <c r="N106" s="599"/>
      <c r="O106" s="599"/>
      <c r="P106" s="599"/>
      <c r="Q106" s="599"/>
      <c r="R106" s="599"/>
      <c r="S106" s="599"/>
      <c r="T106" s="599"/>
    </row>
    <row r="107" spans="1:20" ht="11.25" customHeight="1">
      <c r="A107" s="599"/>
      <c r="B107" s="599"/>
      <c r="C107" s="599"/>
      <c r="D107" s="599"/>
      <c r="E107" s="599"/>
      <c r="F107" s="599"/>
      <c r="G107" s="600"/>
      <c r="H107" s="599"/>
      <c r="I107" s="599"/>
      <c r="J107" s="599"/>
      <c r="K107" s="599"/>
      <c r="L107" s="599"/>
      <c r="M107" s="599"/>
      <c r="N107" s="599"/>
      <c r="O107" s="599"/>
      <c r="P107" s="599"/>
      <c r="Q107" s="599"/>
      <c r="R107" s="599"/>
      <c r="S107" s="599"/>
      <c r="T107" s="599"/>
    </row>
    <row r="108" spans="1:20" ht="11.25" customHeight="1">
      <c r="A108" s="599"/>
      <c r="B108" s="599"/>
      <c r="C108" s="599"/>
      <c r="D108" s="599"/>
      <c r="E108" s="599"/>
      <c r="F108" s="599"/>
      <c r="G108" s="600"/>
      <c r="H108" s="599"/>
      <c r="I108" s="599"/>
      <c r="J108" s="599"/>
      <c r="K108" s="599"/>
      <c r="L108" s="599"/>
      <c r="M108" s="599"/>
      <c r="N108" s="599"/>
      <c r="O108" s="599"/>
      <c r="P108" s="599"/>
      <c r="Q108" s="599"/>
      <c r="R108" s="599"/>
      <c r="S108" s="599"/>
      <c r="T108" s="599"/>
    </row>
    <row r="109" spans="1:20" ht="11.25" customHeight="1">
      <c r="A109" s="599"/>
      <c r="B109" s="599"/>
      <c r="C109" s="599"/>
      <c r="D109" s="599"/>
      <c r="E109" s="599"/>
      <c r="F109" s="599"/>
      <c r="G109" s="600"/>
      <c r="H109" s="599"/>
      <c r="I109" s="599"/>
      <c r="J109" s="599"/>
      <c r="K109" s="599"/>
      <c r="L109" s="599"/>
      <c r="M109" s="599"/>
      <c r="N109" s="599"/>
      <c r="O109" s="599"/>
      <c r="P109" s="599"/>
      <c r="Q109" s="599"/>
      <c r="R109" s="599"/>
      <c r="S109" s="599"/>
      <c r="T109" s="599"/>
    </row>
    <row r="110" spans="1:20" ht="11.25" customHeight="1">
      <c r="A110" s="599"/>
      <c r="B110" s="599"/>
      <c r="C110" s="599"/>
      <c r="D110" s="599"/>
      <c r="E110" s="599"/>
      <c r="F110" s="599"/>
      <c r="G110" s="600"/>
      <c r="H110" s="599"/>
      <c r="I110" s="599"/>
      <c r="J110" s="599"/>
      <c r="K110" s="599"/>
      <c r="L110" s="599"/>
      <c r="M110" s="599"/>
      <c r="N110" s="599"/>
      <c r="O110" s="599"/>
      <c r="P110" s="599"/>
      <c r="Q110" s="599"/>
      <c r="R110" s="599"/>
      <c r="S110" s="599"/>
      <c r="T110" s="599"/>
    </row>
    <row r="111" spans="1:20" ht="11.25" customHeight="1">
      <c r="A111" s="599"/>
      <c r="B111" s="599"/>
      <c r="C111" s="599"/>
      <c r="D111" s="599"/>
      <c r="E111" s="599"/>
      <c r="F111" s="599"/>
      <c r="G111" s="600"/>
      <c r="H111" s="599"/>
      <c r="I111" s="599"/>
      <c r="J111" s="599"/>
      <c r="K111" s="599"/>
      <c r="L111" s="599"/>
      <c r="M111" s="599"/>
      <c r="N111" s="599"/>
      <c r="O111" s="599"/>
      <c r="P111" s="599"/>
      <c r="Q111" s="599"/>
      <c r="R111" s="599"/>
      <c r="S111" s="599"/>
      <c r="T111" s="599"/>
    </row>
    <row r="112" spans="1:20" ht="11.25" customHeight="1">
      <c r="A112" s="599"/>
      <c r="B112" s="599"/>
      <c r="C112" s="599"/>
      <c r="D112" s="599"/>
      <c r="E112" s="599"/>
      <c r="F112" s="599"/>
      <c r="G112" s="600"/>
      <c r="H112" s="599"/>
      <c r="I112" s="599"/>
      <c r="J112" s="599"/>
      <c r="K112" s="599"/>
      <c r="L112" s="599"/>
      <c r="M112" s="599"/>
      <c r="N112" s="599"/>
      <c r="O112" s="599"/>
      <c r="P112" s="599"/>
      <c r="Q112" s="599"/>
      <c r="R112" s="599"/>
      <c r="S112" s="599"/>
      <c r="T112" s="599"/>
    </row>
    <row r="113" spans="1:20" ht="11.25" customHeight="1">
      <c r="A113" s="599"/>
      <c r="B113" s="599"/>
      <c r="C113" s="599"/>
      <c r="D113" s="599"/>
      <c r="E113" s="599"/>
      <c r="F113" s="599"/>
      <c r="G113" s="600"/>
      <c r="H113" s="599"/>
      <c r="I113" s="599"/>
      <c r="J113" s="599"/>
      <c r="K113" s="599"/>
      <c r="L113" s="599"/>
      <c r="M113" s="599"/>
      <c r="N113" s="599"/>
      <c r="O113" s="599"/>
      <c r="P113" s="599"/>
      <c r="Q113" s="599"/>
      <c r="R113" s="599"/>
      <c r="S113" s="599"/>
      <c r="T113" s="599"/>
    </row>
    <row r="114" spans="1:20" ht="11.25" customHeight="1">
      <c r="A114" s="599"/>
      <c r="B114" s="599"/>
      <c r="C114" s="599"/>
      <c r="D114" s="599"/>
      <c r="E114" s="599"/>
      <c r="F114" s="599"/>
      <c r="G114" s="600"/>
      <c r="H114" s="599"/>
      <c r="I114" s="599"/>
      <c r="J114" s="599"/>
      <c r="K114" s="599"/>
      <c r="L114" s="599"/>
      <c r="M114" s="599"/>
      <c r="N114" s="599"/>
      <c r="O114" s="599"/>
      <c r="P114" s="599"/>
      <c r="Q114" s="599"/>
      <c r="R114" s="599"/>
      <c r="S114" s="599"/>
      <c r="T114" s="599"/>
    </row>
    <row r="115" spans="1:20" ht="11.25" customHeight="1">
      <c r="A115" s="599"/>
      <c r="B115" s="599"/>
      <c r="C115" s="599"/>
      <c r="D115" s="599"/>
      <c r="E115" s="599"/>
      <c r="F115" s="599"/>
      <c r="G115" s="600"/>
      <c r="H115" s="599"/>
      <c r="I115" s="599"/>
      <c r="J115" s="599"/>
      <c r="K115" s="599"/>
      <c r="L115" s="599"/>
      <c r="M115" s="599"/>
      <c r="N115" s="599"/>
      <c r="O115" s="599"/>
      <c r="P115" s="599"/>
      <c r="Q115" s="599"/>
      <c r="R115" s="599"/>
      <c r="S115" s="599"/>
      <c r="T115" s="599"/>
    </row>
    <row r="116" spans="1:20" ht="11.25" customHeight="1">
      <c r="A116" s="599"/>
      <c r="B116" s="599"/>
      <c r="C116" s="599"/>
      <c r="D116" s="599"/>
      <c r="E116" s="599"/>
      <c r="F116" s="599"/>
      <c r="G116" s="600"/>
      <c r="H116" s="599"/>
      <c r="I116" s="599"/>
      <c r="J116" s="599"/>
      <c r="K116" s="599"/>
      <c r="L116" s="599"/>
      <c r="M116" s="599"/>
      <c r="N116" s="599"/>
      <c r="O116" s="599"/>
      <c r="P116" s="599"/>
      <c r="Q116" s="599"/>
      <c r="R116" s="599"/>
      <c r="S116" s="599"/>
      <c r="T116" s="599"/>
    </row>
    <row r="117" spans="1:20" ht="11.25" customHeight="1">
      <c r="A117" s="599"/>
      <c r="B117" s="599"/>
      <c r="C117" s="599"/>
      <c r="D117" s="599"/>
      <c r="E117" s="599"/>
      <c r="F117" s="599"/>
      <c r="G117" s="600"/>
      <c r="H117" s="599"/>
      <c r="I117" s="599"/>
      <c r="J117" s="599"/>
      <c r="K117" s="599"/>
      <c r="L117" s="599"/>
      <c r="M117" s="599"/>
      <c r="N117" s="599"/>
      <c r="O117" s="599"/>
      <c r="P117" s="599"/>
      <c r="Q117" s="599"/>
      <c r="R117" s="599"/>
      <c r="S117" s="599"/>
      <c r="T117" s="599"/>
    </row>
    <row r="118" spans="1:20" ht="11.25" customHeight="1">
      <c r="A118" s="599"/>
      <c r="B118" s="599"/>
      <c r="C118" s="599"/>
      <c r="D118" s="599"/>
      <c r="E118" s="599"/>
      <c r="F118" s="599"/>
      <c r="G118" s="600"/>
      <c r="H118" s="599"/>
      <c r="I118" s="599"/>
      <c r="J118" s="599"/>
      <c r="K118" s="599"/>
      <c r="L118" s="599"/>
      <c r="M118" s="599"/>
      <c r="N118" s="599"/>
      <c r="O118" s="599"/>
      <c r="P118" s="599"/>
      <c r="Q118" s="599"/>
      <c r="R118" s="599"/>
      <c r="S118" s="599"/>
      <c r="T118" s="599"/>
    </row>
    <row r="119" spans="1:20" ht="11.25" customHeight="1">
      <c r="A119" s="599"/>
      <c r="B119" s="599"/>
      <c r="C119" s="599"/>
      <c r="D119" s="599"/>
      <c r="E119" s="599"/>
      <c r="F119" s="599"/>
      <c r="G119" s="600"/>
      <c r="H119" s="599"/>
      <c r="I119" s="599"/>
      <c r="J119" s="599"/>
      <c r="K119" s="599"/>
      <c r="L119" s="599"/>
      <c r="M119" s="599"/>
      <c r="N119" s="599"/>
      <c r="O119" s="599"/>
      <c r="P119" s="599"/>
      <c r="Q119" s="599"/>
      <c r="R119" s="599"/>
      <c r="S119" s="599"/>
      <c r="T119" s="599"/>
    </row>
    <row r="120" spans="1:20" ht="11.25" customHeight="1">
      <c r="A120" s="599"/>
      <c r="B120" s="599"/>
      <c r="C120" s="599"/>
      <c r="D120" s="599"/>
      <c r="E120" s="599"/>
      <c r="F120" s="599"/>
      <c r="G120" s="600"/>
      <c r="H120" s="599"/>
      <c r="I120" s="599"/>
      <c r="J120" s="599"/>
      <c r="K120" s="599"/>
      <c r="L120" s="599"/>
      <c r="M120" s="599"/>
      <c r="N120" s="599"/>
      <c r="O120" s="599"/>
      <c r="P120" s="599"/>
      <c r="Q120" s="599"/>
      <c r="R120" s="599"/>
      <c r="S120" s="599"/>
      <c r="T120" s="599"/>
    </row>
    <row r="121" spans="1:20" ht="11.25" customHeight="1">
      <c r="A121" s="599"/>
      <c r="B121" s="599"/>
      <c r="C121" s="599"/>
      <c r="D121" s="599"/>
      <c r="E121" s="599"/>
      <c r="F121" s="599"/>
      <c r="G121" s="600"/>
      <c r="H121" s="599"/>
      <c r="I121" s="599"/>
      <c r="J121" s="599"/>
      <c r="K121" s="599"/>
      <c r="L121" s="599"/>
      <c r="M121" s="599"/>
      <c r="N121" s="599"/>
      <c r="O121" s="599"/>
      <c r="P121" s="599"/>
      <c r="Q121" s="599"/>
      <c r="R121" s="599"/>
      <c r="S121" s="599"/>
      <c r="T121" s="599"/>
    </row>
    <row r="122" spans="1:20" ht="11.25" customHeight="1">
      <c r="A122" s="599"/>
      <c r="B122" s="599"/>
      <c r="C122" s="599"/>
      <c r="D122" s="599"/>
      <c r="E122" s="599"/>
      <c r="F122" s="599"/>
      <c r="G122" s="600"/>
      <c r="H122" s="599"/>
      <c r="I122" s="599"/>
      <c r="J122" s="599"/>
      <c r="K122" s="599"/>
      <c r="L122" s="599"/>
      <c r="M122" s="599"/>
      <c r="N122" s="599"/>
      <c r="O122" s="599"/>
      <c r="P122" s="599"/>
      <c r="Q122" s="599"/>
      <c r="R122" s="599"/>
      <c r="S122" s="599"/>
      <c r="T122" s="599"/>
    </row>
    <row r="123" spans="1:20" ht="11.25" customHeight="1">
      <c r="A123" s="599"/>
      <c r="B123" s="599"/>
      <c r="C123" s="599"/>
      <c r="D123" s="599"/>
      <c r="E123" s="599"/>
      <c r="F123" s="599"/>
      <c r="G123" s="600"/>
      <c r="H123" s="599"/>
      <c r="I123" s="599"/>
      <c r="J123" s="599"/>
      <c r="K123" s="599"/>
      <c r="L123" s="599"/>
      <c r="M123" s="599"/>
      <c r="N123" s="599"/>
      <c r="O123" s="599"/>
      <c r="P123" s="599"/>
      <c r="Q123" s="599"/>
      <c r="R123" s="599"/>
      <c r="S123" s="599"/>
      <c r="T123" s="599"/>
    </row>
    <row r="124" spans="1:20" ht="11.25" customHeight="1">
      <c r="A124" s="599"/>
      <c r="B124" s="599"/>
      <c r="C124" s="599"/>
      <c r="D124" s="599"/>
      <c r="E124" s="599"/>
      <c r="F124" s="599"/>
      <c r="G124" s="600"/>
      <c r="H124" s="599"/>
      <c r="I124" s="599"/>
      <c r="J124" s="599"/>
      <c r="K124" s="599"/>
      <c r="L124" s="599"/>
      <c r="M124" s="599"/>
      <c r="N124" s="599"/>
      <c r="O124" s="599"/>
      <c r="P124" s="599"/>
      <c r="Q124" s="599"/>
      <c r="R124" s="599"/>
      <c r="S124" s="599"/>
      <c r="T124" s="599"/>
    </row>
    <row r="125" spans="1:20" ht="11.25" customHeight="1">
      <c r="A125" s="599"/>
      <c r="B125" s="599"/>
      <c r="C125" s="599"/>
      <c r="D125" s="599"/>
      <c r="E125" s="599"/>
      <c r="F125" s="599"/>
      <c r="G125" s="600"/>
      <c r="H125" s="599"/>
      <c r="I125" s="599"/>
      <c r="J125" s="599"/>
      <c r="K125" s="599"/>
      <c r="L125" s="599"/>
      <c r="M125" s="599"/>
      <c r="N125" s="599"/>
      <c r="O125" s="599"/>
      <c r="P125" s="599"/>
      <c r="Q125" s="599"/>
      <c r="R125" s="599"/>
      <c r="S125" s="599"/>
      <c r="T125" s="599"/>
    </row>
    <row r="126" spans="1:20" ht="11.25" customHeight="1">
      <c r="A126" s="599"/>
      <c r="B126" s="599"/>
      <c r="C126" s="599"/>
      <c r="D126" s="599"/>
      <c r="E126" s="599"/>
      <c r="F126" s="599"/>
      <c r="G126" s="600"/>
      <c r="H126" s="599"/>
      <c r="I126" s="599"/>
      <c r="J126" s="599"/>
      <c r="K126" s="599"/>
      <c r="L126" s="599"/>
      <c r="M126" s="599"/>
      <c r="N126" s="599"/>
      <c r="O126" s="599"/>
      <c r="P126" s="599"/>
      <c r="Q126" s="599"/>
      <c r="R126" s="599"/>
      <c r="S126" s="599"/>
      <c r="T126" s="599"/>
    </row>
    <row r="127" spans="1:20" ht="11.25" customHeight="1">
      <c r="A127" s="599"/>
      <c r="B127" s="599"/>
      <c r="C127" s="599"/>
      <c r="D127" s="599"/>
      <c r="E127" s="599"/>
      <c r="F127" s="599"/>
      <c r="G127" s="600"/>
      <c r="H127" s="599"/>
      <c r="I127" s="599"/>
      <c r="J127" s="599"/>
      <c r="K127" s="599"/>
      <c r="L127" s="599"/>
      <c r="M127" s="599"/>
      <c r="N127" s="599"/>
      <c r="O127" s="599"/>
      <c r="P127" s="599"/>
      <c r="Q127" s="599"/>
      <c r="R127" s="599"/>
      <c r="S127" s="599"/>
      <c r="T127" s="599"/>
    </row>
    <row r="128" spans="1:20" ht="11.25" customHeight="1">
      <c r="A128" s="599"/>
      <c r="B128" s="599"/>
      <c r="C128" s="599"/>
      <c r="D128" s="599"/>
      <c r="E128" s="599"/>
      <c r="F128" s="599"/>
      <c r="G128" s="600"/>
      <c r="H128" s="599"/>
      <c r="I128" s="599"/>
      <c r="J128" s="599"/>
      <c r="K128" s="599"/>
      <c r="L128" s="599"/>
      <c r="M128" s="599"/>
      <c r="N128" s="599"/>
      <c r="O128" s="599"/>
      <c r="P128" s="599"/>
      <c r="Q128" s="599"/>
      <c r="R128" s="599"/>
      <c r="S128" s="599"/>
      <c r="T128" s="599"/>
    </row>
    <row r="129" spans="1:20" ht="11.25" customHeight="1">
      <c r="A129" s="599"/>
      <c r="B129" s="599"/>
      <c r="C129" s="599"/>
      <c r="D129" s="599"/>
      <c r="E129" s="599"/>
      <c r="F129" s="599"/>
      <c r="G129" s="600"/>
      <c r="H129" s="599"/>
      <c r="I129" s="599"/>
      <c r="J129" s="599"/>
      <c r="K129" s="599"/>
      <c r="L129" s="599"/>
      <c r="M129" s="599"/>
      <c r="N129" s="599"/>
      <c r="O129" s="599"/>
      <c r="P129" s="599"/>
      <c r="Q129" s="599"/>
      <c r="R129" s="599"/>
      <c r="S129" s="599"/>
      <c r="T129" s="599"/>
    </row>
    <row r="130" spans="1:20" ht="11.25" customHeight="1">
      <c r="A130" s="599"/>
      <c r="B130" s="599"/>
      <c r="C130" s="599"/>
      <c r="D130" s="599"/>
      <c r="E130" s="599"/>
      <c r="F130" s="599"/>
      <c r="G130" s="600"/>
      <c r="H130" s="599"/>
      <c r="I130" s="599"/>
      <c r="J130" s="599"/>
      <c r="K130" s="599"/>
      <c r="L130" s="599"/>
      <c r="M130" s="599"/>
      <c r="N130" s="599"/>
      <c r="O130" s="599"/>
      <c r="P130" s="599"/>
      <c r="Q130" s="599"/>
      <c r="R130" s="599"/>
      <c r="S130" s="599"/>
      <c r="T130" s="599"/>
    </row>
    <row r="131" spans="1:20" ht="11.25" customHeight="1">
      <c r="A131" s="599"/>
      <c r="B131" s="599"/>
      <c r="C131" s="599"/>
      <c r="D131" s="599"/>
      <c r="E131" s="599"/>
      <c r="F131" s="599"/>
      <c r="G131" s="600"/>
      <c r="H131" s="599"/>
      <c r="I131" s="599"/>
      <c r="J131" s="599"/>
      <c r="K131" s="599"/>
      <c r="L131" s="599"/>
      <c r="M131" s="599"/>
      <c r="N131" s="599"/>
      <c r="O131" s="599"/>
      <c r="P131" s="599"/>
      <c r="Q131" s="599"/>
      <c r="R131" s="599"/>
      <c r="S131" s="599"/>
      <c r="T131" s="599"/>
    </row>
    <row r="132" spans="1:20" ht="11.25" customHeight="1">
      <c r="A132" s="599"/>
      <c r="B132" s="599"/>
      <c r="C132" s="599"/>
      <c r="D132" s="599"/>
      <c r="E132" s="599"/>
      <c r="F132" s="599"/>
      <c r="G132" s="600"/>
      <c r="H132" s="599"/>
      <c r="I132" s="599"/>
      <c r="J132" s="599"/>
      <c r="K132" s="599"/>
      <c r="L132" s="599"/>
      <c r="M132" s="599"/>
      <c r="N132" s="599"/>
      <c r="O132" s="599"/>
      <c r="P132" s="599"/>
      <c r="Q132" s="599"/>
      <c r="R132" s="599"/>
      <c r="S132" s="599"/>
      <c r="T132" s="599"/>
    </row>
    <row r="133" spans="1:20" ht="11.25" customHeight="1">
      <c r="A133" s="599"/>
      <c r="B133" s="599"/>
      <c r="C133" s="599"/>
      <c r="D133" s="599"/>
      <c r="E133" s="599"/>
      <c r="F133" s="599"/>
      <c r="G133" s="600"/>
      <c r="H133" s="599"/>
      <c r="I133" s="599"/>
      <c r="J133" s="599"/>
      <c r="K133" s="599"/>
      <c r="L133" s="599"/>
      <c r="M133" s="599"/>
      <c r="N133" s="599"/>
      <c r="O133" s="599"/>
      <c r="P133" s="599"/>
      <c r="Q133" s="599"/>
      <c r="R133" s="599"/>
      <c r="S133" s="599"/>
      <c r="T133" s="599"/>
    </row>
    <row r="134" spans="1:20" ht="11.25" customHeight="1">
      <c r="A134" s="599"/>
      <c r="B134" s="599"/>
      <c r="C134" s="599"/>
      <c r="D134" s="599"/>
      <c r="E134" s="599"/>
      <c r="F134" s="599"/>
      <c r="G134" s="600"/>
      <c r="H134" s="599"/>
      <c r="I134" s="599"/>
      <c r="J134" s="599"/>
      <c r="K134" s="599"/>
      <c r="L134" s="599"/>
      <c r="M134" s="599"/>
      <c r="N134" s="599"/>
      <c r="O134" s="599"/>
      <c r="P134" s="599"/>
      <c r="Q134" s="599"/>
      <c r="R134" s="599"/>
      <c r="S134" s="599"/>
      <c r="T134" s="599"/>
    </row>
    <row r="135" spans="1:20" ht="11.25" customHeight="1">
      <c r="A135" s="599"/>
      <c r="B135" s="599"/>
      <c r="C135" s="599"/>
      <c r="D135" s="599"/>
      <c r="E135" s="599"/>
      <c r="F135" s="599"/>
      <c r="G135" s="600"/>
      <c r="H135" s="599"/>
      <c r="I135" s="599"/>
      <c r="J135" s="599"/>
      <c r="K135" s="599"/>
      <c r="L135" s="599"/>
      <c r="M135" s="599"/>
      <c r="N135" s="599"/>
      <c r="O135" s="599"/>
      <c r="P135" s="599"/>
      <c r="Q135" s="599"/>
      <c r="R135" s="599"/>
      <c r="S135" s="599"/>
      <c r="T135" s="599"/>
    </row>
    <row r="136" spans="1:20" ht="11.25" customHeight="1">
      <c r="A136" s="599"/>
      <c r="B136" s="599"/>
      <c r="C136" s="599"/>
      <c r="D136" s="599"/>
      <c r="E136" s="599"/>
      <c r="F136" s="599"/>
      <c r="G136" s="600"/>
      <c r="H136" s="599"/>
      <c r="I136" s="599"/>
      <c r="J136" s="599"/>
      <c r="K136" s="599"/>
      <c r="L136" s="599"/>
      <c r="M136" s="599"/>
      <c r="N136" s="599"/>
      <c r="O136" s="599"/>
      <c r="P136" s="599"/>
      <c r="Q136" s="599"/>
      <c r="R136" s="599"/>
      <c r="S136" s="599"/>
      <c r="T136" s="599"/>
    </row>
    <row r="137" spans="1:20" ht="11.25" customHeight="1">
      <c r="A137" s="599"/>
      <c r="B137" s="599"/>
      <c r="C137" s="599"/>
      <c r="D137" s="599"/>
      <c r="E137" s="599"/>
      <c r="F137" s="599"/>
      <c r="G137" s="600"/>
      <c r="H137" s="599"/>
      <c r="I137" s="599"/>
      <c r="J137" s="599"/>
      <c r="K137" s="599"/>
      <c r="L137" s="599"/>
      <c r="M137" s="599"/>
      <c r="N137" s="599"/>
      <c r="O137" s="599"/>
      <c r="P137" s="599"/>
      <c r="Q137" s="599"/>
      <c r="R137" s="599"/>
      <c r="S137" s="599"/>
      <c r="T137" s="599"/>
    </row>
    <row r="138" spans="1:20" ht="11.25" customHeight="1">
      <c r="A138" s="599"/>
      <c r="B138" s="599"/>
      <c r="C138" s="599"/>
      <c r="D138" s="599"/>
      <c r="E138" s="599"/>
      <c r="F138" s="599"/>
      <c r="G138" s="600"/>
      <c r="H138" s="599"/>
      <c r="I138" s="599"/>
      <c r="J138" s="599"/>
      <c r="K138" s="599"/>
      <c r="L138" s="599"/>
      <c r="M138" s="599"/>
      <c r="N138" s="599"/>
      <c r="O138" s="599"/>
      <c r="P138" s="599"/>
      <c r="Q138" s="599"/>
      <c r="R138" s="599"/>
      <c r="S138" s="599"/>
      <c r="T138" s="599"/>
    </row>
    <row r="139" spans="1:20" ht="11.25" customHeight="1">
      <c r="A139" s="599"/>
      <c r="B139" s="599"/>
      <c r="C139" s="599"/>
      <c r="D139" s="599"/>
      <c r="E139" s="599"/>
      <c r="F139" s="599"/>
      <c r="G139" s="600"/>
      <c r="H139" s="599"/>
      <c r="I139" s="599"/>
      <c r="J139" s="599"/>
      <c r="K139" s="599"/>
      <c r="L139" s="599"/>
      <c r="M139" s="599"/>
      <c r="N139" s="599"/>
      <c r="O139" s="599"/>
      <c r="P139" s="599"/>
      <c r="Q139" s="599"/>
      <c r="R139" s="599"/>
      <c r="S139" s="599"/>
      <c r="T139" s="599"/>
    </row>
    <row r="140" spans="1:20" ht="11.25" customHeight="1">
      <c r="A140" s="599"/>
      <c r="B140" s="599"/>
      <c r="C140" s="599"/>
      <c r="D140" s="599"/>
      <c r="E140" s="599"/>
      <c r="F140" s="599"/>
      <c r="G140" s="600"/>
      <c r="H140" s="599"/>
      <c r="I140" s="599"/>
      <c r="J140" s="599"/>
      <c r="K140" s="599"/>
      <c r="L140" s="599"/>
      <c r="M140" s="599"/>
      <c r="N140" s="599"/>
      <c r="O140" s="599"/>
      <c r="P140" s="599"/>
      <c r="Q140" s="599"/>
      <c r="R140" s="599"/>
      <c r="S140" s="599"/>
      <c r="T140" s="599"/>
    </row>
    <row r="141" spans="1:20" ht="11.25" customHeight="1">
      <c r="A141" s="599"/>
      <c r="B141" s="599"/>
      <c r="C141" s="599"/>
      <c r="D141" s="599"/>
      <c r="E141" s="599"/>
      <c r="F141" s="599"/>
      <c r="G141" s="600"/>
      <c r="H141" s="599"/>
      <c r="I141" s="599"/>
      <c r="J141" s="599"/>
      <c r="K141" s="599"/>
      <c r="L141" s="599"/>
      <c r="M141" s="599"/>
      <c r="N141" s="599"/>
      <c r="O141" s="599"/>
      <c r="P141" s="599"/>
      <c r="Q141" s="599"/>
      <c r="R141" s="599"/>
      <c r="S141" s="599"/>
      <c r="T141" s="599"/>
    </row>
    <row r="142" spans="1:20" ht="11.25" customHeight="1">
      <c r="A142" s="599"/>
      <c r="B142" s="599"/>
      <c r="C142" s="599"/>
      <c r="D142" s="599"/>
      <c r="E142" s="599"/>
      <c r="F142" s="599"/>
      <c r="G142" s="600"/>
      <c r="H142" s="599"/>
      <c r="I142" s="599"/>
      <c r="J142" s="599"/>
      <c r="K142" s="599"/>
      <c r="L142" s="599"/>
      <c r="M142" s="599"/>
      <c r="N142" s="599"/>
      <c r="O142" s="599"/>
      <c r="P142" s="599"/>
      <c r="Q142" s="599"/>
      <c r="R142" s="599"/>
      <c r="S142" s="599"/>
      <c r="T142" s="599"/>
    </row>
    <row r="143" spans="1:20" ht="11.25" customHeight="1">
      <c r="A143" s="599"/>
      <c r="B143" s="599"/>
      <c r="C143" s="599"/>
      <c r="D143" s="599"/>
      <c r="E143" s="599"/>
      <c r="F143" s="599"/>
      <c r="G143" s="600"/>
      <c r="H143" s="599"/>
      <c r="I143" s="599"/>
      <c r="J143" s="599"/>
      <c r="K143" s="599"/>
      <c r="L143" s="599"/>
      <c r="M143" s="599"/>
      <c r="N143" s="599"/>
      <c r="O143" s="599"/>
      <c r="P143" s="599"/>
      <c r="Q143" s="599"/>
      <c r="R143" s="599"/>
      <c r="S143" s="599"/>
      <c r="T143" s="599"/>
    </row>
    <row r="144" spans="1:20" ht="11.25" customHeight="1">
      <c r="A144" s="599"/>
      <c r="B144" s="599"/>
      <c r="C144" s="599"/>
      <c r="D144" s="599"/>
      <c r="E144" s="599"/>
      <c r="F144" s="599"/>
      <c r="G144" s="600"/>
      <c r="H144" s="599"/>
      <c r="I144" s="599"/>
      <c r="J144" s="599"/>
      <c r="K144" s="599"/>
      <c r="L144" s="599"/>
      <c r="M144" s="599"/>
      <c r="N144" s="599"/>
      <c r="O144" s="599"/>
      <c r="P144" s="599"/>
      <c r="Q144" s="599"/>
      <c r="R144" s="599"/>
      <c r="S144" s="599"/>
      <c r="T144" s="599"/>
    </row>
    <row r="145" spans="1:20" ht="11.25" customHeight="1">
      <c r="A145" s="599"/>
      <c r="B145" s="599"/>
      <c r="C145" s="599"/>
      <c r="D145" s="599"/>
      <c r="E145" s="599"/>
      <c r="F145" s="599"/>
      <c r="G145" s="600"/>
      <c r="H145" s="599"/>
      <c r="I145" s="599"/>
      <c r="J145" s="599"/>
      <c r="K145" s="599"/>
      <c r="L145" s="599"/>
      <c r="M145" s="599"/>
      <c r="N145" s="599"/>
      <c r="O145" s="599"/>
      <c r="P145" s="599"/>
      <c r="Q145" s="599"/>
      <c r="R145" s="599"/>
      <c r="S145" s="599"/>
      <c r="T145" s="599"/>
    </row>
    <row r="146" spans="1:20" ht="11.25" customHeight="1">
      <c r="A146" s="599"/>
      <c r="B146" s="599"/>
      <c r="C146" s="599"/>
      <c r="D146" s="599"/>
      <c r="E146" s="599"/>
      <c r="F146" s="599"/>
      <c r="G146" s="600"/>
      <c r="H146" s="599"/>
      <c r="I146" s="599"/>
      <c r="J146" s="599"/>
      <c r="K146" s="599"/>
      <c r="L146" s="599"/>
      <c r="M146" s="599"/>
      <c r="N146" s="599"/>
      <c r="O146" s="599"/>
      <c r="P146" s="599"/>
      <c r="Q146" s="599"/>
      <c r="R146" s="599"/>
      <c r="S146" s="599"/>
      <c r="T146" s="599"/>
    </row>
    <row r="147" spans="1:20" ht="11.25" customHeight="1">
      <c r="A147" s="599"/>
      <c r="B147" s="599"/>
      <c r="C147" s="599"/>
      <c r="D147" s="599"/>
      <c r="E147" s="599"/>
      <c r="F147" s="599"/>
      <c r="G147" s="600"/>
      <c r="H147" s="599"/>
      <c r="I147" s="599"/>
      <c r="J147" s="599"/>
      <c r="K147" s="599"/>
      <c r="L147" s="599"/>
      <c r="M147" s="599"/>
      <c r="N147" s="599"/>
      <c r="O147" s="599"/>
      <c r="P147" s="599"/>
      <c r="Q147" s="599"/>
      <c r="R147" s="599"/>
      <c r="S147" s="599"/>
      <c r="T147" s="599"/>
    </row>
    <row r="148" spans="1:20" ht="11.25" customHeight="1">
      <c r="A148" s="599"/>
      <c r="B148" s="599"/>
      <c r="C148" s="599"/>
      <c r="D148" s="599"/>
      <c r="E148" s="599"/>
      <c r="F148" s="599"/>
      <c r="G148" s="600"/>
      <c r="H148" s="599"/>
      <c r="I148" s="599"/>
      <c r="J148" s="599"/>
      <c r="K148" s="599"/>
      <c r="L148" s="599"/>
      <c r="M148" s="599"/>
      <c r="N148" s="599"/>
      <c r="O148" s="599"/>
      <c r="P148" s="599"/>
      <c r="Q148" s="599"/>
      <c r="R148" s="599"/>
      <c r="S148" s="599"/>
      <c r="T148" s="599"/>
    </row>
    <row r="149" spans="1:20" ht="11.25" customHeight="1">
      <c r="A149" s="599"/>
      <c r="B149" s="599"/>
      <c r="C149" s="599"/>
      <c r="D149" s="599"/>
      <c r="E149" s="599"/>
      <c r="F149" s="599"/>
      <c r="G149" s="600"/>
      <c r="H149" s="599"/>
      <c r="I149" s="599"/>
      <c r="J149" s="599"/>
      <c r="K149" s="599"/>
      <c r="L149" s="599"/>
      <c r="M149" s="599"/>
      <c r="N149" s="599"/>
      <c r="O149" s="599"/>
      <c r="P149" s="599"/>
      <c r="Q149" s="599"/>
      <c r="R149" s="599"/>
      <c r="S149" s="599"/>
      <c r="T149" s="599"/>
    </row>
    <row r="150" spans="1:20" ht="11.25" customHeight="1">
      <c r="A150" s="599"/>
      <c r="B150" s="599"/>
      <c r="C150" s="599"/>
      <c r="D150" s="599"/>
      <c r="E150" s="599"/>
      <c r="F150" s="599"/>
      <c r="G150" s="600"/>
      <c r="H150" s="599"/>
      <c r="I150" s="599"/>
      <c r="J150" s="599"/>
      <c r="K150" s="599"/>
      <c r="L150" s="599"/>
      <c r="M150" s="599"/>
      <c r="N150" s="599"/>
      <c r="O150" s="599"/>
      <c r="P150" s="599"/>
      <c r="Q150" s="599"/>
      <c r="R150" s="599"/>
      <c r="S150" s="599"/>
      <c r="T150" s="599"/>
    </row>
    <row r="151" spans="1:20" ht="11.25" customHeight="1">
      <c r="A151" s="599"/>
      <c r="B151" s="599"/>
      <c r="C151" s="599"/>
      <c r="D151" s="599"/>
      <c r="E151" s="599"/>
      <c r="F151" s="599"/>
      <c r="G151" s="600"/>
      <c r="H151" s="599"/>
      <c r="I151" s="599"/>
      <c r="J151" s="599"/>
      <c r="K151" s="599"/>
      <c r="L151" s="599"/>
      <c r="M151" s="599"/>
      <c r="N151" s="599"/>
      <c r="O151" s="599"/>
      <c r="P151" s="599"/>
      <c r="Q151" s="599"/>
      <c r="R151" s="599"/>
      <c r="S151" s="599"/>
      <c r="T151" s="599"/>
    </row>
    <row r="152" spans="1:20" ht="11.25" customHeight="1">
      <c r="A152" s="599"/>
      <c r="B152" s="599"/>
      <c r="C152" s="599"/>
      <c r="D152" s="599"/>
      <c r="E152" s="599"/>
      <c r="F152" s="599"/>
      <c r="G152" s="600"/>
      <c r="H152" s="599"/>
      <c r="I152" s="599"/>
      <c r="J152" s="599"/>
      <c r="K152" s="599"/>
      <c r="L152" s="599"/>
      <c r="M152" s="599"/>
      <c r="N152" s="599"/>
      <c r="O152" s="599"/>
      <c r="P152" s="599"/>
      <c r="Q152" s="599"/>
      <c r="R152" s="599"/>
      <c r="S152" s="599"/>
      <c r="T152" s="599"/>
    </row>
    <row r="153" spans="1:20" ht="11.25" customHeight="1">
      <c r="A153" s="599"/>
      <c r="B153" s="599"/>
      <c r="C153" s="599"/>
      <c r="D153" s="599"/>
      <c r="E153" s="599"/>
      <c r="F153" s="599"/>
      <c r="G153" s="600"/>
      <c r="H153" s="599"/>
      <c r="I153" s="599"/>
      <c r="J153" s="599"/>
      <c r="K153" s="599"/>
      <c r="L153" s="599"/>
      <c r="M153" s="599"/>
      <c r="N153" s="599"/>
      <c r="O153" s="599"/>
      <c r="P153" s="599"/>
      <c r="Q153" s="599"/>
      <c r="R153" s="599"/>
      <c r="S153" s="599"/>
      <c r="T153" s="599"/>
    </row>
    <row r="154" spans="1:20" ht="11.25" customHeight="1">
      <c r="A154" s="599"/>
      <c r="B154" s="599"/>
      <c r="C154" s="599"/>
      <c r="D154" s="599"/>
      <c r="E154" s="599"/>
      <c r="F154" s="599"/>
      <c r="G154" s="600"/>
      <c r="H154" s="599"/>
      <c r="I154" s="599"/>
      <c r="J154" s="599"/>
      <c r="K154" s="599"/>
      <c r="L154" s="599"/>
      <c r="M154" s="599"/>
      <c r="N154" s="599"/>
      <c r="O154" s="599"/>
      <c r="P154" s="599"/>
      <c r="Q154" s="599"/>
      <c r="R154" s="599"/>
      <c r="S154" s="599"/>
      <c r="T154" s="599"/>
    </row>
    <row r="155" spans="1:20" ht="11.25" customHeight="1">
      <c r="A155" s="599"/>
      <c r="B155" s="599"/>
      <c r="C155" s="599"/>
      <c r="D155" s="599"/>
      <c r="E155" s="599"/>
      <c r="F155" s="599"/>
      <c r="G155" s="600"/>
      <c r="H155" s="599"/>
      <c r="I155" s="599"/>
      <c r="J155" s="599"/>
      <c r="K155" s="599"/>
      <c r="L155" s="599"/>
      <c r="M155" s="599"/>
      <c r="N155" s="599"/>
      <c r="O155" s="599"/>
      <c r="P155" s="599"/>
      <c r="Q155" s="599"/>
      <c r="R155" s="599"/>
      <c r="S155" s="599"/>
      <c r="T155" s="599"/>
    </row>
    <row r="156" spans="1:20" ht="11.25" customHeight="1">
      <c r="A156" s="599"/>
      <c r="B156" s="599"/>
      <c r="C156" s="599"/>
      <c r="D156" s="599"/>
      <c r="E156" s="599"/>
      <c r="F156" s="599"/>
      <c r="G156" s="600"/>
      <c r="H156" s="599"/>
      <c r="I156" s="599"/>
      <c r="J156" s="599"/>
      <c r="K156" s="599"/>
      <c r="L156" s="599"/>
      <c r="M156" s="599"/>
      <c r="N156" s="599"/>
      <c r="O156" s="599"/>
      <c r="P156" s="599"/>
      <c r="Q156" s="599"/>
      <c r="R156" s="599"/>
      <c r="S156" s="599"/>
      <c r="T156" s="599"/>
    </row>
    <row r="157" spans="1:20" ht="11.25" customHeight="1">
      <c r="A157" s="599"/>
      <c r="B157" s="599"/>
      <c r="C157" s="599"/>
      <c r="D157" s="599"/>
      <c r="E157" s="599"/>
      <c r="F157" s="599"/>
      <c r="G157" s="600"/>
      <c r="H157" s="599"/>
      <c r="I157" s="599"/>
      <c r="J157" s="599"/>
      <c r="K157" s="599"/>
      <c r="L157" s="599"/>
      <c r="M157" s="599"/>
      <c r="N157" s="599"/>
      <c r="O157" s="599"/>
      <c r="P157" s="599"/>
      <c r="Q157" s="599"/>
      <c r="R157" s="599"/>
      <c r="S157" s="599"/>
      <c r="T157" s="599"/>
    </row>
    <row r="158" spans="1:20" ht="11.25" customHeight="1">
      <c r="A158" s="599"/>
      <c r="B158" s="599"/>
      <c r="C158" s="599"/>
      <c r="D158" s="599"/>
      <c r="E158" s="599"/>
      <c r="F158" s="599"/>
      <c r="G158" s="600"/>
      <c r="H158" s="599"/>
      <c r="I158" s="599"/>
      <c r="J158" s="599"/>
      <c r="K158" s="599"/>
      <c r="L158" s="599"/>
      <c r="M158" s="599"/>
      <c r="N158" s="599"/>
      <c r="O158" s="599"/>
      <c r="P158" s="599"/>
      <c r="Q158" s="599"/>
      <c r="R158" s="599"/>
      <c r="S158" s="599"/>
      <c r="T158" s="599"/>
    </row>
    <row r="159" spans="1:20" ht="11.25" customHeight="1">
      <c r="A159" s="599"/>
      <c r="B159" s="599"/>
      <c r="C159" s="599"/>
      <c r="D159" s="599"/>
      <c r="E159" s="599"/>
      <c r="F159" s="599"/>
      <c r="G159" s="600"/>
      <c r="H159" s="599"/>
      <c r="I159" s="599"/>
      <c r="J159" s="599"/>
      <c r="K159" s="599"/>
      <c r="L159" s="599"/>
      <c r="M159" s="599"/>
      <c r="N159" s="599"/>
      <c r="O159" s="599"/>
      <c r="P159" s="599"/>
      <c r="Q159" s="599"/>
      <c r="R159" s="599"/>
      <c r="S159" s="599"/>
      <c r="T159" s="599"/>
    </row>
    <row r="160" spans="1:20" ht="11.25" customHeight="1">
      <c r="A160" s="599"/>
      <c r="B160" s="599"/>
      <c r="C160" s="599"/>
      <c r="D160" s="599"/>
      <c r="E160" s="599"/>
      <c r="F160" s="599"/>
      <c r="G160" s="600"/>
      <c r="H160" s="599"/>
      <c r="I160" s="599"/>
      <c r="J160" s="599"/>
      <c r="K160" s="599"/>
      <c r="L160" s="599"/>
      <c r="M160" s="599"/>
      <c r="N160" s="599"/>
      <c r="O160" s="599"/>
      <c r="P160" s="599"/>
      <c r="Q160" s="599"/>
      <c r="R160" s="599"/>
      <c r="S160" s="599"/>
      <c r="T160" s="599"/>
    </row>
    <row r="161" spans="1:20" ht="11.25" customHeight="1">
      <c r="A161" s="599"/>
      <c r="B161" s="599"/>
      <c r="C161" s="599"/>
      <c r="D161" s="599"/>
      <c r="E161" s="599"/>
      <c r="F161" s="599"/>
      <c r="G161" s="600"/>
      <c r="H161" s="599"/>
      <c r="I161" s="599"/>
      <c r="J161" s="599"/>
      <c r="K161" s="599"/>
      <c r="L161" s="599"/>
      <c r="M161" s="599"/>
      <c r="N161" s="599"/>
      <c r="O161" s="599"/>
      <c r="P161" s="599"/>
      <c r="Q161" s="599"/>
      <c r="R161" s="599"/>
      <c r="S161" s="599"/>
      <c r="T161" s="599"/>
    </row>
    <row r="162" spans="1:20" ht="11.25" customHeight="1">
      <c r="A162" s="599"/>
      <c r="B162" s="599"/>
      <c r="C162" s="599"/>
      <c r="D162" s="599"/>
      <c r="E162" s="599"/>
      <c r="F162" s="599"/>
      <c r="G162" s="600"/>
      <c r="H162" s="599"/>
      <c r="I162" s="599"/>
      <c r="J162" s="599"/>
      <c r="K162" s="599"/>
      <c r="L162" s="599"/>
      <c r="M162" s="599"/>
      <c r="N162" s="599"/>
      <c r="O162" s="599"/>
      <c r="P162" s="599"/>
      <c r="Q162" s="599"/>
      <c r="R162" s="599"/>
      <c r="S162" s="599"/>
      <c r="T162" s="599"/>
    </row>
    <row r="163" spans="1:20" ht="11.25" customHeight="1">
      <c r="A163" s="599"/>
      <c r="B163" s="599"/>
      <c r="C163" s="599"/>
      <c r="D163" s="599"/>
      <c r="E163" s="599"/>
      <c r="F163" s="599"/>
      <c r="G163" s="600"/>
      <c r="H163" s="599"/>
      <c r="I163" s="599"/>
      <c r="J163" s="599"/>
      <c r="K163" s="599"/>
      <c r="L163" s="599"/>
      <c r="M163" s="599"/>
      <c r="N163" s="599"/>
      <c r="O163" s="599"/>
      <c r="P163" s="599"/>
      <c r="Q163" s="599"/>
      <c r="R163" s="599"/>
      <c r="S163" s="599"/>
      <c r="T163" s="599"/>
    </row>
    <row r="164" spans="1:20" ht="11.25" customHeight="1">
      <c r="A164" s="599"/>
      <c r="B164" s="599"/>
      <c r="C164" s="599"/>
      <c r="D164" s="599"/>
      <c r="E164" s="599"/>
      <c r="F164" s="599"/>
      <c r="G164" s="600"/>
      <c r="H164" s="599"/>
      <c r="I164" s="599"/>
      <c r="J164" s="599"/>
      <c r="K164" s="599"/>
      <c r="L164" s="599"/>
      <c r="M164" s="599"/>
      <c r="N164" s="599"/>
      <c r="O164" s="599"/>
      <c r="P164" s="599"/>
      <c r="Q164" s="599"/>
      <c r="R164" s="599"/>
      <c r="S164" s="599"/>
      <c r="T164" s="599"/>
    </row>
    <row r="165" spans="1:20" ht="11.25" customHeight="1">
      <c r="A165" s="599"/>
      <c r="B165" s="599"/>
      <c r="C165" s="599"/>
      <c r="D165" s="599"/>
      <c r="E165" s="599"/>
      <c r="F165" s="599"/>
      <c r="G165" s="600"/>
      <c r="H165" s="599"/>
      <c r="I165" s="599"/>
      <c r="J165" s="599"/>
      <c r="K165" s="599"/>
      <c r="L165" s="599"/>
      <c r="M165" s="599"/>
      <c r="N165" s="599"/>
      <c r="O165" s="599"/>
      <c r="P165" s="599"/>
      <c r="Q165" s="599"/>
      <c r="R165" s="599"/>
      <c r="S165" s="599"/>
      <c r="T165" s="599"/>
    </row>
    <row r="166" spans="1:20" ht="11.25" customHeight="1">
      <c r="A166" s="599"/>
      <c r="B166" s="599"/>
      <c r="C166" s="599"/>
      <c r="D166" s="599"/>
      <c r="E166" s="599"/>
      <c r="F166" s="599"/>
      <c r="G166" s="600"/>
      <c r="H166" s="599"/>
      <c r="I166" s="599"/>
      <c r="J166" s="599"/>
      <c r="K166" s="599"/>
      <c r="L166" s="599"/>
      <c r="M166" s="599"/>
      <c r="N166" s="599"/>
      <c r="O166" s="599"/>
      <c r="P166" s="599"/>
      <c r="Q166" s="599"/>
      <c r="R166" s="599"/>
      <c r="S166" s="599"/>
      <c r="T166" s="599"/>
    </row>
    <row r="167" spans="1:20" ht="11.25" customHeight="1">
      <c r="A167" s="599"/>
      <c r="B167" s="599"/>
      <c r="C167" s="599"/>
      <c r="D167" s="599"/>
      <c r="E167" s="599"/>
      <c r="F167" s="599"/>
      <c r="G167" s="600"/>
      <c r="H167" s="599"/>
      <c r="I167" s="599"/>
      <c r="J167" s="599"/>
      <c r="K167" s="599"/>
      <c r="L167" s="599"/>
      <c r="M167" s="599"/>
      <c r="N167" s="599"/>
      <c r="O167" s="599"/>
      <c r="P167" s="599"/>
      <c r="Q167" s="599"/>
      <c r="R167" s="599"/>
      <c r="S167" s="599"/>
      <c r="T167" s="599"/>
    </row>
    <row r="168" spans="1:20" ht="11.25" customHeight="1">
      <c r="A168" s="599"/>
      <c r="B168" s="599"/>
      <c r="C168" s="599"/>
      <c r="D168" s="599"/>
      <c r="E168" s="599"/>
      <c r="F168" s="599"/>
      <c r="G168" s="600"/>
      <c r="H168" s="599"/>
      <c r="I168" s="599"/>
      <c r="J168" s="599"/>
      <c r="K168" s="599"/>
      <c r="L168" s="599"/>
      <c r="M168" s="599"/>
      <c r="N168" s="599"/>
      <c r="O168" s="599"/>
      <c r="P168" s="599"/>
      <c r="Q168" s="599"/>
      <c r="R168" s="599"/>
      <c r="S168" s="599"/>
      <c r="T168" s="599"/>
    </row>
    <row r="169" spans="1:20" ht="11.25" customHeight="1">
      <c r="A169" s="599"/>
      <c r="B169" s="599"/>
      <c r="C169" s="599"/>
      <c r="D169" s="599"/>
      <c r="E169" s="599"/>
      <c r="F169" s="599"/>
      <c r="G169" s="600"/>
      <c r="H169" s="599"/>
      <c r="I169" s="599"/>
      <c r="J169" s="599"/>
      <c r="K169" s="599"/>
      <c r="L169" s="599"/>
      <c r="M169" s="599"/>
      <c r="N169" s="599"/>
      <c r="O169" s="599"/>
      <c r="P169" s="599"/>
      <c r="Q169" s="599"/>
      <c r="R169" s="599"/>
      <c r="S169" s="599"/>
      <c r="T169" s="599"/>
    </row>
    <row r="170" spans="1:20" ht="11.25" customHeight="1">
      <c r="A170" s="599"/>
      <c r="B170" s="599"/>
      <c r="C170" s="599"/>
      <c r="D170" s="599"/>
      <c r="E170" s="599"/>
      <c r="F170" s="599"/>
      <c r="G170" s="600"/>
      <c r="H170" s="599"/>
      <c r="I170" s="599"/>
      <c r="J170" s="599"/>
      <c r="K170" s="599"/>
      <c r="L170" s="599"/>
      <c r="M170" s="599"/>
      <c r="N170" s="599"/>
      <c r="O170" s="599"/>
      <c r="P170" s="599"/>
      <c r="Q170" s="599"/>
      <c r="R170" s="599"/>
      <c r="S170" s="599"/>
      <c r="T170" s="599"/>
    </row>
    <row r="171" spans="1:20" ht="11.25" customHeight="1">
      <c r="A171" s="599"/>
      <c r="B171" s="599"/>
      <c r="C171" s="599"/>
      <c r="D171" s="599"/>
      <c r="E171" s="599"/>
      <c r="F171" s="599"/>
      <c r="G171" s="600"/>
      <c r="H171" s="599"/>
      <c r="I171" s="599"/>
      <c r="J171" s="599"/>
      <c r="K171" s="599"/>
      <c r="L171" s="599"/>
      <c r="M171" s="599"/>
      <c r="N171" s="599"/>
      <c r="O171" s="599"/>
      <c r="P171" s="599"/>
      <c r="Q171" s="599"/>
      <c r="R171" s="599"/>
      <c r="S171" s="599"/>
      <c r="T171" s="599"/>
    </row>
    <row r="172" spans="1:20" ht="11.25" customHeight="1">
      <c r="A172" s="599"/>
      <c r="B172" s="599"/>
      <c r="C172" s="599"/>
      <c r="D172" s="599"/>
      <c r="E172" s="599"/>
      <c r="F172" s="599"/>
      <c r="G172" s="600"/>
      <c r="H172" s="599"/>
      <c r="I172" s="599"/>
      <c r="J172" s="599"/>
      <c r="K172" s="599"/>
      <c r="L172" s="599"/>
      <c r="M172" s="599"/>
      <c r="N172" s="599"/>
      <c r="O172" s="599"/>
      <c r="P172" s="599"/>
      <c r="Q172" s="599"/>
      <c r="R172" s="599"/>
      <c r="S172" s="599"/>
      <c r="T172" s="599"/>
    </row>
    <row r="173" spans="1:20" ht="11.25" customHeight="1">
      <c r="A173" s="599"/>
      <c r="B173" s="599"/>
      <c r="C173" s="599"/>
      <c r="D173" s="599"/>
      <c r="E173" s="599"/>
      <c r="F173" s="599"/>
      <c r="G173" s="600"/>
      <c r="H173" s="599"/>
      <c r="I173" s="599"/>
      <c r="J173" s="599"/>
      <c r="K173" s="599"/>
      <c r="L173" s="599"/>
      <c r="M173" s="599"/>
      <c r="N173" s="599"/>
      <c r="O173" s="599"/>
      <c r="P173" s="599"/>
      <c r="Q173" s="599"/>
      <c r="R173" s="599"/>
      <c r="S173" s="599"/>
      <c r="T173" s="599"/>
    </row>
    <row r="174" spans="1:20" ht="11.25" customHeight="1">
      <c r="A174" s="599"/>
      <c r="B174" s="599"/>
      <c r="C174" s="599"/>
      <c r="D174" s="599"/>
      <c r="E174" s="599"/>
      <c r="F174" s="599"/>
      <c r="G174" s="600"/>
      <c r="H174" s="599"/>
      <c r="I174" s="599"/>
      <c r="J174" s="599"/>
      <c r="K174" s="599"/>
      <c r="L174" s="599"/>
      <c r="M174" s="599"/>
      <c r="N174" s="599"/>
      <c r="O174" s="599"/>
      <c r="P174" s="599"/>
      <c r="Q174" s="599"/>
      <c r="R174" s="599"/>
      <c r="S174" s="599"/>
      <c r="T174" s="599"/>
    </row>
    <row r="175" spans="1:20" ht="11.25" customHeight="1">
      <c r="A175" s="599"/>
      <c r="B175" s="599"/>
      <c r="C175" s="599"/>
      <c r="D175" s="599"/>
      <c r="E175" s="599"/>
      <c r="F175" s="599"/>
      <c r="G175" s="600"/>
      <c r="H175" s="599"/>
      <c r="I175" s="599"/>
      <c r="J175" s="599"/>
      <c r="K175" s="599"/>
      <c r="L175" s="599"/>
      <c r="M175" s="599"/>
      <c r="N175" s="599"/>
      <c r="O175" s="599"/>
      <c r="P175" s="599"/>
      <c r="Q175" s="599"/>
      <c r="R175" s="599"/>
      <c r="S175" s="599"/>
      <c r="T175" s="599"/>
    </row>
    <row r="176" spans="1:20" ht="11.25" customHeight="1">
      <c r="A176" s="599"/>
      <c r="B176" s="599"/>
      <c r="C176" s="599"/>
      <c r="D176" s="599"/>
      <c r="E176" s="599"/>
      <c r="F176" s="599"/>
      <c r="G176" s="600"/>
      <c r="H176" s="599"/>
      <c r="I176" s="599"/>
      <c r="J176" s="599"/>
      <c r="K176" s="599"/>
      <c r="L176" s="599"/>
      <c r="M176" s="599"/>
      <c r="N176" s="599"/>
      <c r="O176" s="599"/>
      <c r="P176" s="599"/>
      <c r="Q176" s="599"/>
      <c r="R176" s="599"/>
      <c r="S176" s="599"/>
      <c r="T176" s="599"/>
    </row>
    <row r="177" spans="1:20" ht="11.25" customHeight="1">
      <c r="A177" s="599"/>
      <c r="B177" s="599"/>
      <c r="C177" s="599"/>
      <c r="D177" s="599"/>
      <c r="E177" s="599"/>
      <c r="F177" s="599"/>
      <c r="G177" s="600"/>
      <c r="H177" s="599"/>
      <c r="I177" s="599"/>
      <c r="J177" s="599"/>
      <c r="K177" s="599"/>
      <c r="L177" s="599"/>
      <c r="M177" s="599"/>
      <c r="N177" s="599"/>
      <c r="O177" s="599"/>
      <c r="P177" s="599"/>
      <c r="Q177" s="599"/>
      <c r="R177" s="599"/>
      <c r="S177" s="599"/>
      <c r="T177" s="599"/>
    </row>
    <row r="178" spans="1:20" ht="11.25" customHeight="1">
      <c r="A178" s="599"/>
      <c r="B178" s="599"/>
      <c r="C178" s="599"/>
      <c r="D178" s="599"/>
      <c r="E178" s="599"/>
      <c r="F178" s="599"/>
      <c r="G178" s="600"/>
      <c r="H178" s="599"/>
      <c r="I178" s="599"/>
      <c r="J178" s="599"/>
      <c r="K178" s="599"/>
      <c r="L178" s="599"/>
      <c r="M178" s="599"/>
      <c r="N178" s="599"/>
      <c r="O178" s="599"/>
      <c r="P178" s="599"/>
      <c r="Q178" s="599"/>
      <c r="R178" s="599"/>
      <c r="S178" s="599"/>
      <c r="T178" s="599"/>
    </row>
    <row r="179" spans="1:20" ht="11.25" customHeight="1">
      <c r="A179" s="599"/>
      <c r="B179" s="599"/>
      <c r="C179" s="599"/>
      <c r="D179" s="599"/>
      <c r="E179" s="599"/>
      <c r="F179" s="599"/>
      <c r="G179" s="600"/>
      <c r="H179" s="599"/>
      <c r="I179" s="599"/>
      <c r="J179" s="599"/>
      <c r="K179" s="599"/>
      <c r="L179" s="599"/>
      <c r="M179" s="599"/>
      <c r="N179" s="599"/>
      <c r="O179" s="599"/>
      <c r="P179" s="599"/>
      <c r="Q179" s="599"/>
      <c r="R179" s="599"/>
      <c r="S179" s="599"/>
      <c r="T179" s="599"/>
    </row>
    <row r="180" spans="1:20" ht="11.25" customHeight="1">
      <c r="A180" s="599"/>
      <c r="B180" s="599"/>
      <c r="C180" s="599"/>
      <c r="D180" s="599"/>
      <c r="E180" s="599"/>
      <c r="F180" s="599"/>
      <c r="G180" s="600"/>
      <c r="H180" s="599"/>
      <c r="I180" s="599"/>
      <c r="J180" s="599"/>
      <c r="K180" s="599"/>
      <c r="L180" s="599"/>
      <c r="M180" s="599"/>
      <c r="N180" s="599"/>
      <c r="O180" s="599"/>
      <c r="P180" s="599"/>
      <c r="Q180" s="599"/>
      <c r="R180" s="599"/>
      <c r="S180" s="599"/>
      <c r="T180" s="599"/>
    </row>
    <row r="181" spans="1:20" ht="11.25" customHeight="1">
      <c r="A181" s="599"/>
      <c r="B181" s="599"/>
      <c r="C181" s="599"/>
      <c r="D181" s="599"/>
      <c r="E181" s="599"/>
      <c r="F181" s="599"/>
      <c r="G181" s="600"/>
      <c r="H181" s="599"/>
      <c r="I181" s="599"/>
      <c r="J181" s="599"/>
      <c r="K181" s="599"/>
      <c r="L181" s="599"/>
      <c r="M181" s="599"/>
      <c r="N181" s="599"/>
      <c r="O181" s="599"/>
      <c r="P181" s="599"/>
      <c r="Q181" s="599"/>
      <c r="R181" s="599"/>
      <c r="S181" s="599"/>
      <c r="T181" s="599"/>
    </row>
    <row r="182" spans="1:20" ht="11.25" customHeight="1">
      <c r="A182" s="599"/>
      <c r="B182" s="599"/>
      <c r="C182" s="599"/>
      <c r="D182" s="599"/>
      <c r="E182" s="599"/>
      <c r="F182" s="599"/>
      <c r="G182" s="600"/>
      <c r="H182" s="599"/>
      <c r="I182" s="599"/>
      <c r="J182" s="599"/>
      <c r="K182" s="599"/>
      <c r="L182" s="599"/>
      <c r="M182" s="599"/>
      <c r="N182" s="599"/>
      <c r="O182" s="599"/>
      <c r="P182" s="599"/>
      <c r="Q182" s="599"/>
      <c r="R182" s="599"/>
      <c r="S182" s="599"/>
      <c r="T182" s="599"/>
    </row>
    <row r="183" spans="1:20" ht="11.25" customHeight="1">
      <c r="A183" s="599"/>
      <c r="B183" s="599"/>
      <c r="C183" s="599"/>
      <c r="D183" s="599"/>
      <c r="E183" s="599"/>
      <c r="F183" s="599"/>
      <c r="G183" s="600"/>
      <c r="H183" s="599"/>
      <c r="I183" s="599"/>
      <c r="J183" s="599"/>
      <c r="K183" s="599"/>
      <c r="L183" s="599"/>
      <c r="M183" s="599"/>
      <c r="N183" s="599"/>
      <c r="O183" s="599"/>
      <c r="P183" s="599"/>
      <c r="Q183" s="599"/>
      <c r="R183" s="599"/>
      <c r="S183" s="599"/>
      <c r="T183" s="599"/>
    </row>
    <row r="184" spans="1:20" ht="11.25" customHeight="1">
      <c r="A184" s="599"/>
      <c r="B184" s="599"/>
      <c r="C184" s="599"/>
      <c r="D184" s="599"/>
      <c r="E184" s="599"/>
      <c r="F184" s="599"/>
      <c r="G184" s="600"/>
      <c r="H184" s="599"/>
      <c r="I184" s="599"/>
      <c r="J184" s="599"/>
      <c r="K184" s="599"/>
      <c r="L184" s="599"/>
      <c r="M184" s="599"/>
      <c r="N184" s="599"/>
      <c r="O184" s="599"/>
      <c r="P184" s="599"/>
      <c r="Q184" s="599"/>
      <c r="R184" s="599"/>
      <c r="S184" s="599"/>
      <c r="T184" s="599"/>
    </row>
    <row r="185" spans="1:20" ht="11.25" customHeight="1">
      <c r="A185" s="599"/>
      <c r="B185" s="599"/>
      <c r="C185" s="599"/>
      <c r="D185" s="599"/>
      <c r="E185" s="599"/>
      <c r="F185" s="599"/>
      <c r="G185" s="600"/>
      <c r="H185" s="599"/>
      <c r="I185" s="599"/>
      <c r="J185" s="599"/>
      <c r="K185" s="599"/>
      <c r="L185" s="599"/>
      <c r="M185" s="599"/>
      <c r="N185" s="599"/>
      <c r="O185" s="599"/>
      <c r="P185" s="599"/>
      <c r="Q185" s="599"/>
      <c r="R185" s="599"/>
      <c r="S185" s="599"/>
      <c r="T185" s="599"/>
    </row>
    <row r="186" spans="1:20" ht="11.25" customHeight="1">
      <c r="A186" s="599"/>
      <c r="B186" s="599"/>
      <c r="C186" s="599"/>
      <c r="D186" s="599"/>
      <c r="E186" s="599"/>
      <c r="F186" s="599"/>
      <c r="G186" s="600"/>
      <c r="H186" s="599"/>
      <c r="I186" s="599"/>
      <c r="J186" s="599"/>
      <c r="K186" s="599"/>
      <c r="L186" s="599"/>
      <c r="M186" s="599"/>
      <c r="N186" s="599"/>
      <c r="O186" s="599"/>
      <c r="P186" s="599"/>
      <c r="Q186" s="599"/>
      <c r="R186" s="599"/>
      <c r="S186" s="599"/>
      <c r="T186" s="599"/>
    </row>
    <row r="187" spans="1:20" ht="11.25" customHeight="1">
      <c r="A187" s="599"/>
      <c r="B187" s="599"/>
      <c r="C187" s="599"/>
      <c r="D187" s="599"/>
      <c r="E187" s="599"/>
      <c r="F187" s="599"/>
      <c r="G187" s="600"/>
      <c r="H187" s="599"/>
      <c r="I187" s="599"/>
      <c r="J187" s="599"/>
      <c r="K187" s="599"/>
      <c r="L187" s="599"/>
      <c r="M187" s="599"/>
      <c r="N187" s="599"/>
      <c r="O187" s="599"/>
      <c r="P187" s="599"/>
      <c r="Q187" s="599"/>
      <c r="R187" s="599"/>
      <c r="S187" s="599"/>
      <c r="T187" s="599"/>
    </row>
    <row r="188" spans="1:20" ht="11.25" customHeight="1">
      <c r="A188" s="599"/>
      <c r="B188" s="599"/>
      <c r="C188" s="599"/>
      <c r="D188" s="599"/>
      <c r="E188" s="599"/>
      <c r="F188" s="599"/>
      <c r="G188" s="600"/>
      <c r="H188" s="599"/>
      <c r="I188" s="599"/>
      <c r="J188" s="599"/>
      <c r="K188" s="599"/>
      <c r="L188" s="599"/>
      <c r="M188" s="599"/>
      <c r="N188" s="599"/>
      <c r="O188" s="599"/>
      <c r="P188" s="599"/>
      <c r="Q188" s="599"/>
      <c r="R188" s="599"/>
      <c r="S188" s="599"/>
      <c r="T188" s="599"/>
    </row>
    <row r="189" spans="1:20" ht="11.25" customHeight="1">
      <c r="A189" s="599"/>
      <c r="B189" s="599"/>
      <c r="C189" s="599"/>
      <c r="D189" s="599"/>
      <c r="E189" s="599"/>
      <c r="F189" s="599"/>
      <c r="G189" s="600"/>
      <c r="H189" s="599"/>
      <c r="I189" s="599"/>
      <c r="J189" s="599"/>
      <c r="K189" s="599"/>
      <c r="L189" s="599"/>
      <c r="M189" s="599"/>
      <c r="N189" s="599"/>
      <c r="O189" s="599"/>
      <c r="P189" s="599"/>
      <c r="Q189" s="599"/>
      <c r="R189" s="599"/>
      <c r="S189" s="599"/>
      <c r="T189" s="599"/>
    </row>
    <row r="190" spans="1:20" ht="11.25" customHeight="1">
      <c r="A190" s="599"/>
      <c r="B190" s="599"/>
      <c r="C190" s="599"/>
      <c r="D190" s="599"/>
      <c r="E190" s="599"/>
      <c r="F190" s="599"/>
      <c r="G190" s="600"/>
      <c r="H190" s="599"/>
      <c r="I190" s="599"/>
      <c r="J190" s="599"/>
      <c r="K190" s="599"/>
      <c r="L190" s="599"/>
      <c r="M190" s="599"/>
      <c r="N190" s="599"/>
      <c r="O190" s="599"/>
      <c r="P190" s="599"/>
      <c r="Q190" s="599"/>
      <c r="R190" s="599"/>
      <c r="S190" s="599"/>
      <c r="T190" s="599"/>
    </row>
    <row r="191" spans="1:20" ht="11.25" customHeight="1">
      <c r="A191" s="599"/>
      <c r="B191" s="599"/>
      <c r="C191" s="599"/>
      <c r="D191" s="599"/>
      <c r="E191" s="599"/>
      <c r="F191" s="599"/>
      <c r="G191" s="600"/>
      <c r="H191" s="599"/>
      <c r="I191" s="599"/>
      <c r="J191" s="599"/>
      <c r="K191" s="599"/>
      <c r="L191" s="599"/>
      <c r="M191" s="599"/>
      <c r="N191" s="599"/>
      <c r="O191" s="599"/>
      <c r="P191" s="599"/>
      <c r="Q191" s="599"/>
      <c r="R191" s="599"/>
      <c r="S191" s="599"/>
      <c r="T191" s="599"/>
    </row>
    <row r="192" spans="1:20" ht="11.25" customHeight="1">
      <c r="A192" s="599"/>
      <c r="B192" s="599"/>
      <c r="C192" s="599"/>
      <c r="D192" s="599"/>
      <c r="E192" s="599"/>
      <c r="F192" s="599"/>
      <c r="G192" s="600"/>
      <c r="H192" s="599"/>
      <c r="I192" s="599"/>
      <c r="J192" s="599"/>
      <c r="K192" s="599"/>
      <c r="L192" s="599"/>
      <c r="M192" s="599"/>
      <c r="N192" s="599"/>
      <c r="O192" s="599"/>
      <c r="P192" s="599"/>
      <c r="Q192" s="599"/>
      <c r="R192" s="599"/>
      <c r="S192" s="599"/>
      <c r="T192" s="599"/>
    </row>
    <row r="193" spans="1:20" ht="11.25" customHeight="1">
      <c r="A193" s="599"/>
      <c r="B193" s="599"/>
      <c r="C193" s="599"/>
      <c r="D193" s="599"/>
      <c r="E193" s="599"/>
      <c r="F193" s="599"/>
      <c r="G193" s="600"/>
      <c r="H193" s="599"/>
      <c r="I193" s="599"/>
      <c r="J193" s="599"/>
      <c r="K193" s="599"/>
      <c r="L193" s="599"/>
      <c r="M193" s="599"/>
      <c r="N193" s="599"/>
      <c r="O193" s="599"/>
      <c r="P193" s="599"/>
      <c r="Q193" s="599"/>
      <c r="R193" s="599"/>
      <c r="S193" s="599"/>
      <c r="T193" s="599"/>
    </row>
    <row r="194" spans="1:20" ht="11.25" customHeight="1">
      <c r="A194" s="599"/>
      <c r="B194" s="599"/>
      <c r="C194" s="599"/>
      <c r="D194" s="599"/>
      <c r="E194" s="599"/>
      <c r="F194" s="599"/>
      <c r="G194" s="600"/>
      <c r="H194" s="599"/>
      <c r="I194" s="599"/>
      <c r="J194" s="599"/>
      <c r="K194" s="599"/>
      <c r="L194" s="599"/>
      <c r="M194" s="599"/>
      <c r="N194" s="599"/>
      <c r="O194" s="599"/>
      <c r="P194" s="599"/>
      <c r="Q194" s="599"/>
      <c r="R194" s="599"/>
      <c r="S194" s="599"/>
      <c r="T194" s="599"/>
    </row>
    <row r="195" spans="1:20" ht="11.25" customHeight="1">
      <c r="A195" s="599"/>
      <c r="B195" s="599"/>
      <c r="C195" s="599"/>
      <c r="D195" s="599"/>
      <c r="E195" s="599"/>
      <c r="F195" s="599"/>
      <c r="G195" s="600"/>
      <c r="H195" s="599"/>
      <c r="I195" s="599"/>
      <c r="J195" s="599"/>
      <c r="K195" s="599"/>
      <c r="L195" s="599"/>
      <c r="M195" s="599"/>
      <c r="N195" s="599"/>
      <c r="O195" s="599"/>
      <c r="P195" s="599"/>
      <c r="Q195" s="599"/>
      <c r="R195" s="599"/>
      <c r="S195" s="599"/>
      <c r="T195" s="599"/>
    </row>
    <row r="196" spans="1:20" ht="11.25" customHeight="1">
      <c r="A196" s="599"/>
      <c r="B196" s="599"/>
      <c r="C196" s="599"/>
      <c r="D196" s="599"/>
      <c r="E196" s="599"/>
      <c r="F196" s="599"/>
      <c r="G196" s="600"/>
      <c r="H196" s="599"/>
      <c r="I196" s="599"/>
      <c r="J196" s="599"/>
      <c r="K196" s="599"/>
      <c r="L196" s="599"/>
      <c r="M196" s="599"/>
      <c r="N196" s="599"/>
      <c r="O196" s="599"/>
      <c r="P196" s="599"/>
      <c r="Q196" s="599"/>
      <c r="R196" s="599"/>
      <c r="S196" s="599"/>
      <c r="T196" s="599"/>
    </row>
    <row r="197" spans="1:20" ht="11.25" customHeight="1">
      <c r="A197" s="599"/>
      <c r="B197" s="599"/>
      <c r="C197" s="599"/>
      <c r="D197" s="599"/>
      <c r="E197" s="599"/>
      <c r="F197" s="599"/>
      <c r="G197" s="600"/>
      <c r="H197" s="599"/>
      <c r="I197" s="599"/>
      <c r="J197" s="599"/>
      <c r="K197" s="599"/>
      <c r="L197" s="599"/>
      <c r="M197" s="599"/>
      <c r="N197" s="599"/>
      <c r="O197" s="599"/>
      <c r="P197" s="599"/>
      <c r="Q197" s="599"/>
      <c r="R197" s="599"/>
      <c r="S197" s="599"/>
      <c r="T197" s="599"/>
    </row>
    <row r="198" spans="1:20" ht="11.25" customHeight="1">
      <c r="A198" s="599"/>
      <c r="B198" s="599"/>
      <c r="C198" s="599"/>
      <c r="D198" s="599"/>
      <c r="E198" s="599"/>
      <c r="F198" s="599"/>
      <c r="G198" s="600"/>
      <c r="H198" s="599"/>
      <c r="I198" s="599"/>
      <c r="J198" s="599"/>
      <c r="K198" s="599"/>
      <c r="L198" s="599"/>
      <c r="M198" s="599"/>
      <c r="N198" s="599"/>
      <c r="O198" s="599"/>
      <c r="P198" s="599"/>
      <c r="Q198" s="599"/>
      <c r="R198" s="599"/>
      <c r="S198" s="599"/>
      <c r="T198" s="599"/>
    </row>
    <row r="199" spans="1:20" ht="11.25" customHeight="1">
      <c r="A199" s="599"/>
      <c r="B199" s="599"/>
      <c r="C199" s="599"/>
      <c r="D199" s="599"/>
      <c r="E199" s="599"/>
      <c r="F199" s="599"/>
      <c r="G199" s="600"/>
      <c r="H199" s="599"/>
      <c r="I199" s="599"/>
      <c r="J199" s="599"/>
      <c r="K199" s="599"/>
      <c r="L199" s="599"/>
      <c r="M199" s="599"/>
      <c r="N199" s="599"/>
      <c r="O199" s="599"/>
      <c r="P199" s="599"/>
      <c r="Q199" s="599"/>
      <c r="R199" s="599"/>
      <c r="S199" s="599"/>
      <c r="T199" s="599"/>
    </row>
    <row r="200" spans="1:20" ht="11.25" customHeight="1">
      <c r="A200" s="599"/>
      <c r="B200" s="599"/>
      <c r="C200" s="599"/>
      <c r="D200" s="599"/>
      <c r="E200" s="599"/>
      <c r="F200" s="599"/>
      <c r="G200" s="600"/>
      <c r="H200" s="599"/>
      <c r="I200" s="599"/>
      <c r="J200" s="599"/>
      <c r="K200" s="599"/>
      <c r="L200" s="599"/>
      <c r="M200" s="599"/>
      <c r="N200" s="599"/>
      <c r="O200" s="599"/>
      <c r="P200" s="599"/>
      <c r="Q200" s="599"/>
      <c r="R200" s="599"/>
      <c r="S200" s="599"/>
      <c r="T200" s="599"/>
    </row>
    <row r="201" spans="1:20" ht="11.25" customHeight="1">
      <c r="A201" s="599"/>
      <c r="B201" s="599"/>
      <c r="C201" s="599"/>
      <c r="D201" s="599"/>
      <c r="E201" s="599"/>
      <c r="F201" s="599"/>
      <c r="G201" s="600"/>
      <c r="H201" s="599"/>
      <c r="I201" s="599"/>
      <c r="J201" s="599"/>
      <c r="K201" s="599"/>
      <c r="L201" s="599"/>
      <c r="M201" s="599"/>
      <c r="N201" s="599"/>
      <c r="O201" s="599"/>
      <c r="P201" s="599"/>
      <c r="Q201" s="599"/>
      <c r="R201" s="599"/>
      <c r="S201" s="599"/>
      <c r="T201" s="599"/>
    </row>
    <row r="202" spans="1:20" ht="11.25" customHeight="1">
      <c r="A202" s="599"/>
      <c r="B202" s="599"/>
      <c r="C202" s="599"/>
      <c r="D202" s="599"/>
      <c r="E202" s="599"/>
      <c r="F202" s="599"/>
      <c r="G202" s="600"/>
      <c r="H202" s="599"/>
      <c r="I202" s="599"/>
      <c r="J202" s="599"/>
      <c r="K202" s="599"/>
      <c r="L202" s="599"/>
      <c r="M202" s="599"/>
      <c r="N202" s="599"/>
      <c r="O202" s="599"/>
      <c r="P202" s="599"/>
      <c r="Q202" s="599"/>
      <c r="R202" s="599"/>
      <c r="S202" s="599"/>
      <c r="T202" s="599"/>
    </row>
    <row r="203" spans="1:20" ht="11.25" customHeight="1">
      <c r="A203" s="599"/>
      <c r="B203" s="599"/>
      <c r="C203" s="599"/>
      <c r="D203" s="599"/>
      <c r="E203" s="599"/>
      <c r="F203" s="599"/>
      <c r="G203" s="600"/>
      <c r="H203" s="599"/>
      <c r="I203" s="599"/>
      <c r="J203" s="599"/>
      <c r="K203" s="599"/>
      <c r="L203" s="599"/>
      <c r="M203" s="599"/>
      <c r="N203" s="599"/>
      <c r="O203" s="599"/>
      <c r="P203" s="599"/>
      <c r="Q203" s="599"/>
      <c r="R203" s="599"/>
      <c r="S203" s="599"/>
      <c r="T203" s="599"/>
    </row>
    <row r="204" spans="1:20" ht="11.25" customHeight="1">
      <c r="A204" s="599"/>
      <c r="B204" s="599"/>
      <c r="C204" s="599"/>
      <c r="D204" s="599"/>
      <c r="E204" s="599"/>
      <c r="F204" s="599"/>
      <c r="G204" s="600"/>
      <c r="H204" s="599"/>
      <c r="I204" s="599"/>
      <c r="J204" s="599"/>
      <c r="K204" s="599"/>
      <c r="L204" s="599"/>
      <c r="M204" s="599"/>
      <c r="N204" s="599"/>
      <c r="O204" s="599"/>
      <c r="P204" s="599"/>
      <c r="Q204" s="599"/>
      <c r="R204" s="599"/>
      <c r="S204" s="599"/>
      <c r="T204" s="599"/>
    </row>
    <row r="205" spans="1:20" ht="11.25" customHeight="1">
      <c r="A205" s="599"/>
      <c r="B205" s="599"/>
      <c r="C205" s="599"/>
      <c r="D205" s="599"/>
      <c r="E205" s="599"/>
      <c r="F205" s="599"/>
      <c r="G205" s="600"/>
      <c r="H205" s="599"/>
      <c r="I205" s="599"/>
      <c r="J205" s="599"/>
      <c r="K205" s="599"/>
      <c r="L205" s="599"/>
      <c r="M205" s="599"/>
      <c r="N205" s="599"/>
      <c r="O205" s="599"/>
      <c r="P205" s="599"/>
      <c r="Q205" s="599"/>
      <c r="R205" s="599"/>
      <c r="S205" s="599"/>
      <c r="T205" s="599"/>
    </row>
    <row r="206" spans="1:20" ht="11.25" customHeight="1">
      <c r="A206" s="599"/>
      <c r="B206" s="599"/>
      <c r="C206" s="599"/>
      <c r="D206" s="599"/>
      <c r="E206" s="599"/>
      <c r="F206" s="599"/>
      <c r="G206" s="600"/>
      <c r="H206" s="599"/>
      <c r="I206" s="599"/>
      <c r="J206" s="599"/>
      <c r="K206" s="599"/>
      <c r="L206" s="599"/>
      <c r="M206" s="599"/>
      <c r="N206" s="599"/>
      <c r="O206" s="599"/>
      <c r="P206" s="599"/>
      <c r="Q206" s="599"/>
      <c r="R206" s="599"/>
      <c r="S206" s="599"/>
      <c r="T206" s="599"/>
    </row>
    <row r="207" spans="1:20" ht="11.25" customHeight="1">
      <c r="A207" s="599"/>
      <c r="B207" s="599"/>
      <c r="C207" s="599"/>
      <c r="D207" s="599"/>
      <c r="E207" s="599"/>
      <c r="F207" s="599"/>
      <c r="G207" s="600"/>
      <c r="H207" s="599"/>
      <c r="I207" s="599"/>
      <c r="J207" s="599"/>
      <c r="K207" s="599"/>
      <c r="L207" s="599"/>
      <c r="M207" s="599"/>
      <c r="N207" s="599"/>
      <c r="O207" s="599"/>
      <c r="P207" s="599"/>
      <c r="Q207" s="599"/>
      <c r="R207" s="599"/>
      <c r="S207" s="599"/>
      <c r="T207" s="599"/>
    </row>
    <row r="208" spans="1:20" ht="11.25" customHeight="1">
      <c r="A208" s="599"/>
      <c r="B208" s="599"/>
      <c r="C208" s="599"/>
      <c r="D208" s="599"/>
      <c r="E208" s="599"/>
      <c r="F208" s="599"/>
      <c r="G208" s="600"/>
      <c r="H208" s="599"/>
      <c r="I208" s="599"/>
      <c r="J208" s="599"/>
      <c r="K208" s="599"/>
      <c r="L208" s="599"/>
      <c r="M208" s="599"/>
      <c r="N208" s="599"/>
      <c r="O208" s="599"/>
      <c r="P208" s="599"/>
      <c r="Q208" s="599"/>
      <c r="R208" s="599"/>
      <c r="S208" s="599"/>
      <c r="T208" s="599"/>
    </row>
    <row r="209" spans="1:20" ht="11.25" customHeight="1">
      <c r="A209" s="599"/>
      <c r="B209" s="599"/>
      <c r="C209" s="599"/>
      <c r="D209" s="599"/>
      <c r="E209" s="599"/>
      <c r="F209" s="599"/>
      <c r="G209" s="600"/>
      <c r="H209" s="599"/>
      <c r="I209" s="599"/>
      <c r="J209" s="599"/>
      <c r="K209" s="599"/>
      <c r="L209" s="599"/>
      <c r="M209" s="599"/>
      <c r="N209" s="599"/>
      <c r="O209" s="599"/>
      <c r="P209" s="599"/>
      <c r="Q209" s="599"/>
      <c r="R209" s="599"/>
      <c r="S209" s="599"/>
      <c r="T209" s="599"/>
    </row>
    <row r="210" spans="1:20" ht="11.25" customHeight="1">
      <c r="A210" s="599"/>
      <c r="B210" s="599"/>
      <c r="C210" s="599"/>
      <c r="D210" s="599"/>
      <c r="E210" s="599"/>
      <c r="F210" s="599"/>
      <c r="G210" s="600"/>
      <c r="H210" s="599"/>
      <c r="I210" s="599"/>
      <c r="J210" s="599"/>
      <c r="K210" s="599"/>
      <c r="L210" s="599"/>
      <c r="M210" s="599"/>
      <c r="N210" s="599"/>
      <c r="O210" s="599"/>
      <c r="P210" s="599"/>
      <c r="Q210" s="599"/>
      <c r="R210" s="599"/>
      <c r="S210" s="599"/>
      <c r="T210" s="599"/>
    </row>
    <row r="211" spans="1:20" ht="11.25" customHeight="1">
      <c r="A211" s="599"/>
      <c r="B211" s="599"/>
      <c r="C211" s="599"/>
      <c r="D211" s="599"/>
      <c r="E211" s="599"/>
      <c r="F211" s="599"/>
      <c r="G211" s="600"/>
      <c r="H211" s="599"/>
      <c r="I211" s="599"/>
      <c r="J211" s="599"/>
      <c r="K211" s="599"/>
      <c r="L211" s="599"/>
      <c r="M211" s="599"/>
      <c r="N211" s="599"/>
      <c r="O211" s="599"/>
      <c r="P211" s="599"/>
      <c r="Q211" s="599"/>
      <c r="R211" s="599"/>
      <c r="S211" s="599"/>
      <c r="T211" s="599"/>
    </row>
    <row r="212" spans="1:20" ht="11.25" customHeight="1">
      <c r="A212" s="599"/>
      <c r="B212" s="599"/>
      <c r="C212" s="599"/>
      <c r="D212" s="599"/>
      <c r="E212" s="599"/>
      <c r="F212" s="599"/>
      <c r="G212" s="600"/>
      <c r="H212" s="599"/>
      <c r="I212" s="599"/>
      <c r="J212" s="599"/>
      <c r="K212" s="599"/>
      <c r="L212" s="599"/>
      <c r="M212" s="599"/>
      <c r="N212" s="599"/>
      <c r="O212" s="599"/>
      <c r="P212" s="599"/>
      <c r="Q212" s="599"/>
      <c r="R212" s="599"/>
      <c r="S212" s="599"/>
      <c r="T212" s="599"/>
    </row>
    <row r="213" spans="1:20" ht="11.25" customHeight="1">
      <c r="A213" s="599"/>
      <c r="B213" s="599"/>
      <c r="C213" s="599"/>
      <c r="D213" s="599"/>
      <c r="E213" s="599"/>
      <c r="F213" s="599"/>
      <c r="G213" s="600"/>
      <c r="H213" s="599"/>
      <c r="I213" s="599"/>
      <c r="J213" s="599"/>
      <c r="K213" s="599"/>
      <c r="L213" s="599"/>
      <c r="M213" s="599"/>
      <c r="N213" s="599"/>
      <c r="O213" s="599"/>
      <c r="P213" s="599"/>
      <c r="Q213" s="599"/>
      <c r="R213" s="599"/>
      <c r="S213" s="599"/>
      <c r="T213" s="599"/>
    </row>
    <row r="214" spans="1:20" ht="11.25" customHeight="1">
      <c r="A214" s="599"/>
      <c r="B214" s="599"/>
      <c r="C214" s="599"/>
      <c r="D214" s="599"/>
      <c r="E214" s="599"/>
      <c r="F214" s="599"/>
      <c r="G214" s="600"/>
      <c r="H214" s="599"/>
      <c r="I214" s="599"/>
      <c r="J214" s="599"/>
      <c r="K214" s="599"/>
      <c r="L214" s="599"/>
      <c r="M214" s="599"/>
      <c r="N214" s="599"/>
      <c r="O214" s="599"/>
      <c r="P214" s="599"/>
      <c r="Q214" s="599"/>
      <c r="R214" s="599"/>
      <c r="S214" s="599"/>
      <c r="T214" s="599"/>
    </row>
    <row r="215" spans="1:20" ht="11.25" customHeight="1">
      <c r="A215" s="599"/>
      <c r="B215" s="599"/>
      <c r="C215" s="599"/>
      <c r="D215" s="599"/>
      <c r="E215" s="599"/>
      <c r="F215" s="599"/>
      <c r="G215" s="600"/>
      <c r="H215" s="599"/>
      <c r="I215" s="599"/>
      <c r="J215" s="599"/>
      <c r="K215" s="599"/>
      <c r="L215" s="599"/>
      <c r="M215" s="599"/>
      <c r="N215" s="599"/>
      <c r="O215" s="599"/>
      <c r="P215" s="599"/>
      <c r="Q215" s="599"/>
      <c r="R215" s="599"/>
      <c r="S215" s="599"/>
      <c r="T215" s="599"/>
    </row>
    <row r="216" spans="1:20" ht="11.25" customHeight="1">
      <c r="A216" s="599"/>
      <c r="B216" s="599"/>
      <c r="C216" s="599"/>
      <c r="D216" s="599"/>
      <c r="E216" s="599"/>
      <c r="F216" s="599"/>
      <c r="G216" s="600"/>
      <c r="H216" s="599"/>
      <c r="I216" s="599"/>
      <c r="J216" s="599"/>
      <c r="K216" s="599"/>
      <c r="L216" s="599"/>
      <c r="M216" s="599"/>
      <c r="N216" s="599"/>
      <c r="O216" s="599"/>
      <c r="P216" s="599"/>
      <c r="Q216" s="599"/>
      <c r="R216" s="599"/>
      <c r="S216" s="599"/>
      <c r="T216" s="599"/>
    </row>
    <row r="217" spans="1:20" ht="11.25" customHeight="1">
      <c r="A217" s="599"/>
      <c r="B217" s="599"/>
      <c r="C217" s="599"/>
      <c r="D217" s="599"/>
      <c r="E217" s="599"/>
      <c r="F217" s="599"/>
      <c r="G217" s="600"/>
      <c r="H217" s="599"/>
      <c r="I217" s="599"/>
      <c r="J217" s="599"/>
      <c r="K217" s="599"/>
      <c r="L217" s="599"/>
      <c r="M217" s="599"/>
      <c r="N217" s="599"/>
      <c r="O217" s="599"/>
      <c r="P217" s="599"/>
      <c r="Q217" s="599"/>
      <c r="R217" s="599"/>
      <c r="S217" s="599"/>
      <c r="T217" s="599"/>
    </row>
    <row r="218" spans="1:20" ht="11.25" customHeight="1">
      <c r="A218" s="599"/>
      <c r="B218" s="599"/>
      <c r="C218" s="599"/>
      <c r="D218" s="599"/>
      <c r="E218" s="599"/>
      <c r="F218" s="599"/>
      <c r="G218" s="600"/>
      <c r="H218" s="599"/>
      <c r="I218" s="599"/>
      <c r="J218" s="599"/>
      <c r="K218" s="599"/>
      <c r="L218" s="599"/>
      <c r="M218" s="599"/>
      <c r="N218" s="599"/>
      <c r="O218" s="599"/>
      <c r="P218" s="599"/>
      <c r="Q218" s="599"/>
      <c r="R218" s="599"/>
      <c r="S218" s="599"/>
      <c r="T218" s="599"/>
    </row>
    <row r="219" spans="1:20" ht="11.25" customHeight="1">
      <c r="A219" s="599"/>
      <c r="B219" s="599"/>
      <c r="C219" s="599"/>
      <c r="D219" s="599"/>
      <c r="E219" s="599"/>
      <c r="F219" s="599"/>
      <c r="G219" s="600"/>
      <c r="H219" s="599"/>
      <c r="I219" s="599"/>
      <c r="J219" s="599"/>
      <c r="K219" s="599"/>
      <c r="L219" s="599"/>
      <c r="M219" s="599"/>
      <c r="N219" s="599"/>
      <c r="O219" s="599"/>
      <c r="P219" s="599"/>
      <c r="Q219" s="599"/>
      <c r="R219" s="599"/>
      <c r="S219" s="599"/>
      <c r="T219" s="599"/>
    </row>
    <row r="220" spans="1:20" ht="11.25" customHeight="1">
      <c r="A220" s="599"/>
      <c r="B220" s="599"/>
      <c r="C220" s="599"/>
      <c r="D220" s="599"/>
      <c r="E220" s="599"/>
      <c r="F220" s="599"/>
      <c r="G220" s="600"/>
      <c r="H220" s="599"/>
      <c r="I220" s="599"/>
      <c r="J220" s="599"/>
      <c r="K220" s="599"/>
      <c r="L220" s="599"/>
      <c r="M220" s="599"/>
      <c r="N220" s="599"/>
      <c r="O220" s="599"/>
      <c r="P220" s="599"/>
      <c r="Q220" s="599"/>
      <c r="R220" s="599"/>
      <c r="S220" s="599"/>
      <c r="T220" s="599"/>
    </row>
    <row r="221" spans="1:20" ht="11.25" customHeight="1">
      <c r="A221" s="599"/>
      <c r="B221" s="599"/>
      <c r="C221" s="599"/>
      <c r="D221" s="599"/>
      <c r="E221" s="599"/>
      <c r="F221" s="599"/>
      <c r="G221" s="600"/>
      <c r="H221" s="599"/>
      <c r="I221" s="599"/>
      <c r="J221" s="599"/>
      <c r="K221" s="599"/>
      <c r="L221" s="599"/>
      <c r="M221" s="599"/>
      <c r="N221" s="599"/>
      <c r="O221" s="599"/>
      <c r="P221" s="599"/>
      <c r="Q221" s="599"/>
      <c r="R221" s="599"/>
      <c r="S221" s="599"/>
      <c r="T221" s="599"/>
    </row>
    <row r="222" spans="1:20" ht="11.25" customHeight="1">
      <c r="A222" s="599"/>
      <c r="B222" s="599"/>
      <c r="C222" s="599"/>
      <c r="D222" s="599"/>
      <c r="E222" s="599"/>
      <c r="F222" s="599"/>
      <c r="G222" s="600"/>
      <c r="H222" s="599"/>
      <c r="I222" s="599"/>
      <c r="J222" s="599"/>
      <c r="K222" s="599"/>
      <c r="L222" s="599"/>
      <c r="M222" s="599"/>
      <c r="N222" s="599"/>
      <c r="O222" s="599"/>
      <c r="P222" s="599"/>
      <c r="Q222" s="599"/>
      <c r="R222" s="599"/>
      <c r="S222" s="599"/>
      <c r="T222" s="599"/>
    </row>
    <row r="223" spans="1:20" ht="11.25" customHeight="1">
      <c r="A223" s="599"/>
      <c r="B223" s="599"/>
      <c r="C223" s="599"/>
      <c r="D223" s="599"/>
      <c r="E223" s="599"/>
      <c r="F223" s="599"/>
      <c r="G223" s="600"/>
      <c r="H223" s="599"/>
      <c r="I223" s="599"/>
      <c r="J223" s="599"/>
      <c r="K223" s="599"/>
      <c r="L223" s="599"/>
      <c r="M223" s="599"/>
      <c r="N223" s="599"/>
      <c r="O223" s="599"/>
      <c r="P223" s="599"/>
      <c r="Q223" s="599"/>
      <c r="R223" s="599"/>
      <c r="S223" s="599"/>
      <c r="T223" s="599"/>
    </row>
    <row r="224" spans="1:20" ht="11.25" customHeight="1">
      <c r="A224" s="599"/>
      <c r="B224" s="599"/>
      <c r="C224" s="599"/>
      <c r="D224" s="599"/>
      <c r="E224" s="599"/>
      <c r="F224" s="599"/>
      <c r="G224" s="600"/>
      <c r="H224" s="599"/>
      <c r="I224" s="599"/>
      <c r="J224" s="599"/>
      <c r="K224" s="599"/>
      <c r="L224" s="599"/>
      <c r="M224" s="599"/>
      <c r="N224" s="599"/>
      <c r="O224" s="599"/>
      <c r="P224" s="599"/>
      <c r="Q224" s="599"/>
      <c r="R224" s="599"/>
      <c r="S224" s="599"/>
      <c r="T224" s="599"/>
    </row>
    <row r="225" spans="1:20" ht="11.25" customHeight="1">
      <c r="A225" s="599"/>
      <c r="B225" s="599"/>
      <c r="C225" s="599"/>
      <c r="D225" s="599"/>
      <c r="E225" s="599"/>
      <c r="F225" s="599"/>
      <c r="G225" s="600"/>
      <c r="H225" s="599"/>
      <c r="I225" s="599"/>
      <c r="J225" s="599"/>
      <c r="K225" s="599"/>
      <c r="L225" s="599"/>
      <c r="M225" s="599"/>
      <c r="N225" s="599"/>
      <c r="O225" s="599"/>
      <c r="P225" s="599"/>
      <c r="Q225" s="599"/>
      <c r="R225" s="599"/>
      <c r="S225" s="599"/>
      <c r="T225" s="599"/>
    </row>
    <row r="226" spans="1:20" ht="11.25" customHeight="1">
      <c r="A226" s="599"/>
      <c r="B226" s="599"/>
      <c r="C226" s="599"/>
      <c r="D226" s="599"/>
      <c r="E226" s="599"/>
      <c r="F226" s="599"/>
      <c r="G226" s="600"/>
      <c r="H226" s="599"/>
      <c r="I226" s="599"/>
      <c r="J226" s="599"/>
      <c r="K226" s="599"/>
      <c r="L226" s="599"/>
      <c r="M226" s="599"/>
      <c r="N226" s="599"/>
      <c r="O226" s="599"/>
      <c r="P226" s="599"/>
      <c r="Q226" s="599"/>
      <c r="R226" s="599"/>
      <c r="S226" s="599"/>
      <c r="T226" s="599"/>
    </row>
    <row r="227" spans="1:20" ht="11.25" customHeight="1">
      <c r="A227" s="599"/>
      <c r="B227" s="599"/>
      <c r="C227" s="599"/>
      <c r="D227" s="599"/>
      <c r="E227" s="599"/>
      <c r="F227" s="599"/>
      <c r="G227" s="600"/>
      <c r="H227" s="599"/>
      <c r="I227" s="599"/>
      <c r="J227" s="599"/>
      <c r="K227" s="599"/>
      <c r="L227" s="599"/>
      <c r="M227" s="599"/>
      <c r="N227" s="599"/>
      <c r="O227" s="599"/>
      <c r="P227" s="599"/>
      <c r="Q227" s="599"/>
      <c r="R227" s="599"/>
      <c r="S227" s="599"/>
      <c r="T227" s="599"/>
    </row>
    <row r="228" spans="1:20" ht="11.25" customHeight="1">
      <c r="A228" s="599"/>
      <c r="B228" s="599"/>
      <c r="C228" s="599"/>
      <c r="D228" s="599"/>
      <c r="E228" s="599"/>
      <c r="F228" s="599"/>
      <c r="G228" s="600"/>
      <c r="H228" s="599"/>
      <c r="I228" s="599"/>
      <c r="J228" s="599"/>
      <c r="K228" s="599"/>
      <c r="L228" s="599"/>
      <c r="M228" s="599"/>
      <c r="N228" s="599"/>
      <c r="O228" s="599"/>
      <c r="P228" s="599"/>
      <c r="Q228" s="599"/>
      <c r="R228" s="599"/>
      <c r="S228" s="599"/>
      <c r="T228" s="599"/>
    </row>
    <row r="229" spans="1:20" ht="11.25" customHeight="1">
      <c r="A229" s="599"/>
      <c r="B229" s="599"/>
      <c r="C229" s="599"/>
      <c r="D229" s="599"/>
      <c r="E229" s="599"/>
      <c r="F229" s="599"/>
      <c r="G229" s="600"/>
      <c r="H229" s="599"/>
      <c r="I229" s="599"/>
      <c r="J229" s="599"/>
      <c r="K229" s="599"/>
      <c r="L229" s="599"/>
      <c r="M229" s="599"/>
      <c r="N229" s="599"/>
      <c r="O229" s="599"/>
      <c r="P229" s="599"/>
      <c r="Q229" s="599"/>
      <c r="R229" s="599"/>
      <c r="S229" s="599"/>
      <c r="T229" s="599"/>
    </row>
    <row r="230" spans="1:20" ht="11.25" customHeight="1">
      <c r="A230" s="599"/>
      <c r="B230" s="599"/>
      <c r="C230" s="599"/>
      <c r="D230" s="599"/>
      <c r="E230" s="599"/>
      <c r="F230" s="599"/>
      <c r="G230" s="600"/>
      <c r="H230" s="599"/>
      <c r="I230" s="599"/>
      <c r="J230" s="599"/>
      <c r="K230" s="599"/>
      <c r="L230" s="599"/>
      <c r="M230" s="599"/>
      <c r="N230" s="599"/>
      <c r="O230" s="599"/>
      <c r="P230" s="599"/>
      <c r="Q230" s="599"/>
      <c r="R230" s="599"/>
      <c r="S230" s="599"/>
      <c r="T230" s="599"/>
    </row>
    <row r="231" spans="1:20" ht="11.25" customHeight="1">
      <c r="A231" s="599"/>
      <c r="B231" s="599"/>
      <c r="C231" s="599"/>
      <c r="D231" s="599"/>
      <c r="E231" s="599"/>
      <c r="F231" s="599"/>
      <c r="G231" s="600"/>
      <c r="H231" s="599"/>
      <c r="I231" s="599"/>
      <c r="J231" s="599"/>
      <c r="K231" s="599"/>
      <c r="L231" s="599"/>
      <c r="M231" s="599"/>
      <c r="N231" s="599"/>
      <c r="O231" s="599"/>
      <c r="P231" s="599"/>
      <c r="Q231" s="599"/>
      <c r="R231" s="599"/>
      <c r="S231" s="599"/>
      <c r="T231" s="599"/>
    </row>
    <row r="232" spans="1:20" ht="11.25" customHeight="1">
      <c r="A232" s="599"/>
      <c r="B232" s="599"/>
      <c r="C232" s="599"/>
      <c r="D232" s="599"/>
      <c r="E232" s="599"/>
      <c r="F232" s="599"/>
      <c r="G232" s="600"/>
      <c r="H232" s="599"/>
      <c r="I232" s="599"/>
      <c r="J232" s="599"/>
      <c r="K232" s="599"/>
      <c r="L232" s="599"/>
      <c r="M232" s="599"/>
      <c r="N232" s="599"/>
      <c r="O232" s="599"/>
      <c r="P232" s="599"/>
      <c r="Q232" s="599"/>
      <c r="R232" s="599"/>
      <c r="S232" s="599"/>
      <c r="T232" s="599"/>
    </row>
    <row r="233" spans="1:20" ht="11.25" customHeight="1">
      <c r="A233" s="599"/>
      <c r="B233" s="599"/>
      <c r="C233" s="599"/>
      <c r="D233" s="599"/>
      <c r="E233" s="599"/>
      <c r="F233" s="599"/>
      <c r="G233" s="600"/>
      <c r="H233" s="599"/>
      <c r="I233" s="599"/>
      <c r="J233" s="599"/>
      <c r="K233" s="599"/>
      <c r="L233" s="599"/>
      <c r="M233" s="599"/>
      <c r="N233" s="599"/>
      <c r="O233" s="599"/>
      <c r="P233" s="599"/>
      <c r="Q233" s="599"/>
      <c r="R233" s="599"/>
      <c r="S233" s="599"/>
      <c r="T233" s="599"/>
    </row>
    <row r="234" spans="1:20" ht="11.25" customHeight="1">
      <c r="A234" s="599"/>
      <c r="B234" s="599"/>
      <c r="C234" s="599"/>
      <c r="D234" s="599"/>
      <c r="E234" s="599"/>
      <c r="F234" s="599"/>
      <c r="G234" s="600"/>
      <c r="H234" s="599"/>
      <c r="I234" s="599"/>
      <c r="J234" s="599"/>
      <c r="K234" s="599"/>
      <c r="L234" s="599"/>
      <c r="M234" s="599"/>
      <c r="N234" s="599"/>
      <c r="O234" s="599"/>
      <c r="P234" s="599"/>
      <c r="Q234" s="599"/>
      <c r="R234" s="599"/>
      <c r="S234" s="599"/>
      <c r="T234" s="599"/>
    </row>
    <row r="235" spans="1:20" ht="11.25" customHeight="1">
      <c r="A235" s="599"/>
      <c r="B235" s="599"/>
      <c r="C235" s="599"/>
      <c r="D235" s="599"/>
      <c r="E235" s="599"/>
      <c r="F235" s="599"/>
      <c r="G235" s="600"/>
      <c r="H235" s="599"/>
      <c r="I235" s="599"/>
      <c r="J235" s="599"/>
      <c r="K235" s="599"/>
      <c r="L235" s="599"/>
      <c r="M235" s="599"/>
      <c r="N235" s="599"/>
      <c r="O235" s="599"/>
      <c r="P235" s="599"/>
      <c r="Q235" s="599"/>
      <c r="R235" s="599"/>
      <c r="S235" s="599"/>
      <c r="T235" s="599"/>
    </row>
    <row r="236" spans="1:20" ht="11.25" customHeight="1">
      <c r="A236" s="599"/>
      <c r="B236" s="599"/>
      <c r="C236" s="599"/>
      <c r="D236" s="599"/>
      <c r="E236" s="599"/>
      <c r="F236" s="599"/>
      <c r="G236" s="600"/>
      <c r="H236" s="599"/>
      <c r="I236" s="599"/>
      <c r="J236" s="599"/>
      <c r="K236" s="599"/>
      <c r="L236" s="599"/>
      <c r="M236" s="599"/>
      <c r="N236" s="599"/>
      <c r="O236" s="599"/>
      <c r="P236" s="599"/>
      <c r="Q236" s="599"/>
      <c r="R236" s="599"/>
      <c r="S236" s="599"/>
      <c r="T236" s="599"/>
    </row>
    <row r="237" spans="1:20" ht="11.25" customHeight="1">
      <c r="A237" s="599"/>
      <c r="B237" s="599"/>
      <c r="C237" s="599"/>
      <c r="D237" s="599"/>
      <c r="E237" s="599"/>
      <c r="F237" s="599"/>
      <c r="G237" s="600"/>
      <c r="H237" s="599"/>
      <c r="I237" s="599"/>
      <c r="J237" s="599"/>
      <c r="K237" s="599"/>
      <c r="L237" s="599"/>
      <c r="M237" s="599"/>
      <c r="N237" s="599"/>
      <c r="O237" s="599"/>
      <c r="P237" s="599"/>
      <c r="Q237" s="599"/>
      <c r="R237" s="599"/>
      <c r="S237" s="599"/>
      <c r="T237" s="599"/>
    </row>
    <row r="238" spans="1:20" ht="11.25" customHeight="1">
      <c r="A238" s="599"/>
      <c r="B238" s="599"/>
      <c r="C238" s="599"/>
      <c r="D238" s="599"/>
      <c r="E238" s="599"/>
      <c r="F238" s="599"/>
      <c r="G238" s="600"/>
      <c r="H238" s="599"/>
      <c r="I238" s="599"/>
      <c r="J238" s="599"/>
      <c r="K238" s="599"/>
      <c r="L238" s="599"/>
      <c r="M238" s="599"/>
      <c r="N238" s="599"/>
      <c r="O238" s="599"/>
      <c r="P238" s="599"/>
      <c r="Q238" s="599"/>
      <c r="R238" s="599"/>
      <c r="S238" s="599"/>
      <c r="T238" s="599"/>
    </row>
    <row r="239" spans="1:20" ht="11.25" customHeight="1">
      <c r="A239" s="599"/>
      <c r="B239" s="599"/>
      <c r="C239" s="599"/>
      <c r="D239" s="599"/>
      <c r="E239" s="599"/>
      <c r="F239" s="599"/>
      <c r="G239" s="600"/>
      <c r="H239" s="599"/>
      <c r="I239" s="599"/>
      <c r="J239" s="599"/>
      <c r="K239" s="599"/>
      <c r="L239" s="599"/>
      <c r="M239" s="599"/>
      <c r="N239" s="599"/>
      <c r="O239" s="599"/>
      <c r="P239" s="599"/>
      <c r="Q239" s="599"/>
      <c r="R239" s="599"/>
      <c r="S239" s="599"/>
      <c r="T239" s="599"/>
    </row>
    <row r="240" spans="1:20" ht="11.25" customHeight="1">
      <c r="A240" s="599"/>
      <c r="B240" s="599"/>
      <c r="C240" s="599"/>
      <c r="D240" s="599"/>
      <c r="E240" s="599"/>
      <c r="F240" s="599"/>
      <c r="G240" s="600"/>
      <c r="H240" s="599"/>
      <c r="I240" s="599"/>
      <c r="J240" s="599"/>
      <c r="K240" s="599"/>
      <c r="L240" s="599"/>
      <c r="M240" s="599"/>
      <c r="N240" s="599"/>
      <c r="O240" s="599"/>
      <c r="P240" s="599"/>
      <c r="Q240" s="599"/>
      <c r="R240" s="599"/>
      <c r="S240" s="599"/>
      <c r="T240" s="599"/>
    </row>
    <row r="241" spans="1:20" ht="11.25" customHeight="1">
      <c r="A241" s="599"/>
      <c r="B241" s="599"/>
      <c r="C241" s="599"/>
      <c r="D241" s="599"/>
      <c r="E241" s="599"/>
      <c r="F241" s="599"/>
      <c r="G241" s="600"/>
      <c r="H241" s="599"/>
      <c r="I241" s="599"/>
      <c r="J241" s="599"/>
      <c r="K241" s="599"/>
      <c r="L241" s="599"/>
      <c r="M241" s="599"/>
      <c r="N241" s="599"/>
      <c r="O241" s="599"/>
      <c r="P241" s="599"/>
      <c r="Q241" s="599"/>
      <c r="R241" s="599"/>
      <c r="S241" s="599"/>
      <c r="T241" s="599"/>
    </row>
    <row r="242" spans="1:20" ht="11.25" customHeight="1">
      <c r="A242" s="599"/>
      <c r="B242" s="599"/>
      <c r="C242" s="599"/>
      <c r="D242" s="599"/>
      <c r="E242" s="599"/>
      <c r="F242" s="599"/>
      <c r="G242" s="600"/>
      <c r="H242" s="599"/>
      <c r="I242" s="599"/>
      <c r="J242" s="599"/>
      <c r="K242" s="599"/>
      <c r="L242" s="599"/>
      <c r="M242" s="599"/>
      <c r="N242" s="599"/>
      <c r="O242" s="599"/>
      <c r="P242" s="599"/>
      <c r="Q242" s="599"/>
      <c r="R242" s="599"/>
      <c r="S242" s="599"/>
      <c r="T242" s="599"/>
    </row>
    <row r="243" spans="1:20" ht="11.25" customHeight="1">
      <c r="A243" s="599"/>
      <c r="B243" s="599"/>
      <c r="C243" s="599"/>
      <c r="D243" s="599"/>
      <c r="E243" s="599"/>
      <c r="F243" s="599"/>
      <c r="G243" s="600"/>
      <c r="H243" s="599"/>
      <c r="I243" s="599"/>
      <c r="J243" s="599"/>
      <c r="K243" s="599"/>
      <c r="L243" s="599"/>
      <c r="M243" s="599"/>
      <c r="N243" s="599"/>
      <c r="O243" s="599"/>
      <c r="P243" s="599"/>
      <c r="Q243" s="599"/>
      <c r="R243" s="599"/>
      <c r="S243" s="599"/>
      <c r="T243" s="599"/>
    </row>
    <row r="244" spans="1:20" ht="11.25" customHeight="1">
      <c r="A244" s="599"/>
      <c r="B244" s="599"/>
      <c r="C244" s="599"/>
      <c r="D244" s="599"/>
      <c r="E244" s="599"/>
      <c r="F244" s="599"/>
      <c r="G244" s="600"/>
      <c r="H244" s="599"/>
      <c r="I244" s="599"/>
      <c r="J244" s="599"/>
      <c r="K244" s="599"/>
      <c r="L244" s="599"/>
      <c r="M244" s="599"/>
      <c r="N244" s="599"/>
      <c r="O244" s="599"/>
      <c r="P244" s="599"/>
      <c r="Q244" s="599"/>
      <c r="R244" s="599"/>
      <c r="S244" s="599"/>
      <c r="T244" s="599"/>
    </row>
    <row r="245" spans="1:20" ht="11.25" customHeight="1">
      <c r="A245" s="599"/>
      <c r="B245" s="599"/>
      <c r="C245" s="599"/>
      <c r="D245" s="599"/>
      <c r="E245" s="599"/>
      <c r="F245" s="599"/>
      <c r="G245" s="600"/>
      <c r="H245" s="599"/>
      <c r="I245" s="599"/>
      <c r="J245" s="599"/>
      <c r="K245" s="599"/>
      <c r="L245" s="599"/>
      <c r="M245" s="599"/>
      <c r="N245" s="599"/>
      <c r="O245" s="599"/>
      <c r="P245" s="599"/>
      <c r="Q245" s="599"/>
      <c r="R245" s="599"/>
      <c r="S245" s="599"/>
      <c r="T245" s="599"/>
    </row>
    <row r="246" spans="1:20" ht="11.25" customHeight="1">
      <c r="A246" s="599"/>
      <c r="B246" s="599"/>
      <c r="C246" s="599"/>
      <c r="D246" s="599"/>
      <c r="E246" s="599"/>
      <c r="F246" s="599"/>
      <c r="G246" s="600"/>
      <c r="H246" s="599"/>
      <c r="I246" s="599"/>
      <c r="J246" s="599"/>
      <c r="K246" s="599"/>
      <c r="L246" s="599"/>
      <c r="M246" s="599"/>
      <c r="N246" s="599"/>
      <c r="O246" s="599"/>
      <c r="P246" s="599"/>
      <c r="Q246" s="599"/>
      <c r="R246" s="599"/>
      <c r="S246" s="599"/>
      <c r="T246" s="599"/>
    </row>
    <row r="247" spans="1:20" ht="11.25" customHeight="1">
      <c r="A247" s="599"/>
      <c r="B247" s="599"/>
      <c r="C247" s="599"/>
      <c r="D247" s="599"/>
      <c r="E247" s="599"/>
      <c r="F247" s="599"/>
      <c r="G247" s="600"/>
      <c r="H247" s="599"/>
      <c r="I247" s="599"/>
      <c r="J247" s="599"/>
      <c r="K247" s="599"/>
      <c r="L247" s="599"/>
      <c r="M247" s="599"/>
      <c r="N247" s="599"/>
      <c r="O247" s="599"/>
      <c r="P247" s="599"/>
      <c r="Q247" s="599"/>
      <c r="R247" s="599"/>
      <c r="S247" s="599"/>
      <c r="T247" s="599"/>
    </row>
    <row r="248" spans="1:20" ht="11.25" customHeight="1">
      <c r="A248" s="599"/>
      <c r="B248" s="599"/>
      <c r="C248" s="599"/>
      <c r="D248" s="599"/>
      <c r="E248" s="599"/>
      <c r="F248" s="599"/>
      <c r="G248" s="600"/>
      <c r="H248" s="599"/>
      <c r="I248" s="599"/>
      <c r="J248" s="599"/>
      <c r="K248" s="599"/>
      <c r="L248" s="599"/>
      <c r="M248" s="599"/>
      <c r="N248" s="599"/>
      <c r="O248" s="599"/>
      <c r="P248" s="599"/>
      <c r="Q248" s="599"/>
      <c r="R248" s="599"/>
      <c r="S248" s="599"/>
      <c r="T248" s="599"/>
    </row>
    <row r="249" spans="1:20" ht="11.25" customHeight="1">
      <c r="A249" s="599"/>
      <c r="B249" s="599"/>
      <c r="C249" s="599"/>
      <c r="D249" s="599"/>
      <c r="E249" s="599"/>
      <c r="F249" s="599"/>
      <c r="G249" s="600"/>
      <c r="H249" s="599"/>
      <c r="I249" s="599"/>
      <c r="J249" s="599"/>
      <c r="K249" s="599"/>
      <c r="L249" s="599"/>
      <c r="M249" s="599"/>
      <c r="N249" s="599"/>
      <c r="O249" s="599"/>
      <c r="P249" s="599"/>
      <c r="Q249" s="599"/>
      <c r="R249" s="599"/>
      <c r="S249" s="599"/>
      <c r="T249" s="599"/>
    </row>
    <row r="250" spans="1:20" ht="11.25" customHeight="1">
      <c r="A250" s="599"/>
      <c r="B250" s="599"/>
      <c r="C250" s="599"/>
      <c r="D250" s="599"/>
      <c r="E250" s="599"/>
      <c r="F250" s="599"/>
      <c r="G250" s="600"/>
      <c r="H250" s="599"/>
      <c r="I250" s="599"/>
      <c r="J250" s="599"/>
      <c r="K250" s="599"/>
      <c r="L250" s="599"/>
      <c r="M250" s="599"/>
      <c r="N250" s="599"/>
      <c r="O250" s="599"/>
      <c r="P250" s="599"/>
      <c r="Q250" s="599"/>
      <c r="R250" s="599"/>
      <c r="S250" s="599"/>
      <c r="T250" s="599"/>
    </row>
    <row r="251" spans="1:20" ht="11.25" customHeight="1">
      <c r="A251" s="599"/>
      <c r="B251" s="599"/>
      <c r="C251" s="599"/>
      <c r="D251" s="599"/>
      <c r="E251" s="599"/>
      <c r="F251" s="599"/>
      <c r="G251" s="600"/>
      <c r="H251" s="599"/>
      <c r="I251" s="599"/>
      <c r="J251" s="599"/>
      <c r="K251" s="599"/>
      <c r="L251" s="599"/>
      <c r="M251" s="599"/>
      <c r="N251" s="599"/>
      <c r="O251" s="599"/>
      <c r="P251" s="599"/>
      <c r="Q251" s="599"/>
      <c r="R251" s="599"/>
      <c r="S251" s="599"/>
      <c r="T251" s="599"/>
    </row>
    <row r="252" spans="1:20" ht="11.25" customHeight="1">
      <c r="A252" s="599"/>
      <c r="B252" s="599"/>
      <c r="C252" s="599"/>
      <c r="D252" s="599"/>
      <c r="E252" s="599"/>
      <c r="F252" s="599"/>
      <c r="G252" s="600"/>
      <c r="H252" s="599"/>
      <c r="I252" s="599"/>
      <c r="J252" s="599"/>
      <c r="K252" s="599"/>
      <c r="L252" s="599"/>
      <c r="M252" s="599"/>
      <c r="N252" s="599"/>
      <c r="O252" s="599"/>
      <c r="P252" s="599"/>
      <c r="Q252" s="599"/>
      <c r="R252" s="599"/>
      <c r="S252" s="599"/>
      <c r="T252" s="599"/>
    </row>
    <row r="253" spans="1:20" ht="11.25" customHeight="1">
      <c r="A253" s="599"/>
      <c r="B253" s="599"/>
      <c r="C253" s="599"/>
      <c r="D253" s="599"/>
      <c r="E253" s="599"/>
      <c r="F253" s="599"/>
      <c r="G253" s="600"/>
      <c r="H253" s="599"/>
      <c r="I253" s="599"/>
      <c r="J253" s="599"/>
      <c r="K253" s="599"/>
      <c r="L253" s="599"/>
      <c r="M253" s="599"/>
      <c r="N253" s="599"/>
      <c r="O253" s="599"/>
      <c r="P253" s="599"/>
      <c r="Q253" s="599"/>
      <c r="R253" s="599"/>
      <c r="S253" s="599"/>
      <c r="T253" s="599"/>
    </row>
    <row r="254" spans="1:20" ht="11.25" customHeight="1">
      <c r="A254" s="599"/>
      <c r="B254" s="599"/>
      <c r="C254" s="599"/>
      <c r="D254" s="599"/>
      <c r="E254" s="599"/>
      <c r="F254" s="599"/>
      <c r="G254" s="600"/>
      <c r="H254" s="599"/>
      <c r="I254" s="599"/>
      <c r="J254" s="599"/>
      <c r="K254" s="599"/>
      <c r="L254" s="599"/>
      <c r="M254" s="599"/>
      <c r="N254" s="599"/>
      <c r="O254" s="599"/>
      <c r="P254" s="599"/>
      <c r="Q254" s="599"/>
      <c r="R254" s="599"/>
      <c r="S254" s="599"/>
      <c r="T254" s="599"/>
    </row>
    <row r="255" spans="1:20" ht="11.25" customHeight="1">
      <c r="A255" s="599"/>
      <c r="B255" s="599"/>
      <c r="C255" s="599"/>
      <c r="D255" s="599"/>
      <c r="E255" s="599"/>
      <c r="F255" s="599"/>
      <c r="G255" s="600"/>
      <c r="H255" s="599"/>
      <c r="I255" s="599"/>
      <c r="J255" s="599"/>
      <c r="K255" s="599"/>
      <c r="L255" s="599"/>
      <c r="M255" s="599"/>
      <c r="N255" s="599"/>
      <c r="O255" s="599"/>
      <c r="P255" s="599"/>
      <c r="Q255" s="599"/>
      <c r="R255" s="599"/>
      <c r="S255" s="599"/>
      <c r="T255" s="599"/>
    </row>
    <row r="256" spans="1:20" ht="11.25" customHeight="1">
      <c r="A256" s="599"/>
      <c r="B256" s="599"/>
      <c r="C256" s="599"/>
      <c r="D256" s="599"/>
      <c r="E256" s="599"/>
      <c r="F256" s="599"/>
      <c r="G256" s="600"/>
      <c r="H256" s="599"/>
      <c r="I256" s="599"/>
      <c r="J256" s="599"/>
      <c r="K256" s="599"/>
      <c r="L256" s="599"/>
      <c r="M256" s="599"/>
      <c r="N256" s="599"/>
      <c r="O256" s="599"/>
      <c r="P256" s="599"/>
      <c r="Q256" s="599"/>
      <c r="R256" s="599"/>
      <c r="S256" s="599"/>
      <c r="T256" s="599"/>
    </row>
    <row r="257" spans="1:20" ht="11.25" customHeight="1">
      <c r="A257" s="599"/>
      <c r="B257" s="599"/>
      <c r="C257" s="599"/>
      <c r="D257" s="599"/>
      <c r="E257" s="599"/>
      <c r="F257" s="599"/>
      <c r="G257" s="600"/>
      <c r="H257" s="599"/>
      <c r="I257" s="599"/>
      <c r="J257" s="599"/>
      <c r="K257" s="599"/>
      <c r="L257" s="599"/>
      <c r="M257" s="599"/>
      <c r="N257" s="599"/>
      <c r="O257" s="599"/>
      <c r="P257" s="599"/>
      <c r="Q257" s="599"/>
      <c r="R257" s="599"/>
      <c r="S257" s="599"/>
      <c r="T257" s="599"/>
    </row>
    <row r="258" spans="1:20" ht="11.25" customHeight="1">
      <c r="A258" s="599"/>
      <c r="B258" s="599"/>
      <c r="C258" s="599"/>
      <c r="D258" s="599"/>
      <c r="E258" s="599"/>
      <c r="F258" s="599"/>
      <c r="G258" s="600"/>
      <c r="H258" s="599"/>
      <c r="I258" s="599"/>
      <c r="J258" s="599"/>
      <c r="K258" s="599"/>
      <c r="L258" s="599"/>
      <c r="M258" s="599"/>
      <c r="N258" s="599"/>
      <c r="O258" s="599"/>
      <c r="P258" s="599"/>
      <c r="Q258" s="599"/>
      <c r="R258" s="599"/>
      <c r="S258" s="599"/>
      <c r="T258" s="599"/>
    </row>
    <row r="259" spans="1:20" ht="11.25" customHeight="1">
      <c r="A259" s="599"/>
      <c r="B259" s="599"/>
      <c r="C259" s="599"/>
      <c r="D259" s="599"/>
      <c r="E259" s="599"/>
      <c r="F259" s="599"/>
      <c r="G259" s="600"/>
      <c r="H259" s="599"/>
      <c r="I259" s="599"/>
      <c r="J259" s="599"/>
      <c r="K259" s="599"/>
      <c r="L259" s="599"/>
      <c r="M259" s="599"/>
      <c r="N259" s="599"/>
      <c r="O259" s="599"/>
      <c r="P259" s="599"/>
      <c r="Q259" s="599"/>
      <c r="R259" s="599"/>
      <c r="S259" s="599"/>
      <c r="T259" s="599"/>
    </row>
    <row r="260" spans="1:20" ht="11.25" customHeight="1">
      <c r="A260" s="599"/>
      <c r="B260" s="599"/>
      <c r="C260" s="599"/>
      <c r="D260" s="599"/>
      <c r="E260" s="599"/>
      <c r="F260" s="599"/>
      <c r="G260" s="600"/>
      <c r="H260" s="599"/>
      <c r="I260" s="599"/>
      <c r="J260" s="599"/>
      <c r="K260" s="599"/>
      <c r="L260" s="599"/>
      <c r="M260" s="599"/>
      <c r="N260" s="599"/>
      <c r="O260" s="599"/>
      <c r="P260" s="599"/>
      <c r="Q260" s="599"/>
      <c r="R260" s="599"/>
      <c r="S260" s="599"/>
      <c r="T260" s="599"/>
    </row>
    <row r="261" spans="1:20" ht="11.25" customHeight="1">
      <c r="A261" s="599"/>
      <c r="B261" s="599"/>
      <c r="C261" s="599"/>
      <c r="D261" s="599"/>
      <c r="E261" s="599"/>
      <c r="F261" s="599"/>
      <c r="G261" s="600"/>
      <c r="H261" s="599"/>
      <c r="I261" s="599"/>
      <c r="J261" s="599"/>
      <c r="K261" s="599"/>
      <c r="L261" s="599"/>
      <c r="M261" s="599"/>
      <c r="N261" s="599"/>
      <c r="O261" s="599"/>
      <c r="P261" s="599"/>
      <c r="Q261" s="599"/>
      <c r="R261" s="599"/>
      <c r="S261" s="599"/>
      <c r="T261" s="599"/>
    </row>
    <row r="262" spans="1:20" ht="11.25" customHeight="1">
      <c r="A262" s="599"/>
      <c r="B262" s="599"/>
      <c r="C262" s="599"/>
      <c r="D262" s="599"/>
      <c r="E262" s="599"/>
      <c r="F262" s="599"/>
      <c r="G262" s="600"/>
      <c r="H262" s="599"/>
      <c r="I262" s="599"/>
      <c r="J262" s="599"/>
      <c r="K262" s="599"/>
      <c r="L262" s="599"/>
      <c r="M262" s="599"/>
      <c r="N262" s="599"/>
      <c r="O262" s="599"/>
      <c r="P262" s="599"/>
      <c r="Q262" s="599"/>
      <c r="R262" s="599"/>
      <c r="S262" s="599"/>
      <c r="T262" s="599"/>
    </row>
    <row r="263" spans="1:20" ht="11.25" customHeight="1">
      <c r="A263" s="599"/>
      <c r="B263" s="599"/>
      <c r="C263" s="599"/>
      <c r="D263" s="599"/>
      <c r="E263" s="599"/>
      <c r="F263" s="599"/>
      <c r="G263" s="600"/>
      <c r="H263" s="599"/>
      <c r="I263" s="599"/>
      <c r="J263" s="599"/>
      <c r="K263" s="599"/>
      <c r="L263" s="599"/>
      <c r="M263" s="599"/>
      <c r="N263" s="599"/>
      <c r="O263" s="599"/>
      <c r="P263" s="599"/>
      <c r="Q263" s="599"/>
      <c r="R263" s="599"/>
      <c r="S263" s="599"/>
      <c r="T263" s="599"/>
    </row>
    <row r="264" spans="1:20" ht="11.25" customHeight="1">
      <c r="A264" s="599"/>
      <c r="B264" s="599"/>
      <c r="C264" s="599"/>
      <c r="D264" s="599"/>
      <c r="E264" s="599"/>
      <c r="F264" s="599"/>
      <c r="G264" s="600"/>
      <c r="H264" s="599"/>
      <c r="I264" s="599"/>
      <c r="J264" s="599"/>
      <c r="K264" s="599"/>
      <c r="L264" s="599"/>
      <c r="M264" s="599"/>
      <c r="N264" s="599"/>
      <c r="O264" s="599"/>
      <c r="P264" s="599"/>
      <c r="Q264" s="599"/>
      <c r="R264" s="599"/>
      <c r="S264" s="599"/>
      <c r="T264" s="599"/>
    </row>
    <row r="265" spans="1:20" ht="11.25" customHeight="1">
      <c r="A265" s="599"/>
      <c r="B265" s="599"/>
      <c r="C265" s="599"/>
      <c r="D265" s="599"/>
      <c r="E265" s="599"/>
      <c r="F265" s="599"/>
      <c r="G265" s="600"/>
      <c r="H265" s="599"/>
      <c r="I265" s="599"/>
      <c r="J265" s="599"/>
      <c r="K265" s="599"/>
      <c r="L265" s="599"/>
      <c r="M265" s="599"/>
      <c r="N265" s="599"/>
      <c r="O265" s="599"/>
      <c r="P265" s="599"/>
      <c r="Q265" s="599"/>
      <c r="R265" s="599"/>
      <c r="S265" s="599"/>
      <c r="T265" s="599"/>
    </row>
    <row r="266" spans="1:20" ht="11.25" customHeight="1">
      <c r="A266" s="599"/>
      <c r="B266" s="599"/>
      <c r="C266" s="599"/>
      <c r="D266" s="599"/>
      <c r="E266" s="599"/>
      <c r="F266" s="599"/>
      <c r="G266" s="600"/>
      <c r="H266" s="599"/>
      <c r="I266" s="599"/>
      <c r="J266" s="599"/>
      <c r="K266" s="599"/>
      <c r="L266" s="599"/>
      <c r="M266" s="599"/>
      <c r="N266" s="599"/>
      <c r="O266" s="599"/>
      <c r="P266" s="599"/>
      <c r="Q266" s="599"/>
      <c r="R266" s="599"/>
      <c r="S266" s="599"/>
      <c r="T266" s="599"/>
    </row>
    <row r="267" spans="1:20" ht="11.25" customHeight="1">
      <c r="A267" s="599"/>
      <c r="B267" s="599"/>
      <c r="C267" s="599"/>
      <c r="D267" s="599"/>
      <c r="E267" s="599"/>
      <c r="F267" s="599"/>
      <c r="G267" s="600"/>
      <c r="H267" s="599"/>
      <c r="I267" s="599"/>
      <c r="J267" s="599"/>
      <c r="K267" s="599"/>
      <c r="L267" s="599"/>
      <c r="M267" s="599"/>
      <c r="N267" s="599"/>
      <c r="O267" s="599"/>
      <c r="P267" s="599"/>
      <c r="Q267" s="599"/>
      <c r="R267" s="599"/>
      <c r="S267" s="599"/>
      <c r="T267" s="599"/>
    </row>
    <row r="268" spans="1:20" ht="11.25" customHeight="1">
      <c r="A268" s="599"/>
      <c r="B268" s="599"/>
      <c r="C268" s="599"/>
      <c r="D268" s="599"/>
      <c r="E268" s="599"/>
      <c r="F268" s="599"/>
      <c r="G268" s="600"/>
      <c r="H268" s="599"/>
      <c r="I268" s="599"/>
      <c r="J268" s="599"/>
      <c r="K268" s="599"/>
      <c r="L268" s="599"/>
      <c r="M268" s="599"/>
      <c r="N268" s="599"/>
      <c r="O268" s="599"/>
      <c r="P268" s="599"/>
      <c r="Q268" s="599"/>
      <c r="R268" s="599"/>
      <c r="S268" s="599"/>
      <c r="T268" s="599"/>
    </row>
    <row r="269" spans="1:20" ht="11.25" customHeight="1">
      <c r="A269" s="599"/>
      <c r="B269" s="599"/>
      <c r="C269" s="599"/>
      <c r="D269" s="599"/>
      <c r="E269" s="599"/>
      <c r="F269" s="599"/>
      <c r="G269" s="600"/>
      <c r="H269" s="599"/>
      <c r="I269" s="599"/>
      <c r="J269" s="599"/>
      <c r="K269" s="599"/>
      <c r="L269" s="599"/>
      <c r="M269" s="599"/>
      <c r="N269" s="599"/>
      <c r="O269" s="599"/>
      <c r="P269" s="599"/>
      <c r="Q269" s="599"/>
      <c r="R269" s="599"/>
      <c r="S269" s="599"/>
      <c r="T269" s="599"/>
    </row>
    <row r="270" spans="1:20" ht="11.25" customHeight="1">
      <c r="A270" s="599"/>
      <c r="B270" s="599"/>
      <c r="C270" s="599"/>
      <c r="D270" s="599"/>
      <c r="E270" s="599"/>
      <c r="F270" s="599"/>
      <c r="G270" s="600"/>
      <c r="H270" s="599"/>
      <c r="I270" s="599"/>
      <c r="J270" s="599"/>
      <c r="K270" s="599"/>
      <c r="L270" s="599"/>
      <c r="M270" s="599"/>
      <c r="N270" s="599"/>
      <c r="O270" s="599"/>
      <c r="P270" s="599"/>
      <c r="Q270" s="599"/>
      <c r="R270" s="599"/>
      <c r="S270" s="599"/>
      <c r="T270" s="599"/>
    </row>
    <row r="271" spans="1:20" ht="11.25" customHeight="1">
      <c r="A271" s="599"/>
      <c r="B271" s="599"/>
      <c r="C271" s="599"/>
      <c r="D271" s="599"/>
      <c r="E271" s="599"/>
      <c r="F271" s="599"/>
      <c r="G271" s="600"/>
      <c r="H271" s="599"/>
      <c r="I271" s="599"/>
      <c r="J271" s="599"/>
      <c r="K271" s="599"/>
      <c r="L271" s="599"/>
      <c r="M271" s="599"/>
      <c r="N271" s="599"/>
      <c r="O271" s="599"/>
      <c r="P271" s="599"/>
      <c r="Q271" s="599"/>
      <c r="R271" s="599"/>
      <c r="S271" s="599"/>
      <c r="T271" s="599"/>
    </row>
    <row r="272" spans="1:20" ht="11.25" customHeight="1">
      <c r="A272" s="599"/>
      <c r="B272" s="599"/>
      <c r="C272" s="599"/>
      <c r="D272" s="599"/>
      <c r="E272" s="599"/>
      <c r="F272" s="599"/>
      <c r="G272" s="600"/>
      <c r="H272" s="599"/>
      <c r="I272" s="599"/>
      <c r="J272" s="599"/>
      <c r="K272" s="599"/>
      <c r="L272" s="599"/>
      <c r="M272" s="599"/>
      <c r="N272" s="599"/>
      <c r="O272" s="599"/>
      <c r="P272" s="599"/>
      <c r="Q272" s="599"/>
      <c r="R272" s="599"/>
      <c r="S272" s="599"/>
      <c r="T272" s="599"/>
    </row>
    <row r="273" spans="1:20" ht="11.25" customHeight="1">
      <c r="A273" s="599"/>
      <c r="B273" s="599"/>
      <c r="C273" s="599"/>
      <c r="D273" s="599"/>
      <c r="E273" s="599"/>
      <c r="F273" s="599"/>
      <c r="G273" s="600"/>
      <c r="H273" s="599"/>
      <c r="I273" s="599"/>
      <c r="J273" s="599"/>
      <c r="K273" s="599"/>
      <c r="L273" s="599"/>
      <c r="M273" s="599"/>
      <c r="N273" s="599"/>
      <c r="O273" s="599"/>
      <c r="P273" s="599"/>
      <c r="Q273" s="599"/>
      <c r="R273" s="599"/>
      <c r="S273" s="599"/>
      <c r="T273" s="599"/>
    </row>
    <row r="274" spans="1:20" ht="11.25" customHeight="1">
      <c r="A274" s="599"/>
      <c r="B274" s="599"/>
      <c r="C274" s="599"/>
      <c r="D274" s="599"/>
      <c r="E274" s="599"/>
      <c r="F274" s="599"/>
      <c r="G274" s="600"/>
      <c r="H274" s="599"/>
      <c r="I274" s="599"/>
      <c r="J274" s="599"/>
      <c r="K274" s="599"/>
      <c r="L274" s="599"/>
      <c r="M274" s="599"/>
      <c r="N274" s="599"/>
      <c r="O274" s="599"/>
      <c r="P274" s="599"/>
      <c r="Q274" s="599"/>
      <c r="R274" s="599"/>
      <c r="S274" s="599"/>
      <c r="T274" s="599"/>
    </row>
    <row r="275" spans="1:20" ht="11.25" customHeight="1">
      <c r="A275" s="599"/>
      <c r="B275" s="599"/>
      <c r="C275" s="599"/>
      <c r="D275" s="599"/>
      <c r="E275" s="599"/>
      <c r="F275" s="599"/>
      <c r="G275" s="600"/>
      <c r="H275" s="599"/>
      <c r="I275" s="599"/>
      <c r="J275" s="599"/>
      <c r="K275" s="599"/>
      <c r="L275" s="599"/>
      <c r="M275" s="599"/>
      <c r="N275" s="599"/>
      <c r="O275" s="599"/>
      <c r="P275" s="599"/>
      <c r="Q275" s="599"/>
      <c r="R275" s="599"/>
      <c r="S275" s="599"/>
      <c r="T275" s="599"/>
    </row>
    <row r="276" spans="1:20" ht="11.25" customHeight="1">
      <c r="A276" s="599"/>
      <c r="B276" s="599"/>
      <c r="C276" s="599"/>
      <c r="D276" s="599"/>
      <c r="E276" s="599"/>
      <c r="F276" s="599"/>
      <c r="G276" s="600"/>
      <c r="H276" s="599"/>
      <c r="I276" s="599"/>
      <c r="J276" s="599"/>
      <c r="K276" s="599"/>
      <c r="L276" s="599"/>
      <c r="M276" s="599"/>
      <c r="N276" s="599"/>
      <c r="O276" s="599"/>
      <c r="P276" s="599"/>
      <c r="Q276" s="599"/>
      <c r="R276" s="599"/>
      <c r="S276" s="599"/>
      <c r="T276" s="599"/>
    </row>
    <row r="277" spans="1:20" ht="11.25" customHeight="1">
      <c r="A277" s="599"/>
      <c r="B277" s="599"/>
      <c r="C277" s="599"/>
      <c r="D277" s="599"/>
      <c r="E277" s="599"/>
      <c r="F277" s="599"/>
      <c r="G277" s="600"/>
      <c r="H277" s="599"/>
      <c r="I277" s="599"/>
      <c r="J277" s="599"/>
      <c r="K277" s="599"/>
      <c r="L277" s="599"/>
      <c r="M277" s="599"/>
      <c r="N277" s="599"/>
      <c r="O277" s="599"/>
      <c r="P277" s="599"/>
      <c r="Q277" s="599"/>
      <c r="R277" s="599"/>
      <c r="S277" s="599"/>
      <c r="T277" s="599"/>
    </row>
    <row r="278" spans="1:20" ht="11.25" customHeight="1">
      <c r="A278" s="599"/>
      <c r="B278" s="599"/>
      <c r="C278" s="599"/>
      <c r="D278" s="599"/>
      <c r="E278" s="599"/>
      <c r="F278" s="599"/>
      <c r="G278" s="600"/>
      <c r="H278" s="599"/>
      <c r="I278" s="599"/>
      <c r="J278" s="599"/>
      <c r="K278" s="599"/>
      <c r="L278" s="599"/>
      <c r="M278" s="599"/>
      <c r="N278" s="599"/>
      <c r="O278" s="599"/>
      <c r="P278" s="599"/>
      <c r="Q278" s="599"/>
      <c r="R278" s="599"/>
      <c r="S278" s="599"/>
      <c r="T278" s="599"/>
    </row>
    <row r="279" spans="1:20" ht="11.25" customHeight="1">
      <c r="A279" s="599"/>
      <c r="B279" s="599"/>
      <c r="C279" s="599"/>
      <c r="D279" s="599"/>
      <c r="E279" s="599"/>
      <c r="F279" s="599"/>
      <c r="G279" s="600"/>
      <c r="H279" s="599"/>
      <c r="I279" s="599"/>
      <c r="J279" s="599"/>
      <c r="K279" s="599"/>
      <c r="L279" s="599"/>
      <c r="M279" s="599"/>
      <c r="N279" s="599"/>
      <c r="O279" s="599"/>
      <c r="P279" s="599"/>
      <c r="Q279" s="599"/>
      <c r="R279" s="599"/>
      <c r="S279" s="599"/>
      <c r="T279" s="599"/>
    </row>
    <row r="280" spans="1:20" ht="11.25" customHeight="1">
      <c r="A280" s="599"/>
      <c r="B280" s="599"/>
      <c r="C280" s="599"/>
      <c r="D280" s="599"/>
      <c r="E280" s="599"/>
      <c r="F280" s="599"/>
      <c r="G280" s="600"/>
      <c r="H280" s="599"/>
      <c r="I280" s="599"/>
      <c r="J280" s="599"/>
      <c r="K280" s="599"/>
      <c r="L280" s="599"/>
      <c r="M280" s="599"/>
      <c r="N280" s="599"/>
      <c r="O280" s="599"/>
      <c r="P280" s="599"/>
      <c r="Q280" s="599"/>
      <c r="R280" s="599"/>
      <c r="S280" s="599"/>
      <c r="T280" s="599"/>
    </row>
    <row r="281" spans="1:20" ht="11.25" customHeight="1">
      <c r="A281" s="599"/>
      <c r="B281" s="599"/>
      <c r="C281" s="599"/>
      <c r="D281" s="599"/>
      <c r="E281" s="599"/>
      <c r="F281" s="599"/>
      <c r="G281" s="600"/>
      <c r="H281" s="599"/>
      <c r="I281" s="599"/>
      <c r="J281" s="599"/>
      <c r="K281" s="599"/>
      <c r="L281" s="599"/>
      <c r="M281" s="599"/>
      <c r="N281" s="599"/>
      <c r="O281" s="599"/>
      <c r="P281" s="599"/>
      <c r="Q281" s="599"/>
      <c r="R281" s="599"/>
      <c r="S281" s="599"/>
      <c r="T281" s="599"/>
    </row>
    <row r="282" spans="1:20" ht="11.25" customHeight="1">
      <c r="A282" s="599"/>
      <c r="B282" s="599"/>
      <c r="C282" s="599"/>
      <c r="D282" s="599"/>
      <c r="E282" s="599"/>
      <c r="F282" s="599"/>
      <c r="G282" s="600"/>
      <c r="H282" s="599"/>
      <c r="I282" s="599"/>
      <c r="J282" s="599"/>
      <c r="K282" s="599"/>
      <c r="L282" s="599"/>
      <c r="M282" s="599"/>
      <c r="N282" s="599"/>
      <c r="O282" s="599"/>
      <c r="P282" s="599"/>
      <c r="Q282" s="599"/>
      <c r="R282" s="599"/>
      <c r="S282" s="599"/>
      <c r="T282" s="599"/>
    </row>
    <row r="283" spans="1:20" ht="11.25" customHeight="1">
      <c r="A283" s="599"/>
      <c r="B283" s="599"/>
      <c r="C283" s="599"/>
      <c r="D283" s="599"/>
      <c r="E283" s="599"/>
      <c r="F283" s="599"/>
      <c r="G283" s="600"/>
      <c r="H283" s="599"/>
      <c r="I283" s="599"/>
      <c r="J283" s="599"/>
      <c r="K283" s="599"/>
      <c r="L283" s="599"/>
      <c r="M283" s="599"/>
      <c r="N283" s="599"/>
      <c r="O283" s="599"/>
      <c r="P283" s="599"/>
      <c r="Q283" s="599"/>
      <c r="R283" s="599"/>
      <c r="S283" s="599"/>
      <c r="T283" s="599"/>
    </row>
    <row r="284" spans="1:20" ht="11.25" customHeight="1">
      <c r="A284" s="599"/>
      <c r="B284" s="599"/>
      <c r="C284" s="599"/>
      <c r="D284" s="599"/>
      <c r="E284" s="599"/>
      <c r="F284" s="599"/>
      <c r="G284" s="600"/>
      <c r="H284" s="599"/>
      <c r="I284" s="599"/>
      <c r="J284" s="599"/>
      <c r="K284" s="599"/>
      <c r="L284" s="599"/>
      <c r="M284" s="599"/>
      <c r="N284" s="599"/>
      <c r="O284" s="599"/>
      <c r="P284" s="599"/>
      <c r="Q284" s="599"/>
      <c r="R284" s="599"/>
      <c r="S284" s="599"/>
      <c r="T284" s="599"/>
    </row>
    <row r="285" spans="1:20" ht="11.25" customHeight="1">
      <c r="A285" s="599"/>
      <c r="B285" s="599"/>
      <c r="C285" s="599"/>
      <c r="D285" s="599"/>
      <c r="E285" s="599"/>
      <c r="F285" s="599"/>
      <c r="G285" s="600"/>
      <c r="H285" s="599"/>
      <c r="I285" s="599"/>
      <c r="J285" s="599"/>
      <c r="K285" s="599"/>
      <c r="L285" s="599"/>
      <c r="M285" s="599"/>
      <c r="N285" s="599"/>
      <c r="O285" s="599"/>
      <c r="P285" s="599"/>
      <c r="Q285" s="599"/>
      <c r="R285" s="599"/>
      <c r="S285" s="599"/>
      <c r="T285" s="599"/>
    </row>
    <row r="286" spans="1:20" ht="11.25" customHeight="1">
      <c r="A286" s="599"/>
      <c r="B286" s="599"/>
      <c r="C286" s="599"/>
      <c r="D286" s="599"/>
      <c r="E286" s="599"/>
      <c r="F286" s="599"/>
      <c r="G286" s="600"/>
      <c r="H286" s="599"/>
      <c r="I286" s="599"/>
      <c r="J286" s="599"/>
      <c r="K286" s="599"/>
      <c r="L286" s="599"/>
      <c r="M286" s="599"/>
      <c r="N286" s="599"/>
      <c r="O286" s="599"/>
      <c r="P286" s="599"/>
      <c r="Q286" s="599"/>
      <c r="R286" s="599"/>
      <c r="S286" s="599"/>
      <c r="T286" s="599"/>
    </row>
    <row r="287" spans="1:20" ht="11.25" customHeight="1">
      <c r="A287" s="599"/>
      <c r="B287" s="599"/>
      <c r="C287" s="599"/>
      <c r="D287" s="599"/>
      <c r="E287" s="599"/>
      <c r="F287" s="599"/>
      <c r="G287" s="600"/>
      <c r="H287" s="599"/>
      <c r="I287" s="599"/>
      <c r="J287" s="599"/>
      <c r="K287" s="599"/>
      <c r="L287" s="599"/>
      <c r="M287" s="599"/>
      <c r="N287" s="599"/>
      <c r="O287" s="599"/>
      <c r="P287" s="599"/>
      <c r="Q287" s="599"/>
      <c r="R287" s="599"/>
      <c r="S287" s="599"/>
      <c r="T287" s="599"/>
    </row>
    <row r="288" spans="1:20" ht="11.25" customHeight="1">
      <c r="A288" s="599"/>
      <c r="B288" s="599"/>
      <c r="C288" s="599"/>
      <c r="D288" s="599"/>
      <c r="E288" s="599"/>
      <c r="F288" s="599"/>
      <c r="G288" s="600"/>
      <c r="H288" s="599"/>
      <c r="I288" s="599"/>
      <c r="J288" s="599"/>
      <c r="K288" s="599"/>
      <c r="L288" s="599"/>
      <c r="M288" s="599"/>
      <c r="N288" s="599"/>
      <c r="O288" s="599"/>
      <c r="P288" s="599"/>
      <c r="Q288" s="599"/>
      <c r="R288" s="599"/>
      <c r="S288" s="599"/>
      <c r="T288" s="599"/>
    </row>
    <row r="289" spans="1:20" ht="11.25" customHeight="1">
      <c r="A289" s="599"/>
      <c r="B289" s="599"/>
      <c r="C289" s="599"/>
      <c r="D289" s="599"/>
      <c r="E289" s="599"/>
      <c r="F289" s="599"/>
      <c r="G289" s="600"/>
      <c r="H289" s="599"/>
      <c r="I289" s="599"/>
      <c r="J289" s="599"/>
      <c r="K289" s="599"/>
      <c r="L289" s="599"/>
      <c r="M289" s="599"/>
      <c r="N289" s="599"/>
      <c r="O289" s="599"/>
      <c r="P289" s="599"/>
      <c r="Q289" s="599"/>
      <c r="R289" s="599"/>
      <c r="S289" s="599"/>
      <c r="T289" s="599"/>
    </row>
    <row r="290" spans="1:20" ht="11.25" customHeight="1">
      <c r="A290" s="599"/>
      <c r="B290" s="599"/>
      <c r="C290" s="599"/>
      <c r="D290" s="599"/>
      <c r="E290" s="599"/>
      <c r="F290" s="599"/>
      <c r="G290" s="600"/>
      <c r="H290" s="599"/>
      <c r="I290" s="599"/>
      <c r="J290" s="599"/>
      <c r="K290" s="599"/>
      <c r="L290" s="599"/>
      <c r="M290" s="599"/>
      <c r="N290" s="599"/>
      <c r="O290" s="599"/>
      <c r="P290" s="599"/>
      <c r="Q290" s="599"/>
      <c r="R290" s="599"/>
      <c r="S290" s="599"/>
      <c r="T290" s="599"/>
    </row>
    <row r="291" spans="1:20" ht="11.25" customHeight="1">
      <c r="A291" s="599"/>
      <c r="B291" s="599"/>
      <c r="C291" s="599"/>
      <c r="D291" s="599"/>
      <c r="E291" s="599"/>
      <c r="F291" s="599"/>
      <c r="G291" s="600"/>
      <c r="H291" s="599"/>
      <c r="I291" s="599"/>
      <c r="J291" s="599"/>
      <c r="K291" s="599"/>
      <c r="L291" s="599"/>
      <c r="M291" s="599"/>
      <c r="N291" s="599"/>
      <c r="O291" s="599"/>
      <c r="P291" s="599"/>
      <c r="Q291" s="599"/>
      <c r="R291" s="599"/>
      <c r="S291" s="599"/>
      <c r="T291" s="599"/>
    </row>
    <row r="292" spans="1:20" ht="11.25" customHeight="1">
      <c r="A292" s="599"/>
      <c r="B292" s="599"/>
      <c r="C292" s="599"/>
      <c r="D292" s="599"/>
      <c r="E292" s="599"/>
      <c r="F292" s="599"/>
      <c r="G292" s="600"/>
      <c r="H292" s="599"/>
      <c r="I292" s="599"/>
      <c r="J292" s="599"/>
      <c r="K292" s="599"/>
      <c r="L292" s="599"/>
      <c r="M292" s="599"/>
      <c r="N292" s="599"/>
      <c r="O292" s="599"/>
      <c r="P292" s="599"/>
      <c r="Q292" s="599"/>
      <c r="R292" s="599"/>
      <c r="S292" s="599"/>
      <c r="T292" s="599"/>
    </row>
    <row r="293" spans="1:20" ht="11.25" customHeight="1">
      <c r="A293" s="599"/>
      <c r="B293" s="599"/>
      <c r="C293" s="599"/>
      <c r="D293" s="599"/>
      <c r="E293" s="599"/>
      <c r="F293" s="599"/>
      <c r="G293" s="600"/>
      <c r="H293" s="599"/>
      <c r="I293" s="599"/>
      <c r="J293" s="599"/>
      <c r="K293" s="599"/>
      <c r="L293" s="599"/>
      <c r="M293" s="599"/>
      <c r="N293" s="599"/>
      <c r="O293" s="599"/>
      <c r="P293" s="599"/>
      <c r="Q293" s="599"/>
      <c r="R293" s="599"/>
      <c r="S293" s="599"/>
      <c r="T293" s="599"/>
    </row>
    <row r="294" spans="1:20" ht="11.25" customHeight="1">
      <c r="A294" s="599"/>
      <c r="B294" s="599"/>
      <c r="C294" s="599"/>
      <c r="D294" s="599"/>
      <c r="E294" s="599"/>
      <c r="F294" s="599"/>
      <c r="G294" s="600"/>
      <c r="H294" s="599"/>
      <c r="I294" s="599"/>
      <c r="J294" s="599"/>
      <c r="K294" s="599"/>
      <c r="L294" s="599"/>
      <c r="M294" s="599"/>
      <c r="N294" s="599"/>
      <c r="O294" s="599"/>
      <c r="P294" s="599"/>
      <c r="Q294" s="599"/>
      <c r="R294" s="599"/>
      <c r="S294" s="599"/>
      <c r="T294" s="599"/>
    </row>
    <row r="295" spans="1:20" ht="11.25" customHeight="1">
      <c r="A295" s="599"/>
      <c r="B295" s="599"/>
      <c r="C295" s="599"/>
      <c r="D295" s="599"/>
      <c r="E295" s="599"/>
      <c r="F295" s="599"/>
      <c r="G295" s="600"/>
      <c r="H295" s="599"/>
      <c r="I295" s="599"/>
      <c r="J295" s="599"/>
      <c r="K295" s="599"/>
      <c r="L295" s="599"/>
      <c r="M295" s="599"/>
      <c r="N295" s="599"/>
      <c r="O295" s="599"/>
      <c r="P295" s="599"/>
      <c r="Q295" s="599"/>
      <c r="R295" s="599"/>
      <c r="S295" s="599"/>
      <c r="T295" s="599"/>
    </row>
    <row r="296" spans="1:20" ht="11.25" customHeight="1">
      <c r="A296" s="599"/>
      <c r="B296" s="599"/>
      <c r="C296" s="599"/>
      <c r="D296" s="599"/>
      <c r="E296" s="599"/>
      <c r="F296" s="599"/>
      <c r="G296" s="600"/>
      <c r="H296" s="599"/>
      <c r="I296" s="599"/>
      <c r="J296" s="599"/>
      <c r="K296" s="599"/>
      <c r="L296" s="599"/>
      <c r="M296" s="599"/>
      <c r="N296" s="599"/>
      <c r="O296" s="599"/>
      <c r="P296" s="599"/>
      <c r="Q296" s="599"/>
      <c r="R296" s="599"/>
      <c r="S296" s="599"/>
      <c r="T296" s="599"/>
    </row>
    <row r="297" spans="1:20" ht="11.25" customHeight="1">
      <c r="A297" s="599"/>
      <c r="B297" s="599"/>
      <c r="C297" s="599"/>
      <c r="D297" s="599"/>
      <c r="E297" s="599"/>
      <c r="F297" s="599"/>
      <c r="G297" s="600"/>
      <c r="H297" s="599"/>
      <c r="I297" s="599"/>
      <c r="J297" s="599"/>
      <c r="K297" s="599"/>
      <c r="L297" s="599"/>
      <c r="M297" s="599"/>
      <c r="N297" s="599"/>
      <c r="O297" s="599"/>
      <c r="P297" s="599"/>
      <c r="Q297" s="599"/>
      <c r="R297" s="599"/>
      <c r="S297" s="599"/>
      <c r="T297" s="599"/>
    </row>
    <row r="298" spans="1:20" ht="11.25" customHeight="1">
      <c r="A298" s="599"/>
      <c r="B298" s="599"/>
      <c r="C298" s="599"/>
      <c r="D298" s="599"/>
      <c r="E298" s="599"/>
      <c r="F298" s="599"/>
      <c r="G298" s="600"/>
      <c r="H298" s="599"/>
      <c r="I298" s="599"/>
      <c r="J298" s="599"/>
      <c r="K298" s="599"/>
      <c r="L298" s="599"/>
      <c r="M298" s="599"/>
      <c r="N298" s="599"/>
      <c r="O298" s="599"/>
      <c r="P298" s="599"/>
      <c r="Q298" s="599"/>
      <c r="R298" s="599"/>
      <c r="S298" s="599"/>
      <c r="T298" s="599"/>
    </row>
    <row r="299" spans="1:20" ht="11.25" customHeight="1">
      <c r="A299" s="599"/>
      <c r="B299" s="599"/>
      <c r="C299" s="599"/>
      <c r="D299" s="599"/>
      <c r="E299" s="599"/>
      <c r="F299" s="599"/>
      <c r="G299" s="600"/>
      <c r="H299" s="599"/>
      <c r="I299" s="599"/>
      <c r="J299" s="599"/>
      <c r="K299" s="599"/>
      <c r="L299" s="599"/>
      <c r="M299" s="599"/>
      <c r="N299" s="599"/>
      <c r="O299" s="599"/>
      <c r="P299" s="599"/>
      <c r="Q299" s="599"/>
      <c r="R299" s="599"/>
      <c r="S299" s="599"/>
      <c r="T299" s="599"/>
    </row>
    <row r="300" spans="1:20" ht="11.25" customHeight="1">
      <c r="A300" s="599"/>
      <c r="B300" s="599"/>
      <c r="C300" s="599"/>
      <c r="D300" s="599"/>
      <c r="E300" s="599"/>
      <c r="F300" s="599"/>
      <c r="G300" s="600"/>
      <c r="H300" s="599"/>
      <c r="I300" s="599"/>
      <c r="J300" s="599"/>
      <c r="K300" s="599"/>
      <c r="L300" s="599"/>
      <c r="M300" s="599"/>
      <c r="N300" s="599"/>
      <c r="O300" s="599"/>
      <c r="P300" s="599"/>
      <c r="Q300" s="599"/>
      <c r="R300" s="599"/>
      <c r="S300" s="599"/>
      <c r="T300" s="599"/>
    </row>
    <row r="301" spans="1:20" ht="11.25" customHeight="1">
      <c r="A301" s="599"/>
      <c r="B301" s="599"/>
      <c r="C301" s="599"/>
      <c r="D301" s="599"/>
      <c r="E301" s="599"/>
      <c r="F301" s="599"/>
      <c r="G301" s="600"/>
      <c r="H301" s="599"/>
      <c r="I301" s="599"/>
      <c r="J301" s="599"/>
      <c r="K301" s="599"/>
      <c r="L301" s="599"/>
      <c r="M301" s="599"/>
      <c r="N301" s="599"/>
      <c r="O301" s="599"/>
      <c r="P301" s="599"/>
      <c r="Q301" s="599"/>
      <c r="R301" s="599"/>
      <c r="S301" s="599"/>
      <c r="T301" s="599"/>
    </row>
    <row r="302" spans="1:20" ht="11.25" customHeight="1">
      <c r="A302" s="599"/>
      <c r="B302" s="599"/>
      <c r="C302" s="599"/>
      <c r="D302" s="599"/>
      <c r="E302" s="599"/>
      <c r="F302" s="599"/>
      <c r="G302" s="600"/>
      <c r="H302" s="599"/>
      <c r="I302" s="599"/>
      <c r="J302" s="599"/>
      <c r="K302" s="599"/>
      <c r="L302" s="599"/>
      <c r="M302" s="599"/>
      <c r="N302" s="599"/>
      <c r="O302" s="599"/>
      <c r="P302" s="599"/>
      <c r="Q302" s="599"/>
      <c r="R302" s="599"/>
      <c r="S302" s="599"/>
      <c r="T302" s="599"/>
    </row>
    <row r="303" spans="1:20" ht="11.25" customHeight="1">
      <c r="A303" s="599"/>
      <c r="B303" s="599"/>
      <c r="C303" s="599"/>
      <c r="D303" s="599"/>
      <c r="E303" s="599"/>
      <c r="F303" s="599"/>
      <c r="G303" s="600"/>
      <c r="H303" s="599"/>
      <c r="I303" s="599"/>
      <c r="J303" s="599"/>
      <c r="K303" s="599"/>
      <c r="L303" s="599"/>
      <c r="M303" s="599"/>
      <c r="N303" s="599"/>
      <c r="O303" s="599"/>
      <c r="P303" s="599"/>
      <c r="Q303" s="599"/>
      <c r="R303" s="599"/>
      <c r="S303" s="599"/>
      <c r="T303" s="599"/>
    </row>
    <row r="304" spans="1:20" ht="11.25" customHeight="1">
      <c r="A304" s="599"/>
      <c r="B304" s="599"/>
      <c r="C304" s="599"/>
      <c r="D304" s="599"/>
      <c r="E304" s="599"/>
      <c r="F304" s="599"/>
      <c r="G304" s="600"/>
      <c r="H304" s="599"/>
      <c r="I304" s="599"/>
      <c r="J304" s="599"/>
      <c r="K304" s="599"/>
      <c r="L304" s="599"/>
      <c r="M304" s="599"/>
      <c r="N304" s="599"/>
      <c r="O304" s="599"/>
      <c r="P304" s="599"/>
      <c r="Q304" s="599"/>
      <c r="R304" s="599"/>
      <c r="S304" s="599"/>
      <c r="T304" s="599"/>
    </row>
    <row r="305" spans="1:20" ht="11.25" customHeight="1">
      <c r="A305" s="599"/>
      <c r="B305" s="599"/>
      <c r="C305" s="599"/>
      <c r="D305" s="599"/>
      <c r="E305" s="599"/>
      <c r="F305" s="599"/>
      <c r="G305" s="600"/>
      <c r="H305" s="599"/>
      <c r="I305" s="599"/>
      <c r="J305" s="599"/>
      <c r="K305" s="599"/>
      <c r="L305" s="599"/>
      <c r="M305" s="599"/>
      <c r="N305" s="599"/>
      <c r="O305" s="599"/>
      <c r="P305" s="599"/>
      <c r="Q305" s="599"/>
      <c r="R305" s="599"/>
      <c r="S305" s="599"/>
      <c r="T305" s="599"/>
    </row>
    <row r="306" spans="1:20" ht="11.25" customHeight="1">
      <c r="A306" s="599"/>
      <c r="B306" s="599"/>
      <c r="C306" s="599"/>
      <c r="D306" s="599"/>
      <c r="E306" s="599"/>
      <c r="F306" s="599"/>
      <c r="G306" s="600"/>
      <c r="H306" s="599"/>
      <c r="I306" s="599"/>
      <c r="J306" s="599"/>
      <c r="K306" s="599"/>
      <c r="L306" s="599"/>
      <c r="M306" s="599"/>
      <c r="N306" s="599"/>
      <c r="O306" s="599"/>
      <c r="P306" s="599"/>
      <c r="Q306" s="599"/>
      <c r="R306" s="599"/>
      <c r="S306" s="599"/>
      <c r="T306" s="599"/>
    </row>
    <row r="307" spans="1:20" ht="11.25" customHeight="1">
      <c r="A307" s="599"/>
      <c r="B307" s="599"/>
      <c r="C307" s="599"/>
      <c r="D307" s="599"/>
      <c r="E307" s="599"/>
      <c r="F307" s="599"/>
      <c r="G307" s="600"/>
      <c r="H307" s="599"/>
      <c r="I307" s="599"/>
      <c r="J307" s="599"/>
      <c r="K307" s="599"/>
      <c r="L307" s="599"/>
      <c r="M307" s="599"/>
      <c r="N307" s="599"/>
      <c r="O307" s="599"/>
      <c r="P307" s="599"/>
      <c r="Q307" s="599"/>
      <c r="R307" s="599"/>
      <c r="S307" s="599"/>
      <c r="T307" s="599"/>
    </row>
    <row r="308" spans="1:20" ht="11.25" customHeight="1">
      <c r="A308" s="599"/>
      <c r="B308" s="599"/>
      <c r="C308" s="599"/>
      <c r="D308" s="599"/>
      <c r="E308" s="599"/>
      <c r="F308" s="599"/>
      <c r="G308" s="600"/>
      <c r="H308" s="599"/>
      <c r="I308" s="599"/>
      <c r="J308" s="599"/>
      <c r="K308" s="599"/>
      <c r="L308" s="599"/>
      <c r="M308" s="599"/>
      <c r="N308" s="599"/>
      <c r="O308" s="599"/>
      <c r="P308" s="599"/>
      <c r="Q308" s="599"/>
      <c r="R308" s="599"/>
      <c r="S308" s="599"/>
      <c r="T308" s="599"/>
    </row>
    <row r="309" spans="1:20" ht="11.25" customHeight="1">
      <c r="A309" s="599"/>
      <c r="B309" s="599"/>
      <c r="C309" s="599"/>
      <c r="D309" s="599"/>
      <c r="E309" s="599"/>
      <c r="F309" s="599"/>
      <c r="G309" s="600"/>
      <c r="H309" s="599"/>
      <c r="I309" s="599"/>
      <c r="J309" s="599"/>
      <c r="K309" s="599"/>
      <c r="L309" s="599"/>
      <c r="M309" s="599"/>
      <c r="N309" s="599"/>
      <c r="O309" s="599"/>
      <c r="P309" s="599"/>
      <c r="Q309" s="599"/>
      <c r="R309" s="599"/>
      <c r="S309" s="599"/>
      <c r="T309" s="599"/>
    </row>
    <row r="310" spans="1:20" ht="11.25" customHeight="1">
      <c r="A310" s="599"/>
      <c r="B310" s="599"/>
      <c r="C310" s="599"/>
      <c r="D310" s="599"/>
      <c r="E310" s="599"/>
      <c r="F310" s="599"/>
      <c r="G310" s="600"/>
      <c r="H310" s="599"/>
      <c r="I310" s="599"/>
      <c r="J310" s="599"/>
      <c r="K310" s="599"/>
      <c r="L310" s="599"/>
      <c r="M310" s="599"/>
      <c r="N310" s="599"/>
      <c r="O310" s="599"/>
      <c r="P310" s="599"/>
      <c r="Q310" s="599"/>
      <c r="R310" s="599"/>
      <c r="S310" s="599"/>
      <c r="T310" s="599"/>
    </row>
    <row r="311" spans="1:20" ht="11.25" customHeight="1">
      <c r="A311" s="599"/>
      <c r="B311" s="599"/>
      <c r="C311" s="599"/>
      <c r="D311" s="599"/>
      <c r="E311" s="599"/>
      <c r="F311" s="599"/>
      <c r="G311" s="600"/>
      <c r="H311" s="599"/>
      <c r="I311" s="599"/>
      <c r="J311" s="599"/>
      <c r="K311" s="599"/>
      <c r="L311" s="599"/>
      <c r="M311" s="599"/>
      <c r="N311" s="599"/>
      <c r="O311" s="599"/>
      <c r="P311" s="599"/>
      <c r="Q311" s="599"/>
      <c r="R311" s="599"/>
      <c r="S311" s="599"/>
      <c r="T311" s="599"/>
    </row>
    <row r="312" spans="1:20" ht="11.25" customHeight="1">
      <c r="A312" s="599"/>
      <c r="B312" s="599"/>
      <c r="C312" s="599"/>
      <c r="D312" s="599"/>
      <c r="E312" s="599"/>
      <c r="F312" s="599"/>
      <c r="G312" s="600"/>
      <c r="H312" s="599"/>
      <c r="I312" s="599"/>
      <c r="J312" s="599"/>
      <c r="K312" s="599"/>
      <c r="L312" s="599"/>
      <c r="M312" s="599"/>
      <c r="N312" s="599"/>
      <c r="O312" s="599"/>
      <c r="P312" s="599"/>
      <c r="Q312" s="599"/>
      <c r="R312" s="599"/>
      <c r="S312" s="599"/>
      <c r="T312" s="599"/>
    </row>
    <row r="313" spans="1:20" ht="11.25" customHeight="1">
      <c r="A313" s="599"/>
      <c r="B313" s="599"/>
      <c r="C313" s="599"/>
      <c r="D313" s="599"/>
      <c r="E313" s="599"/>
      <c r="F313" s="599"/>
      <c r="G313" s="600"/>
      <c r="H313" s="599"/>
      <c r="I313" s="599"/>
      <c r="J313" s="599"/>
      <c r="K313" s="599"/>
      <c r="L313" s="599"/>
      <c r="M313" s="599"/>
      <c r="N313" s="599"/>
      <c r="O313" s="599"/>
      <c r="P313" s="599"/>
      <c r="Q313" s="599"/>
      <c r="R313" s="599"/>
      <c r="S313" s="599"/>
      <c r="T313" s="599"/>
    </row>
    <row r="314" spans="1:20" ht="11.25" customHeight="1">
      <c r="A314" s="599"/>
      <c r="B314" s="599"/>
      <c r="C314" s="599"/>
      <c r="D314" s="599"/>
      <c r="E314" s="599"/>
      <c r="F314" s="599"/>
      <c r="G314" s="600"/>
      <c r="H314" s="599"/>
      <c r="I314" s="599"/>
      <c r="J314" s="599"/>
      <c r="K314" s="599"/>
      <c r="L314" s="599"/>
      <c r="M314" s="599"/>
      <c r="N314" s="599"/>
      <c r="O314" s="599"/>
      <c r="P314" s="599"/>
      <c r="Q314" s="599"/>
      <c r="R314" s="599"/>
      <c r="S314" s="599"/>
      <c r="T314" s="599"/>
    </row>
    <row r="315" spans="1:20" ht="11.25" customHeight="1">
      <c r="A315" s="599"/>
      <c r="B315" s="599"/>
      <c r="C315" s="599"/>
      <c r="D315" s="599"/>
      <c r="E315" s="599"/>
      <c r="F315" s="599"/>
      <c r="G315" s="600"/>
      <c r="H315" s="599"/>
      <c r="I315" s="599"/>
      <c r="J315" s="599"/>
      <c r="K315" s="599"/>
      <c r="L315" s="599"/>
      <c r="M315" s="599"/>
      <c r="N315" s="599"/>
      <c r="O315" s="599"/>
      <c r="P315" s="599"/>
      <c r="Q315" s="599"/>
      <c r="R315" s="599"/>
      <c r="S315" s="599"/>
      <c r="T315" s="599"/>
    </row>
    <row r="316" spans="1:20" ht="11.25" customHeight="1">
      <c r="A316" s="599"/>
      <c r="B316" s="599"/>
      <c r="C316" s="599"/>
      <c r="D316" s="599"/>
      <c r="E316" s="599"/>
      <c r="F316" s="599"/>
      <c r="G316" s="600"/>
      <c r="H316" s="599"/>
      <c r="I316" s="599"/>
      <c r="J316" s="599"/>
      <c r="K316" s="599"/>
      <c r="L316" s="599"/>
      <c r="M316" s="599"/>
      <c r="N316" s="599"/>
      <c r="O316" s="599"/>
      <c r="P316" s="599"/>
      <c r="Q316" s="599"/>
      <c r="R316" s="599"/>
      <c r="S316" s="599"/>
      <c r="T316" s="599"/>
    </row>
    <row r="317" spans="1:20" ht="11.25" customHeight="1">
      <c r="A317" s="599"/>
      <c r="B317" s="599"/>
      <c r="C317" s="599"/>
      <c r="D317" s="599"/>
      <c r="E317" s="599"/>
      <c r="F317" s="599"/>
      <c r="G317" s="600"/>
      <c r="H317" s="599"/>
      <c r="I317" s="599"/>
      <c r="J317" s="599"/>
      <c r="K317" s="599"/>
      <c r="L317" s="599"/>
      <c r="M317" s="599"/>
      <c r="N317" s="599"/>
      <c r="O317" s="599"/>
      <c r="P317" s="599"/>
      <c r="Q317" s="599"/>
      <c r="R317" s="599"/>
      <c r="S317" s="599"/>
      <c r="T317" s="599"/>
    </row>
    <row r="318" spans="1:20" ht="11.25" customHeight="1">
      <c r="A318" s="599"/>
      <c r="B318" s="599"/>
      <c r="C318" s="599"/>
      <c r="D318" s="599"/>
      <c r="E318" s="599"/>
      <c r="F318" s="599"/>
      <c r="G318" s="600"/>
      <c r="H318" s="599"/>
      <c r="I318" s="599"/>
      <c r="J318" s="599"/>
      <c r="K318" s="599"/>
      <c r="L318" s="599"/>
      <c r="M318" s="599"/>
      <c r="N318" s="599"/>
      <c r="O318" s="599"/>
      <c r="P318" s="599"/>
      <c r="Q318" s="599"/>
      <c r="R318" s="599"/>
      <c r="S318" s="599"/>
      <c r="T318" s="599"/>
    </row>
    <row r="319" spans="1:20" ht="11.25" customHeight="1">
      <c r="A319" s="599"/>
      <c r="B319" s="599"/>
      <c r="C319" s="599"/>
      <c r="D319" s="599"/>
      <c r="E319" s="599"/>
      <c r="F319" s="599"/>
      <c r="G319" s="600"/>
      <c r="H319" s="599"/>
      <c r="I319" s="599"/>
      <c r="J319" s="599"/>
      <c r="K319" s="599"/>
      <c r="L319" s="599"/>
      <c r="M319" s="599"/>
      <c r="N319" s="599"/>
      <c r="O319" s="599"/>
      <c r="P319" s="599"/>
      <c r="Q319" s="599"/>
      <c r="R319" s="599"/>
      <c r="S319" s="599"/>
      <c r="T319" s="599"/>
    </row>
    <row r="320" spans="1:20" ht="11.25" customHeight="1">
      <c r="A320" s="599"/>
      <c r="B320" s="599"/>
      <c r="C320" s="599"/>
      <c r="D320" s="599"/>
      <c r="E320" s="599"/>
      <c r="F320" s="599"/>
      <c r="G320" s="600"/>
      <c r="H320" s="599"/>
      <c r="I320" s="599"/>
      <c r="J320" s="599"/>
      <c r="K320" s="599"/>
      <c r="L320" s="599"/>
      <c r="M320" s="599"/>
      <c r="N320" s="599"/>
      <c r="O320" s="599"/>
      <c r="P320" s="599"/>
      <c r="Q320" s="599"/>
      <c r="R320" s="599"/>
      <c r="S320" s="599"/>
      <c r="T320" s="599"/>
    </row>
    <row r="321" spans="1:20" ht="11.25" customHeight="1">
      <c r="A321" s="599"/>
      <c r="B321" s="599"/>
      <c r="C321" s="599"/>
      <c r="D321" s="599"/>
      <c r="E321" s="599"/>
      <c r="F321" s="599"/>
      <c r="G321" s="600"/>
      <c r="H321" s="599"/>
      <c r="I321" s="599"/>
      <c r="J321" s="599"/>
      <c r="K321" s="599"/>
      <c r="L321" s="599"/>
      <c r="M321" s="599"/>
      <c r="N321" s="599"/>
      <c r="O321" s="599"/>
      <c r="P321" s="599"/>
      <c r="Q321" s="599"/>
      <c r="R321" s="599"/>
      <c r="S321" s="599"/>
      <c r="T321" s="599"/>
    </row>
    <row r="322" spans="1:20" ht="11.25" customHeight="1">
      <c r="A322" s="599"/>
      <c r="B322" s="599"/>
      <c r="C322" s="599"/>
      <c r="D322" s="599"/>
      <c r="E322" s="599"/>
      <c r="F322" s="599"/>
      <c r="G322" s="600"/>
      <c r="H322" s="599"/>
      <c r="I322" s="599"/>
      <c r="J322" s="599"/>
      <c r="K322" s="599"/>
      <c r="L322" s="599"/>
      <c r="M322" s="599"/>
      <c r="N322" s="599"/>
      <c r="O322" s="599"/>
      <c r="P322" s="599"/>
      <c r="Q322" s="599"/>
      <c r="R322" s="599"/>
      <c r="S322" s="599"/>
      <c r="T322" s="599"/>
    </row>
    <row r="323" spans="1:20" ht="11.25" customHeight="1">
      <c r="A323" s="599"/>
      <c r="B323" s="599"/>
      <c r="C323" s="599"/>
      <c r="D323" s="599"/>
      <c r="E323" s="599"/>
      <c r="F323" s="599"/>
      <c r="G323" s="600"/>
      <c r="H323" s="599"/>
      <c r="I323" s="599"/>
      <c r="J323" s="599"/>
      <c r="K323" s="599"/>
      <c r="L323" s="599"/>
      <c r="M323" s="599"/>
      <c r="N323" s="599"/>
      <c r="O323" s="599"/>
      <c r="P323" s="599"/>
      <c r="Q323" s="599"/>
      <c r="R323" s="599"/>
      <c r="S323" s="599"/>
      <c r="T323" s="599"/>
    </row>
    <row r="324" spans="1:20" ht="11.25" customHeight="1">
      <c r="A324" s="599"/>
      <c r="B324" s="599"/>
      <c r="C324" s="599"/>
      <c r="D324" s="599"/>
      <c r="E324" s="599"/>
      <c r="F324" s="599"/>
      <c r="G324" s="600"/>
      <c r="H324" s="599"/>
      <c r="I324" s="599"/>
      <c r="J324" s="599"/>
      <c r="K324" s="599"/>
      <c r="L324" s="599"/>
      <c r="M324" s="599"/>
      <c r="N324" s="599"/>
      <c r="O324" s="599"/>
      <c r="P324" s="599"/>
      <c r="Q324" s="599"/>
      <c r="R324" s="599"/>
      <c r="S324" s="599"/>
      <c r="T324" s="599"/>
    </row>
    <row r="325" spans="1:20" ht="11.25" customHeight="1">
      <c r="A325" s="599"/>
      <c r="B325" s="599"/>
      <c r="C325" s="599"/>
      <c r="D325" s="599"/>
      <c r="E325" s="599"/>
      <c r="F325" s="599"/>
      <c r="G325" s="600"/>
      <c r="H325" s="599"/>
      <c r="I325" s="599"/>
      <c r="J325" s="599"/>
      <c r="K325" s="599"/>
      <c r="L325" s="599"/>
      <c r="M325" s="599"/>
      <c r="N325" s="599"/>
      <c r="O325" s="599"/>
      <c r="P325" s="599"/>
      <c r="Q325" s="599"/>
      <c r="R325" s="599"/>
      <c r="S325" s="599"/>
      <c r="T325" s="599"/>
    </row>
    <row r="326" spans="1:20" ht="11.25" customHeight="1">
      <c r="A326" s="599"/>
      <c r="B326" s="599"/>
      <c r="C326" s="599"/>
      <c r="D326" s="599"/>
      <c r="E326" s="599"/>
      <c r="F326" s="599"/>
      <c r="G326" s="600"/>
      <c r="H326" s="599"/>
      <c r="I326" s="599"/>
      <c r="J326" s="599"/>
      <c r="K326" s="599"/>
      <c r="L326" s="599"/>
      <c r="M326" s="599"/>
      <c r="N326" s="599"/>
      <c r="O326" s="599"/>
      <c r="P326" s="599"/>
      <c r="Q326" s="599"/>
      <c r="R326" s="599"/>
      <c r="S326" s="599"/>
      <c r="T326" s="599"/>
    </row>
    <row r="327" spans="1:20" ht="11.25" customHeight="1">
      <c r="A327" s="599"/>
      <c r="B327" s="599"/>
      <c r="C327" s="599"/>
      <c r="D327" s="599"/>
      <c r="E327" s="599"/>
      <c r="F327" s="599"/>
      <c r="G327" s="600"/>
      <c r="H327" s="599"/>
      <c r="I327" s="599"/>
      <c r="J327" s="599"/>
      <c r="K327" s="599"/>
      <c r="L327" s="599"/>
      <c r="M327" s="599"/>
      <c r="N327" s="599"/>
      <c r="O327" s="599"/>
      <c r="P327" s="599"/>
      <c r="Q327" s="599"/>
      <c r="R327" s="599"/>
      <c r="S327" s="599"/>
      <c r="T327" s="599"/>
    </row>
    <row r="328" spans="1:20" ht="11.25" customHeight="1">
      <c r="A328" s="599"/>
      <c r="B328" s="599"/>
      <c r="C328" s="599"/>
      <c r="D328" s="599"/>
      <c r="E328" s="599"/>
      <c r="F328" s="599"/>
      <c r="G328" s="600"/>
      <c r="H328" s="599"/>
      <c r="I328" s="599"/>
      <c r="J328" s="599"/>
      <c r="K328" s="599"/>
      <c r="L328" s="599"/>
      <c r="M328" s="599"/>
      <c r="N328" s="599"/>
      <c r="O328" s="599"/>
      <c r="P328" s="599"/>
      <c r="Q328" s="599"/>
      <c r="R328" s="599"/>
      <c r="S328" s="599"/>
      <c r="T328" s="599"/>
    </row>
    <row r="329" spans="1:20" ht="11.25" customHeight="1">
      <c r="A329" s="599"/>
      <c r="B329" s="599"/>
      <c r="C329" s="599"/>
      <c r="D329" s="599"/>
      <c r="E329" s="599"/>
      <c r="F329" s="599"/>
      <c r="G329" s="600"/>
      <c r="H329" s="599"/>
      <c r="I329" s="599"/>
      <c r="J329" s="599"/>
      <c r="K329" s="599"/>
      <c r="L329" s="599"/>
      <c r="M329" s="599"/>
      <c r="N329" s="599"/>
      <c r="O329" s="599"/>
      <c r="P329" s="599"/>
      <c r="Q329" s="599"/>
      <c r="R329" s="599"/>
      <c r="S329" s="599"/>
      <c r="T329" s="599"/>
    </row>
    <row r="330" spans="1:20" ht="11.25" customHeight="1">
      <c r="A330" s="599"/>
      <c r="B330" s="599"/>
      <c r="C330" s="599"/>
      <c r="D330" s="599"/>
      <c r="E330" s="599"/>
      <c r="F330" s="599"/>
      <c r="G330" s="600"/>
      <c r="H330" s="599"/>
      <c r="I330" s="599"/>
      <c r="J330" s="599"/>
      <c r="K330" s="599"/>
      <c r="L330" s="599"/>
      <c r="M330" s="599"/>
      <c r="N330" s="599"/>
      <c r="O330" s="599"/>
      <c r="P330" s="599"/>
      <c r="Q330" s="599"/>
      <c r="R330" s="599"/>
      <c r="S330" s="599"/>
      <c r="T330" s="599"/>
    </row>
    <row r="331" spans="1:20" ht="11.25" customHeight="1">
      <c r="A331" s="599"/>
      <c r="B331" s="599"/>
      <c r="C331" s="599"/>
      <c r="D331" s="599"/>
      <c r="E331" s="599"/>
      <c r="F331" s="599"/>
      <c r="G331" s="600"/>
      <c r="H331" s="599"/>
      <c r="I331" s="599"/>
      <c r="J331" s="599"/>
      <c r="K331" s="599"/>
      <c r="L331" s="599"/>
      <c r="M331" s="599"/>
      <c r="N331" s="599"/>
      <c r="O331" s="599"/>
      <c r="P331" s="599"/>
      <c r="Q331" s="599"/>
      <c r="R331" s="599"/>
      <c r="S331" s="599"/>
      <c r="T331" s="599"/>
    </row>
    <row r="332" spans="1:20" ht="11.25" customHeight="1">
      <c r="A332" s="599"/>
      <c r="B332" s="599"/>
      <c r="C332" s="599"/>
      <c r="D332" s="599"/>
      <c r="E332" s="599"/>
      <c r="F332" s="599"/>
      <c r="G332" s="600"/>
      <c r="H332" s="599"/>
      <c r="I332" s="599"/>
      <c r="J332" s="599"/>
      <c r="K332" s="599"/>
      <c r="L332" s="599"/>
      <c r="M332" s="599"/>
      <c r="N332" s="599"/>
      <c r="O332" s="599"/>
      <c r="P332" s="599"/>
      <c r="Q332" s="599"/>
      <c r="R332" s="599"/>
      <c r="S332" s="599"/>
      <c r="T332" s="599"/>
    </row>
    <row r="333" spans="1:20" ht="11.25" customHeight="1">
      <c r="A333" s="599"/>
      <c r="B333" s="599"/>
      <c r="C333" s="599"/>
      <c r="D333" s="599"/>
      <c r="E333" s="599"/>
      <c r="F333" s="599"/>
      <c r="G333" s="600"/>
      <c r="H333" s="599"/>
      <c r="I333" s="599"/>
      <c r="J333" s="599"/>
      <c r="K333" s="599"/>
      <c r="L333" s="599"/>
      <c r="M333" s="599"/>
      <c r="N333" s="599"/>
      <c r="O333" s="599"/>
      <c r="P333" s="599"/>
      <c r="Q333" s="599"/>
      <c r="R333" s="599"/>
      <c r="S333" s="599"/>
      <c r="T333" s="599"/>
    </row>
    <row r="334" spans="1:20" ht="11.25" customHeight="1">
      <c r="A334" s="599"/>
      <c r="B334" s="599"/>
      <c r="C334" s="599"/>
      <c r="D334" s="599"/>
      <c r="E334" s="599"/>
      <c r="F334" s="599"/>
      <c r="G334" s="600"/>
      <c r="H334" s="599"/>
      <c r="I334" s="599"/>
      <c r="J334" s="599"/>
      <c r="K334" s="599"/>
      <c r="L334" s="599"/>
      <c r="M334" s="599"/>
      <c r="N334" s="599"/>
      <c r="O334" s="599"/>
      <c r="P334" s="599"/>
      <c r="Q334" s="599"/>
      <c r="R334" s="599"/>
      <c r="S334" s="599"/>
      <c r="T334" s="599"/>
    </row>
    <row r="335" spans="1:20" ht="11.25" customHeight="1">
      <c r="A335" s="599"/>
      <c r="B335" s="599"/>
      <c r="C335" s="599"/>
      <c r="D335" s="599"/>
      <c r="E335" s="599"/>
      <c r="F335" s="599"/>
      <c r="G335" s="600"/>
      <c r="H335" s="599"/>
      <c r="I335" s="599"/>
      <c r="J335" s="599"/>
      <c r="K335" s="599"/>
      <c r="L335" s="599"/>
      <c r="M335" s="599"/>
      <c r="N335" s="599"/>
      <c r="O335" s="599"/>
      <c r="P335" s="599"/>
      <c r="Q335" s="599"/>
      <c r="R335" s="599"/>
      <c r="S335" s="599"/>
      <c r="T335" s="599"/>
    </row>
    <row r="336" spans="1:20" ht="11.25" customHeight="1">
      <c r="A336" s="599"/>
      <c r="B336" s="599"/>
      <c r="C336" s="599"/>
      <c r="D336" s="599"/>
      <c r="E336" s="599"/>
      <c r="F336" s="599"/>
      <c r="G336" s="600"/>
      <c r="H336" s="599"/>
      <c r="I336" s="599"/>
      <c r="J336" s="599"/>
      <c r="K336" s="599"/>
      <c r="L336" s="599"/>
      <c r="M336" s="599"/>
      <c r="N336" s="599"/>
      <c r="O336" s="599"/>
      <c r="P336" s="599"/>
      <c r="Q336" s="599"/>
      <c r="R336" s="599"/>
      <c r="S336" s="599"/>
      <c r="T336" s="599"/>
    </row>
    <row r="337" spans="1:20" ht="11.25" customHeight="1">
      <c r="A337" s="599"/>
      <c r="B337" s="599"/>
      <c r="C337" s="599"/>
      <c r="D337" s="599"/>
      <c r="E337" s="599"/>
      <c r="F337" s="599"/>
      <c r="G337" s="600"/>
      <c r="H337" s="599"/>
      <c r="I337" s="599"/>
      <c r="J337" s="599"/>
      <c r="K337" s="599"/>
      <c r="L337" s="599"/>
      <c r="M337" s="599"/>
      <c r="N337" s="599"/>
      <c r="O337" s="599"/>
      <c r="P337" s="599"/>
      <c r="Q337" s="599"/>
      <c r="R337" s="599"/>
      <c r="S337" s="599"/>
      <c r="T337" s="599"/>
    </row>
    <row r="338" spans="1:20" ht="11.25" customHeight="1">
      <c r="A338" s="599"/>
      <c r="B338" s="599"/>
      <c r="C338" s="599"/>
      <c r="D338" s="599"/>
      <c r="E338" s="599"/>
      <c r="F338" s="599"/>
      <c r="G338" s="600"/>
      <c r="H338" s="599"/>
      <c r="I338" s="599"/>
      <c r="J338" s="599"/>
      <c r="K338" s="599"/>
      <c r="L338" s="599"/>
      <c r="M338" s="599"/>
      <c r="N338" s="599"/>
      <c r="O338" s="599"/>
      <c r="P338" s="599"/>
      <c r="Q338" s="599"/>
      <c r="R338" s="599"/>
      <c r="S338" s="599"/>
      <c r="T338" s="599"/>
    </row>
    <row r="339" spans="1:20" ht="11.25" customHeight="1">
      <c r="A339" s="599"/>
      <c r="B339" s="599"/>
      <c r="C339" s="599"/>
      <c r="D339" s="599"/>
      <c r="E339" s="599"/>
      <c r="F339" s="599"/>
      <c r="G339" s="600"/>
      <c r="H339" s="599"/>
      <c r="I339" s="599"/>
      <c r="J339" s="599"/>
      <c r="K339" s="599"/>
      <c r="L339" s="599"/>
      <c r="M339" s="599"/>
      <c r="N339" s="599"/>
      <c r="O339" s="599"/>
      <c r="P339" s="599"/>
      <c r="Q339" s="599"/>
      <c r="R339" s="599"/>
      <c r="S339" s="599"/>
      <c r="T339" s="599"/>
    </row>
    <row r="340" spans="1:20" ht="11.25" customHeight="1">
      <c r="A340" s="599"/>
      <c r="B340" s="599"/>
      <c r="C340" s="599"/>
      <c r="D340" s="599"/>
      <c r="E340" s="599"/>
      <c r="F340" s="599"/>
      <c r="G340" s="600"/>
      <c r="H340" s="599"/>
      <c r="I340" s="599"/>
      <c r="J340" s="599"/>
      <c r="K340" s="599"/>
      <c r="L340" s="599"/>
      <c r="M340" s="599"/>
      <c r="N340" s="599"/>
      <c r="O340" s="599"/>
      <c r="P340" s="599"/>
      <c r="Q340" s="599"/>
      <c r="R340" s="599"/>
      <c r="S340" s="599"/>
      <c r="T340" s="599"/>
    </row>
    <row r="341" spans="1:20" ht="11.25" customHeight="1">
      <c r="A341" s="599"/>
      <c r="B341" s="599"/>
      <c r="C341" s="599"/>
      <c r="D341" s="599"/>
      <c r="E341" s="599"/>
      <c r="F341" s="599"/>
      <c r="G341" s="600"/>
      <c r="H341" s="599"/>
      <c r="I341" s="599"/>
      <c r="J341" s="599"/>
      <c r="K341" s="599"/>
      <c r="L341" s="599"/>
      <c r="M341" s="599"/>
      <c r="N341" s="599"/>
      <c r="O341" s="599"/>
      <c r="P341" s="599"/>
      <c r="Q341" s="599"/>
      <c r="R341" s="599"/>
      <c r="S341" s="599"/>
      <c r="T341" s="599"/>
    </row>
    <row r="342" spans="1:20" ht="11.25" customHeight="1">
      <c r="A342" s="599"/>
      <c r="B342" s="599"/>
      <c r="C342" s="599"/>
      <c r="D342" s="599"/>
      <c r="E342" s="599"/>
      <c r="F342" s="599"/>
      <c r="G342" s="600"/>
      <c r="H342" s="599"/>
      <c r="I342" s="599"/>
      <c r="J342" s="599"/>
      <c r="K342" s="599"/>
      <c r="L342" s="599"/>
      <c r="M342" s="599"/>
      <c r="N342" s="599"/>
      <c r="O342" s="599"/>
      <c r="P342" s="599"/>
      <c r="Q342" s="599"/>
      <c r="R342" s="599"/>
      <c r="S342" s="599"/>
      <c r="T342" s="599"/>
    </row>
    <row r="343" spans="1:20" ht="11.25" customHeight="1">
      <c r="A343" s="599"/>
      <c r="B343" s="599"/>
      <c r="C343" s="599"/>
      <c r="D343" s="599"/>
      <c r="E343" s="599"/>
      <c r="F343" s="599"/>
      <c r="G343" s="600"/>
      <c r="H343" s="599"/>
      <c r="I343" s="599"/>
      <c r="J343" s="599"/>
      <c r="K343" s="599"/>
      <c r="L343" s="599"/>
      <c r="M343" s="599"/>
      <c r="N343" s="599"/>
      <c r="O343" s="599"/>
      <c r="P343" s="599"/>
      <c r="Q343" s="599"/>
      <c r="R343" s="599"/>
      <c r="S343" s="599"/>
      <c r="T343" s="599"/>
    </row>
    <row r="344" spans="1:20" ht="11.25" customHeight="1">
      <c r="A344" s="599"/>
      <c r="B344" s="599"/>
      <c r="C344" s="599"/>
      <c r="D344" s="599"/>
      <c r="E344" s="599"/>
      <c r="F344" s="599"/>
      <c r="G344" s="600"/>
      <c r="H344" s="599"/>
      <c r="I344" s="599"/>
      <c r="J344" s="599"/>
      <c r="K344" s="599"/>
      <c r="L344" s="599"/>
      <c r="M344" s="599"/>
      <c r="N344" s="599"/>
      <c r="O344" s="599"/>
      <c r="P344" s="599"/>
      <c r="Q344" s="599"/>
      <c r="R344" s="599"/>
      <c r="S344" s="599"/>
      <c r="T344" s="599"/>
    </row>
    <row r="345" spans="1:20" ht="11.25" customHeight="1">
      <c r="A345" s="599"/>
      <c r="B345" s="599"/>
      <c r="C345" s="599"/>
      <c r="D345" s="599"/>
      <c r="E345" s="599"/>
      <c r="F345" s="599"/>
      <c r="G345" s="600"/>
      <c r="H345" s="599"/>
      <c r="I345" s="599"/>
      <c r="J345" s="599"/>
      <c r="K345" s="599"/>
      <c r="L345" s="599"/>
      <c r="M345" s="599"/>
      <c r="N345" s="599"/>
      <c r="O345" s="599"/>
      <c r="P345" s="599"/>
      <c r="Q345" s="599"/>
      <c r="R345" s="599"/>
      <c r="S345" s="599"/>
      <c r="T345" s="599"/>
    </row>
    <row r="346" spans="1:20" ht="11.25" customHeight="1">
      <c r="A346" s="599"/>
      <c r="B346" s="599"/>
      <c r="C346" s="599"/>
      <c r="D346" s="599"/>
      <c r="E346" s="599"/>
      <c r="F346" s="599"/>
      <c r="G346" s="600"/>
      <c r="H346" s="599"/>
      <c r="I346" s="599"/>
      <c r="J346" s="599"/>
      <c r="K346" s="599"/>
      <c r="L346" s="599"/>
      <c r="M346" s="599"/>
      <c r="N346" s="599"/>
      <c r="O346" s="599"/>
      <c r="P346" s="599"/>
      <c r="Q346" s="599"/>
      <c r="R346" s="599"/>
      <c r="S346" s="599"/>
      <c r="T346" s="599"/>
    </row>
    <row r="347" spans="1:20" ht="11.25" customHeight="1">
      <c r="A347" s="599"/>
      <c r="B347" s="599"/>
      <c r="C347" s="599"/>
      <c r="D347" s="599"/>
      <c r="E347" s="599"/>
      <c r="F347" s="599"/>
      <c r="G347" s="600"/>
      <c r="H347" s="599"/>
      <c r="I347" s="599"/>
      <c r="J347" s="599"/>
      <c r="K347" s="599"/>
      <c r="L347" s="599"/>
      <c r="M347" s="599"/>
      <c r="N347" s="599"/>
      <c r="O347" s="599"/>
      <c r="P347" s="599"/>
      <c r="Q347" s="599"/>
      <c r="R347" s="599"/>
      <c r="S347" s="599"/>
      <c r="T347" s="599"/>
    </row>
    <row r="348" spans="1:20" ht="11.25" customHeight="1">
      <c r="A348" s="599"/>
      <c r="B348" s="599"/>
      <c r="C348" s="599"/>
      <c r="D348" s="599"/>
      <c r="E348" s="599"/>
      <c r="F348" s="599"/>
      <c r="G348" s="600"/>
      <c r="H348" s="599"/>
      <c r="I348" s="599"/>
      <c r="J348" s="599"/>
      <c r="K348" s="599"/>
      <c r="L348" s="599"/>
      <c r="M348" s="599"/>
      <c r="N348" s="599"/>
      <c r="O348" s="599"/>
      <c r="P348" s="599"/>
      <c r="Q348" s="599"/>
      <c r="R348" s="599"/>
      <c r="S348" s="599"/>
      <c r="T348" s="599"/>
    </row>
    <row r="349" spans="1:20" ht="11.25" customHeight="1">
      <c r="A349" s="599"/>
      <c r="B349" s="599"/>
      <c r="C349" s="599"/>
      <c r="D349" s="599"/>
      <c r="E349" s="599"/>
      <c r="F349" s="599"/>
      <c r="G349" s="600"/>
      <c r="H349" s="599"/>
      <c r="I349" s="599"/>
      <c r="J349" s="599"/>
      <c r="K349" s="599"/>
      <c r="L349" s="599"/>
      <c r="M349" s="599"/>
      <c r="N349" s="599"/>
      <c r="O349" s="599"/>
      <c r="P349" s="599"/>
      <c r="Q349" s="599"/>
      <c r="R349" s="599"/>
      <c r="S349" s="599"/>
      <c r="T349" s="599"/>
    </row>
    <row r="350" spans="1:20" ht="11.25" customHeight="1">
      <c r="A350" s="599"/>
      <c r="B350" s="599"/>
      <c r="C350" s="599"/>
      <c r="D350" s="599"/>
      <c r="E350" s="599"/>
      <c r="F350" s="599"/>
      <c r="G350" s="600"/>
      <c r="H350" s="599"/>
      <c r="I350" s="599"/>
      <c r="J350" s="599"/>
      <c r="K350" s="599"/>
      <c r="L350" s="599"/>
      <c r="M350" s="599"/>
      <c r="N350" s="599"/>
      <c r="O350" s="599"/>
      <c r="P350" s="599"/>
      <c r="Q350" s="599"/>
      <c r="R350" s="599"/>
      <c r="S350" s="599"/>
      <c r="T350" s="599"/>
    </row>
    <row r="351" spans="1:20" ht="11.25" customHeight="1">
      <c r="A351" s="599"/>
      <c r="B351" s="599"/>
      <c r="C351" s="599"/>
      <c r="D351" s="599"/>
      <c r="E351" s="599"/>
      <c r="F351" s="599"/>
      <c r="G351" s="600"/>
      <c r="H351" s="599"/>
      <c r="I351" s="599"/>
      <c r="J351" s="599"/>
      <c r="K351" s="599"/>
      <c r="L351" s="599"/>
      <c r="M351" s="599"/>
      <c r="N351" s="599"/>
      <c r="O351" s="599"/>
      <c r="P351" s="599"/>
      <c r="Q351" s="599"/>
      <c r="R351" s="599"/>
      <c r="S351" s="599"/>
      <c r="T351" s="599"/>
    </row>
    <row r="352" spans="1:20" ht="11.25" customHeight="1">
      <c r="A352" s="599"/>
      <c r="B352" s="599"/>
      <c r="C352" s="599"/>
      <c r="D352" s="599"/>
      <c r="E352" s="599"/>
      <c r="F352" s="599"/>
      <c r="G352" s="600"/>
      <c r="H352" s="599"/>
      <c r="I352" s="599"/>
      <c r="J352" s="599"/>
      <c r="K352" s="599"/>
      <c r="L352" s="599"/>
      <c r="M352" s="599"/>
      <c r="N352" s="599"/>
      <c r="O352" s="599"/>
      <c r="P352" s="599"/>
      <c r="Q352" s="599"/>
      <c r="R352" s="599"/>
      <c r="S352" s="599"/>
      <c r="T352" s="599"/>
    </row>
    <row r="353" spans="1:20" ht="11.25" customHeight="1">
      <c r="A353" s="599"/>
      <c r="B353" s="599"/>
      <c r="C353" s="599"/>
      <c r="D353" s="599"/>
      <c r="E353" s="599"/>
      <c r="F353" s="599"/>
      <c r="G353" s="600"/>
      <c r="H353" s="599"/>
      <c r="I353" s="599"/>
      <c r="J353" s="599"/>
      <c r="K353" s="599"/>
      <c r="L353" s="599"/>
      <c r="M353" s="599"/>
      <c r="N353" s="599"/>
      <c r="O353" s="599"/>
      <c r="P353" s="599"/>
      <c r="Q353" s="599"/>
      <c r="R353" s="599"/>
      <c r="S353" s="599"/>
      <c r="T353" s="599"/>
    </row>
    <row r="354" spans="1:20" ht="11.25" customHeight="1">
      <c r="A354" s="599"/>
      <c r="B354" s="599"/>
      <c r="C354" s="599"/>
      <c r="D354" s="599"/>
      <c r="E354" s="599"/>
      <c r="F354" s="599"/>
      <c r="G354" s="600"/>
      <c r="H354" s="599"/>
      <c r="I354" s="599"/>
      <c r="J354" s="599"/>
      <c r="K354" s="599"/>
      <c r="L354" s="599"/>
      <c r="M354" s="599"/>
      <c r="N354" s="599"/>
      <c r="O354" s="599"/>
      <c r="P354" s="599"/>
      <c r="Q354" s="599"/>
      <c r="R354" s="599"/>
      <c r="S354" s="599"/>
      <c r="T354" s="599"/>
    </row>
    <row r="355" spans="1:20" ht="11.25" customHeight="1">
      <c r="A355" s="599"/>
      <c r="B355" s="599"/>
      <c r="C355" s="599"/>
      <c r="D355" s="599"/>
      <c r="E355" s="599"/>
      <c r="F355" s="599"/>
      <c r="G355" s="600"/>
      <c r="H355" s="599"/>
      <c r="I355" s="599"/>
      <c r="J355" s="599"/>
      <c r="K355" s="599"/>
      <c r="L355" s="599"/>
      <c r="M355" s="599"/>
      <c r="N355" s="599"/>
      <c r="O355" s="599"/>
      <c r="P355" s="599"/>
      <c r="Q355" s="599"/>
      <c r="R355" s="599"/>
      <c r="S355" s="599"/>
      <c r="T355" s="599"/>
    </row>
    <row r="356" spans="1:20" ht="11.25" customHeight="1">
      <c r="A356" s="599"/>
      <c r="B356" s="599"/>
      <c r="C356" s="599"/>
      <c r="D356" s="599"/>
      <c r="E356" s="599"/>
      <c r="F356" s="599"/>
      <c r="G356" s="600"/>
      <c r="H356" s="599"/>
      <c r="I356" s="599"/>
      <c r="J356" s="599"/>
      <c r="K356" s="599"/>
      <c r="L356" s="599"/>
      <c r="M356" s="599"/>
      <c r="N356" s="599"/>
      <c r="O356" s="599"/>
      <c r="P356" s="599"/>
      <c r="Q356" s="599"/>
      <c r="R356" s="599"/>
      <c r="S356" s="599"/>
      <c r="T356" s="599"/>
    </row>
    <row r="357" spans="1:20" ht="11.25" customHeight="1">
      <c r="A357" s="599"/>
      <c r="B357" s="599"/>
      <c r="C357" s="599"/>
      <c r="D357" s="599"/>
      <c r="E357" s="599"/>
      <c r="F357" s="599"/>
      <c r="G357" s="600"/>
      <c r="H357" s="599"/>
      <c r="I357" s="599"/>
      <c r="J357" s="599"/>
      <c r="K357" s="599"/>
      <c r="L357" s="599"/>
      <c r="M357" s="599"/>
      <c r="N357" s="599"/>
      <c r="O357" s="599"/>
      <c r="P357" s="599"/>
      <c r="Q357" s="599"/>
      <c r="R357" s="599"/>
      <c r="S357" s="599"/>
      <c r="T357" s="599"/>
    </row>
    <row r="358" spans="1:20" ht="11.25" customHeight="1">
      <c r="A358" s="599"/>
      <c r="B358" s="599"/>
      <c r="C358" s="599"/>
      <c r="D358" s="599"/>
      <c r="E358" s="599"/>
      <c r="F358" s="599"/>
      <c r="G358" s="600"/>
      <c r="H358" s="599"/>
      <c r="I358" s="599"/>
      <c r="J358" s="599"/>
      <c r="K358" s="599"/>
      <c r="L358" s="599"/>
      <c r="M358" s="599"/>
      <c r="N358" s="599"/>
      <c r="O358" s="599"/>
      <c r="P358" s="599"/>
      <c r="Q358" s="599"/>
      <c r="R358" s="599"/>
      <c r="S358" s="599"/>
      <c r="T358" s="599"/>
    </row>
    <row r="359" spans="1:20" ht="11.25" customHeight="1">
      <c r="A359" s="599"/>
      <c r="B359" s="599"/>
      <c r="C359" s="599"/>
      <c r="D359" s="599"/>
      <c r="E359" s="599"/>
      <c r="F359" s="599"/>
      <c r="G359" s="600"/>
      <c r="H359" s="599"/>
      <c r="I359" s="599"/>
      <c r="J359" s="599"/>
      <c r="K359" s="599"/>
      <c r="L359" s="599"/>
      <c r="M359" s="599"/>
      <c r="N359" s="599"/>
      <c r="O359" s="599"/>
      <c r="P359" s="599"/>
      <c r="Q359" s="599"/>
      <c r="R359" s="599"/>
      <c r="S359" s="599"/>
      <c r="T359" s="599"/>
    </row>
    <row r="360" spans="1:20" ht="11.25" customHeight="1">
      <c r="A360" s="599"/>
      <c r="B360" s="599"/>
      <c r="C360" s="599"/>
      <c r="D360" s="599"/>
      <c r="E360" s="599"/>
      <c r="F360" s="599"/>
      <c r="G360" s="600"/>
      <c r="H360" s="599"/>
      <c r="I360" s="599"/>
      <c r="J360" s="599"/>
      <c r="K360" s="599"/>
      <c r="L360" s="599"/>
      <c r="M360" s="599"/>
      <c r="N360" s="599"/>
      <c r="O360" s="599"/>
      <c r="P360" s="599"/>
      <c r="Q360" s="599"/>
      <c r="R360" s="599"/>
      <c r="S360" s="599"/>
      <c r="T360" s="599"/>
    </row>
    <row r="361" spans="1:20" ht="11.25" customHeight="1">
      <c r="A361" s="599"/>
      <c r="B361" s="599"/>
      <c r="C361" s="599"/>
      <c r="D361" s="599"/>
      <c r="E361" s="599"/>
      <c r="F361" s="599"/>
      <c r="G361" s="600"/>
      <c r="H361" s="599"/>
      <c r="I361" s="599"/>
      <c r="J361" s="599"/>
      <c r="K361" s="599"/>
      <c r="L361" s="599"/>
      <c r="M361" s="599"/>
      <c r="N361" s="599"/>
      <c r="O361" s="599"/>
      <c r="P361" s="599"/>
      <c r="Q361" s="599"/>
      <c r="R361" s="599"/>
      <c r="S361" s="599"/>
      <c r="T361" s="599"/>
    </row>
    <row r="362" spans="1:20" ht="11.25" customHeight="1">
      <c r="A362" s="599"/>
      <c r="B362" s="599"/>
      <c r="C362" s="599"/>
      <c r="D362" s="599"/>
      <c r="E362" s="599"/>
      <c r="F362" s="599"/>
      <c r="G362" s="600"/>
      <c r="H362" s="599"/>
      <c r="I362" s="599"/>
      <c r="J362" s="599"/>
      <c r="K362" s="599"/>
      <c r="L362" s="599"/>
      <c r="M362" s="599"/>
      <c r="N362" s="599"/>
      <c r="O362" s="599"/>
      <c r="P362" s="599"/>
      <c r="Q362" s="599"/>
      <c r="R362" s="599"/>
      <c r="S362" s="599"/>
      <c r="T362" s="599"/>
    </row>
    <row r="363" spans="1:20" ht="11.25" customHeight="1">
      <c r="A363" s="599"/>
      <c r="B363" s="599"/>
      <c r="C363" s="599"/>
      <c r="D363" s="599"/>
      <c r="E363" s="599"/>
      <c r="F363" s="599"/>
      <c r="G363" s="600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</row>
    <row r="364" spans="1:20" ht="11.25" customHeight="1">
      <c r="A364" s="599"/>
      <c r="B364" s="599"/>
      <c r="C364" s="599"/>
      <c r="D364" s="599"/>
      <c r="E364" s="599"/>
      <c r="F364" s="599"/>
      <c r="G364" s="600"/>
      <c r="H364" s="599"/>
      <c r="I364" s="599"/>
      <c r="J364" s="599"/>
      <c r="K364" s="599"/>
      <c r="L364" s="599"/>
      <c r="M364" s="599"/>
      <c r="N364" s="599"/>
      <c r="O364" s="599"/>
      <c r="P364" s="599"/>
      <c r="Q364" s="599"/>
      <c r="R364" s="599"/>
      <c r="S364" s="599"/>
      <c r="T364" s="599"/>
    </row>
    <row r="365" spans="1:20" ht="11.25" customHeight="1">
      <c r="A365" s="599"/>
      <c r="B365" s="599"/>
      <c r="C365" s="599"/>
      <c r="D365" s="599"/>
      <c r="E365" s="599"/>
      <c r="F365" s="599"/>
      <c r="G365" s="600"/>
      <c r="H365" s="599"/>
      <c r="I365" s="599"/>
      <c r="J365" s="599"/>
      <c r="K365" s="599"/>
      <c r="L365" s="599"/>
      <c r="M365" s="599"/>
      <c r="N365" s="599"/>
      <c r="O365" s="599"/>
      <c r="P365" s="599"/>
      <c r="Q365" s="599"/>
      <c r="R365" s="599"/>
      <c r="S365" s="599"/>
      <c r="T365" s="599"/>
    </row>
    <row r="366" spans="1:20" ht="11.25" customHeight="1">
      <c r="A366" s="599"/>
      <c r="B366" s="599"/>
      <c r="C366" s="599"/>
      <c r="D366" s="599"/>
      <c r="E366" s="599"/>
      <c r="F366" s="599"/>
      <c r="G366" s="600"/>
      <c r="H366" s="599"/>
      <c r="I366" s="599"/>
      <c r="J366" s="599"/>
      <c r="K366" s="599"/>
      <c r="L366" s="599"/>
      <c r="M366" s="599"/>
      <c r="N366" s="599"/>
      <c r="O366" s="599"/>
      <c r="P366" s="599"/>
      <c r="Q366" s="599"/>
      <c r="R366" s="599"/>
      <c r="S366" s="599"/>
      <c r="T366" s="599"/>
    </row>
    <row r="367" spans="1:20" ht="11.25" customHeight="1">
      <c r="A367" s="599"/>
      <c r="B367" s="599"/>
      <c r="C367" s="599"/>
      <c r="D367" s="599"/>
      <c r="E367" s="599"/>
      <c r="F367" s="599"/>
      <c r="G367" s="600"/>
      <c r="H367" s="599"/>
      <c r="I367" s="599"/>
      <c r="J367" s="599"/>
      <c r="K367" s="599"/>
      <c r="L367" s="599"/>
      <c r="M367" s="599"/>
      <c r="N367" s="599"/>
      <c r="O367" s="599"/>
      <c r="P367" s="599"/>
      <c r="Q367" s="599"/>
      <c r="R367" s="599"/>
      <c r="S367" s="599"/>
      <c r="T367" s="599"/>
    </row>
    <row r="368" spans="1:20" ht="11.25" customHeight="1">
      <c r="A368" s="599"/>
      <c r="B368" s="599"/>
      <c r="C368" s="599"/>
      <c r="D368" s="599"/>
      <c r="E368" s="599"/>
      <c r="F368" s="599"/>
      <c r="G368" s="600"/>
      <c r="H368" s="599"/>
      <c r="I368" s="599"/>
      <c r="J368" s="599"/>
      <c r="K368" s="599"/>
      <c r="L368" s="599"/>
      <c r="M368" s="599"/>
      <c r="N368" s="599"/>
      <c r="O368" s="599"/>
      <c r="P368" s="599"/>
      <c r="Q368" s="599"/>
      <c r="R368" s="599"/>
      <c r="S368" s="599"/>
      <c r="T368" s="599"/>
    </row>
    <row r="369" spans="1:20" ht="11.25" customHeight="1">
      <c r="A369" s="599"/>
      <c r="B369" s="599"/>
      <c r="C369" s="599"/>
      <c r="D369" s="599"/>
      <c r="E369" s="599"/>
      <c r="F369" s="599"/>
      <c r="G369" s="600"/>
      <c r="H369" s="599"/>
      <c r="I369" s="599"/>
      <c r="J369" s="599"/>
      <c r="K369" s="599"/>
      <c r="L369" s="599"/>
      <c r="M369" s="599"/>
      <c r="N369" s="599"/>
      <c r="O369" s="599"/>
      <c r="P369" s="599"/>
      <c r="Q369" s="599"/>
      <c r="R369" s="599"/>
      <c r="S369" s="599"/>
      <c r="T369" s="599"/>
    </row>
    <row r="370" spans="1:20" ht="11.25" customHeight="1">
      <c r="A370" s="599"/>
      <c r="B370" s="599"/>
      <c r="C370" s="599"/>
      <c r="D370" s="599"/>
      <c r="E370" s="599"/>
      <c r="F370" s="599"/>
      <c r="G370" s="600"/>
      <c r="H370" s="599"/>
      <c r="I370" s="599"/>
      <c r="J370" s="599"/>
      <c r="K370" s="599"/>
      <c r="L370" s="599"/>
      <c r="M370" s="599"/>
      <c r="N370" s="599"/>
      <c r="O370" s="599"/>
      <c r="P370" s="599"/>
      <c r="Q370" s="599"/>
      <c r="R370" s="599"/>
      <c r="S370" s="599"/>
      <c r="T370" s="599"/>
    </row>
    <row r="371" spans="1:20" ht="11.25" customHeight="1">
      <c r="A371" s="599"/>
      <c r="B371" s="599"/>
      <c r="C371" s="599"/>
      <c r="D371" s="599"/>
      <c r="E371" s="599"/>
      <c r="F371" s="599"/>
      <c r="G371" s="600"/>
      <c r="H371" s="599"/>
      <c r="I371" s="599"/>
      <c r="J371" s="599"/>
      <c r="K371" s="599"/>
      <c r="L371" s="599"/>
      <c r="M371" s="599"/>
      <c r="N371" s="599"/>
      <c r="O371" s="599"/>
      <c r="P371" s="599"/>
      <c r="Q371" s="599"/>
      <c r="R371" s="599"/>
      <c r="S371" s="599"/>
      <c r="T371" s="599"/>
    </row>
    <row r="372" spans="1:20" ht="11.25" customHeight="1">
      <c r="A372" s="599"/>
      <c r="B372" s="599"/>
      <c r="C372" s="599"/>
      <c r="D372" s="599"/>
      <c r="E372" s="599"/>
      <c r="F372" s="599"/>
      <c r="G372" s="600"/>
      <c r="H372" s="599"/>
      <c r="I372" s="599"/>
      <c r="J372" s="599"/>
      <c r="K372" s="599"/>
      <c r="L372" s="599"/>
      <c r="M372" s="599"/>
      <c r="N372" s="599"/>
      <c r="O372" s="599"/>
      <c r="P372" s="599"/>
      <c r="Q372" s="599"/>
      <c r="R372" s="599"/>
      <c r="S372" s="599"/>
      <c r="T372" s="599"/>
    </row>
    <row r="373" spans="1:20" ht="11.25" customHeight="1">
      <c r="A373" s="599"/>
      <c r="B373" s="599"/>
      <c r="C373" s="599"/>
      <c r="D373" s="599"/>
      <c r="E373" s="599"/>
      <c r="F373" s="599"/>
      <c r="G373" s="600"/>
      <c r="H373" s="599"/>
      <c r="I373" s="599"/>
      <c r="J373" s="599"/>
      <c r="K373" s="599"/>
      <c r="L373" s="599"/>
      <c r="M373" s="599"/>
      <c r="N373" s="599"/>
      <c r="O373" s="599"/>
      <c r="P373" s="599"/>
      <c r="Q373" s="599"/>
      <c r="R373" s="599"/>
      <c r="S373" s="599"/>
      <c r="T373" s="599"/>
    </row>
    <row r="374" spans="1:20" ht="11.25" customHeight="1">
      <c r="A374" s="599"/>
      <c r="B374" s="599"/>
      <c r="C374" s="599"/>
      <c r="D374" s="599"/>
      <c r="E374" s="599"/>
      <c r="F374" s="599"/>
      <c r="G374" s="600"/>
      <c r="H374" s="599"/>
      <c r="I374" s="599"/>
      <c r="J374" s="599"/>
      <c r="K374" s="599"/>
      <c r="L374" s="599"/>
      <c r="M374" s="599"/>
      <c r="N374" s="599"/>
      <c r="O374" s="599"/>
      <c r="P374" s="599"/>
      <c r="Q374" s="599"/>
      <c r="R374" s="599"/>
      <c r="S374" s="599"/>
      <c r="T374" s="599"/>
    </row>
    <row r="375" spans="1:20" ht="11.25" customHeight="1">
      <c r="A375" s="599"/>
      <c r="B375" s="599"/>
      <c r="C375" s="599"/>
      <c r="D375" s="599"/>
      <c r="E375" s="599"/>
      <c r="F375" s="599"/>
      <c r="G375" s="600"/>
      <c r="H375" s="599"/>
      <c r="I375" s="599"/>
      <c r="J375" s="599"/>
      <c r="K375" s="599"/>
      <c r="L375" s="599"/>
      <c r="M375" s="599"/>
      <c r="N375" s="599"/>
      <c r="O375" s="599"/>
      <c r="P375" s="599"/>
      <c r="Q375" s="599"/>
      <c r="R375" s="599"/>
      <c r="S375" s="599"/>
      <c r="T375" s="599"/>
    </row>
    <row r="376" spans="1:20" ht="11.25" customHeight="1">
      <c r="A376" s="599"/>
      <c r="B376" s="599"/>
      <c r="C376" s="599"/>
      <c r="D376" s="599"/>
      <c r="E376" s="599"/>
      <c r="F376" s="599"/>
      <c r="G376" s="600"/>
      <c r="H376" s="599"/>
      <c r="I376" s="599"/>
      <c r="J376" s="599"/>
      <c r="K376" s="599"/>
      <c r="L376" s="599"/>
      <c r="M376" s="599"/>
      <c r="N376" s="599"/>
      <c r="O376" s="599"/>
      <c r="P376" s="599"/>
      <c r="Q376" s="599"/>
      <c r="R376" s="599"/>
      <c r="S376" s="599"/>
      <c r="T376" s="599"/>
    </row>
    <row r="377" spans="1:20" ht="11.25" customHeight="1">
      <c r="A377" s="599"/>
      <c r="B377" s="599"/>
      <c r="C377" s="599"/>
      <c r="D377" s="599"/>
      <c r="E377" s="599"/>
      <c r="F377" s="599"/>
      <c r="G377" s="600"/>
      <c r="H377" s="599"/>
      <c r="I377" s="599"/>
      <c r="J377" s="599"/>
      <c r="K377" s="599"/>
      <c r="L377" s="599"/>
      <c r="M377" s="599"/>
      <c r="N377" s="599"/>
      <c r="O377" s="599"/>
      <c r="P377" s="599"/>
      <c r="Q377" s="599"/>
      <c r="R377" s="599"/>
      <c r="S377" s="599"/>
      <c r="T377" s="599"/>
    </row>
    <row r="378" spans="1:20" ht="11.25" customHeight="1">
      <c r="A378" s="599"/>
      <c r="B378" s="599"/>
      <c r="C378" s="599"/>
      <c r="D378" s="599"/>
      <c r="E378" s="599"/>
      <c r="F378" s="599"/>
      <c r="G378" s="600"/>
      <c r="H378" s="599"/>
      <c r="I378" s="599"/>
      <c r="J378" s="599"/>
      <c r="K378" s="599"/>
      <c r="L378" s="599"/>
      <c r="M378" s="599"/>
      <c r="N378" s="599"/>
      <c r="O378" s="599"/>
      <c r="P378" s="599"/>
      <c r="Q378" s="599"/>
      <c r="R378" s="599"/>
      <c r="S378" s="599"/>
      <c r="T378" s="599"/>
    </row>
    <row r="379" spans="1:20" ht="11.25" customHeight="1">
      <c r="A379" s="599"/>
      <c r="B379" s="599"/>
      <c r="C379" s="599"/>
      <c r="D379" s="599"/>
      <c r="E379" s="599"/>
      <c r="F379" s="599"/>
      <c r="G379" s="600"/>
      <c r="H379" s="599"/>
      <c r="I379" s="599"/>
      <c r="J379" s="599"/>
      <c r="K379" s="599"/>
      <c r="L379" s="599"/>
      <c r="M379" s="599"/>
      <c r="N379" s="599"/>
      <c r="O379" s="599"/>
      <c r="P379" s="599"/>
      <c r="Q379" s="599"/>
      <c r="R379" s="599"/>
      <c r="S379" s="599"/>
      <c r="T379" s="599"/>
    </row>
    <row r="380" spans="1:20" ht="11.25" customHeight="1">
      <c r="A380" s="599"/>
      <c r="B380" s="599"/>
      <c r="C380" s="599"/>
      <c r="D380" s="599"/>
      <c r="E380" s="599"/>
      <c r="F380" s="599"/>
      <c r="G380" s="600"/>
      <c r="H380" s="599"/>
      <c r="I380" s="599"/>
      <c r="J380" s="599"/>
      <c r="K380" s="599"/>
      <c r="L380" s="599"/>
      <c r="M380" s="599"/>
      <c r="N380" s="599"/>
      <c r="O380" s="599"/>
      <c r="P380" s="599"/>
      <c r="Q380" s="599"/>
      <c r="R380" s="599"/>
      <c r="S380" s="599"/>
      <c r="T380" s="599"/>
    </row>
    <row r="381" spans="1:20" ht="11.25" customHeight="1">
      <c r="A381" s="599"/>
      <c r="B381" s="599"/>
      <c r="C381" s="599"/>
      <c r="D381" s="599"/>
      <c r="E381" s="599"/>
      <c r="F381" s="599"/>
      <c r="G381" s="600"/>
      <c r="H381" s="599"/>
      <c r="I381" s="599"/>
      <c r="J381" s="599"/>
      <c r="K381" s="599"/>
      <c r="L381" s="599"/>
      <c r="M381" s="599"/>
      <c r="N381" s="599"/>
      <c r="O381" s="599"/>
      <c r="P381" s="599"/>
      <c r="Q381" s="599"/>
      <c r="R381" s="599"/>
      <c r="S381" s="599"/>
      <c r="T381" s="599"/>
    </row>
    <row r="382" spans="1:20" ht="11.25" customHeight="1">
      <c r="A382" s="599"/>
      <c r="B382" s="599"/>
      <c r="C382" s="599"/>
      <c r="D382" s="599"/>
      <c r="E382" s="599"/>
      <c r="F382" s="599"/>
      <c r="G382" s="600"/>
      <c r="H382" s="599"/>
      <c r="I382" s="599"/>
      <c r="J382" s="599"/>
      <c r="K382" s="599"/>
      <c r="L382" s="599"/>
      <c r="M382" s="599"/>
      <c r="N382" s="599"/>
      <c r="O382" s="599"/>
      <c r="P382" s="599"/>
      <c r="Q382" s="599"/>
      <c r="R382" s="599"/>
      <c r="S382" s="599"/>
      <c r="T382" s="599"/>
    </row>
    <row r="383" spans="1:20" ht="11.25" customHeight="1">
      <c r="A383" s="599"/>
      <c r="B383" s="599"/>
      <c r="C383" s="599"/>
      <c r="D383" s="599"/>
      <c r="E383" s="599"/>
      <c r="F383" s="599"/>
      <c r="G383" s="600"/>
      <c r="H383" s="599"/>
      <c r="I383" s="599"/>
      <c r="J383" s="599"/>
      <c r="K383" s="599"/>
      <c r="L383" s="599"/>
      <c r="M383" s="599"/>
      <c r="N383" s="599"/>
      <c r="O383" s="599"/>
      <c r="P383" s="599"/>
      <c r="Q383" s="599"/>
      <c r="R383" s="599"/>
      <c r="S383" s="599"/>
      <c r="T383" s="599"/>
    </row>
    <row r="384" spans="1:20" ht="11.25" customHeight="1">
      <c r="A384" s="599"/>
      <c r="B384" s="599"/>
      <c r="C384" s="599"/>
      <c r="D384" s="599"/>
      <c r="E384" s="599"/>
      <c r="F384" s="599"/>
      <c r="G384" s="600"/>
      <c r="H384" s="599"/>
      <c r="I384" s="599"/>
      <c r="J384" s="599"/>
      <c r="K384" s="599"/>
      <c r="L384" s="599"/>
      <c r="M384" s="599"/>
      <c r="N384" s="599"/>
      <c r="O384" s="599"/>
      <c r="P384" s="599"/>
      <c r="Q384" s="599"/>
      <c r="R384" s="599"/>
      <c r="S384" s="599"/>
      <c r="T384" s="599"/>
    </row>
    <row r="385" spans="1:20" ht="11.25" customHeight="1">
      <c r="A385" s="599"/>
      <c r="B385" s="599"/>
      <c r="C385" s="599"/>
      <c r="D385" s="599"/>
      <c r="E385" s="599"/>
      <c r="F385" s="599"/>
      <c r="G385" s="600"/>
      <c r="H385" s="599"/>
      <c r="I385" s="599"/>
      <c r="J385" s="599"/>
      <c r="K385" s="599"/>
      <c r="L385" s="599"/>
      <c r="M385" s="599"/>
      <c r="N385" s="599"/>
      <c r="O385" s="599"/>
      <c r="P385" s="599"/>
      <c r="Q385" s="599"/>
      <c r="R385" s="599"/>
      <c r="S385" s="599"/>
      <c r="T385" s="599"/>
    </row>
    <row r="386" spans="1:20" ht="11.25" customHeight="1">
      <c r="A386" s="599"/>
      <c r="B386" s="599"/>
      <c r="C386" s="599"/>
      <c r="D386" s="599"/>
      <c r="E386" s="599"/>
      <c r="F386" s="599"/>
      <c r="G386" s="600"/>
      <c r="H386" s="599"/>
      <c r="I386" s="599"/>
      <c r="J386" s="599"/>
      <c r="K386" s="599"/>
      <c r="L386" s="599"/>
      <c r="M386" s="599"/>
      <c r="N386" s="599"/>
      <c r="O386" s="599"/>
      <c r="P386" s="599"/>
      <c r="Q386" s="599"/>
      <c r="R386" s="599"/>
      <c r="S386" s="599"/>
      <c r="T386" s="599"/>
    </row>
    <row r="387" spans="1:20" ht="11.25" customHeight="1">
      <c r="A387" s="599"/>
      <c r="B387" s="599"/>
      <c r="C387" s="599"/>
      <c r="D387" s="599"/>
      <c r="E387" s="599"/>
      <c r="F387" s="599"/>
      <c r="G387" s="600"/>
      <c r="H387" s="599"/>
      <c r="I387" s="599"/>
      <c r="J387" s="599"/>
      <c r="K387" s="599"/>
      <c r="L387" s="599"/>
      <c r="M387" s="599"/>
      <c r="N387" s="599"/>
      <c r="O387" s="599"/>
      <c r="P387" s="599"/>
      <c r="Q387" s="599"/>
      <c r="R387" s="599"/>
      <c r="S387" s="599"/>
      <c r="T387" s="599"/>
    </row>
    <row r="388" spans="1:20" ht="11.25" customHeight="1">
      <c r="A388" s="599"/>
      <c r="B388" s="599"/>
      <c r="C388" s="599"/>
      <c r="D388" s="599"/>
      <c r="E388" s="599"/>
      <c r="F388" s="599"/>
      <c r="G388" s="600"/>
      <c r="H388" s="599"/>
      <c r="I388" s="599"/>
      <c r="J388" s="599"/>
      <c r="K388" s="599"/>
      <c r="L388" s="599"/>
      <c r="M388" s="599"/>
      <c r="N388" s="599"/>
      <c r="O388" s="599"/>
      <c r="P388" s="599"/>
      <c r="Q388" s="599"/>
      <c r="R388" s="599"/>
      <c r="S388" s="599"/>
      <c r="T388" s="599"/>
    </row>
    <row r="389" spans="1:20" ht="11.25" customHeight="1">
      <c r="A389" s="599"/>
      <c r="B389" s="599"/>
      <c r="C389" s="599"/>
      <c r="D389" s="599"/>
      <c r="E389" s="599"/>
      <c r="F389" s="599"/>
      <c r="G389" s="600"/>
      <c r="H389" s="599"/>
      <c r="I389" s="599"/>
      <c r="J389" s="599"/>
      <c r="K389" s="599"/>
      <c r="L389" s="599"/>
      <c r="M389" s="599"/>
      <c r="N389" s="599"/>
      <c r="O389" s="599"/>
      <c r="P389" s="599"/>
      <c r="Q389" s="599"/>
      <c r="R389" s="599"/>
      <c r="S389" s="599"/>
      <c r="T389" s="599"/>
    </row>
    <row r="390" spans="1:20" ht="11.25" customHeight="1">
      <c r="A390" s="599"/>
      <c r="B390" s="599"/>
      <c r="C390" s="599"/>
      <c r="D390" s="599"/>
      <c r="E390" s="599"/>
      <c r="F390" s="599"/>
      <c r="G390" s="600"/>
      <c r="H390" s="599"/>
      <c r="I390" s="599"/>
      <c r="J390" s="599"/>
      <c r="K390" s="599"/>
      <c r="L390" s="599"/>
      <c r="M390" s="599"/>
      <c r="N390" s="599"/>
      <c r="O390" s="599"/>
      <c r="P390" s="599"/>
      <c r="Q390" s="599"/>
      <c r="R390" s="599"/>
      <c r="S390" s="599"/>
      <c r="T390" s="599"/>
    </row>
    <row r="391" spans="1:20" ht="11.25" customHeight="1">
      <c r="A391" s="599"/>
      <c r="B391" s="599"/>
      <c r="C391" s="599"/>
      <c r="D391" s="599"/>
      <c r="E391" s="599"/>
      <c r="F391" s="599"/>
      <c r="G391" s="600"/>
      <c r="H391" s="599"/>
      <c r="I391" s="599"/>
      <c r="J391" s="599"/>
      <c r="K391" s="599"/>
      <c r="L391" s="599"/>
      <c r="M391" s="599"/>
      <c r="N391" s="599"/>
      <c r="O391" s="599"/>
      <c r="P391" s="599"/>
      <c r="Q391" s="599"/>
      <c r="R391" s="599"/>
      <c r="S391" s="599"/>
      <c r="T391" s="599"/>
    </row>
    <row r="392" spans="1:20" ht="11.25" customHeight="1">
      <c r="A392" s="599"/>
      <c r="B392" s="599"/>
      <c r="C392" s="599"/>
      <c r="D392" s="599"/>
      <c r="E392" s="599"/>
      <c r="F392" s="599"/>
      <c r="G392" s="600"/>
      <c r="H392" s="599"/>
      <c r="I392" s="599"/>
      <c r="J392" s="599"/>
      <c r="K392" s="599"/>
      <c r="L392" s="599"/>
      <c r="M392" s="599"/>
      <c r="N392" s="599"/>
      <c r="O392" s="599"/>
      <c r="P392" s="599"/>
      <c r="Q392" s="599"/>
      <c r="R392" s="599"/>
      <c r="S392" s="599"/>
      <c r="T392" s="599"/>
    </row>
    <row r="393" spans="1:20" ht="11.25" customHeight="1">
      <c r="A393" s="599"/>
      <c r="B393" s="599"/>
      <c r="C393" s="599"/>
      <c r="D393" s="599"/>
      <c r="E393" s="599"/>
      <c r="F393" s="599"/>
      <c r="G393" s="600"/>
      <c r="H393" s="599"/>
      <c r="I393" s="599"/>
      <c r="J393" s="599"/>
      <c r="K393" s="599"/>
      <c r="L393" s="599"/>
      <c r="M393" s="599"/>
      <c r="N393" s="599"/>
      <c r="O393" s="599"/>
      <c r="P393" s="599"/>
      <c r="Q393" s="599"/>
      <c r="R393" s="599"/>
      <c r="S393" s="599"/>
      <c r="T393" s="599"/>
    </row>
    <row r="394" spans="1:20" ht="11.25" customHeight="1">
      <c r="A394" s="599"/>
      <c r="B394" s="599"/>
      <c r="C394" s="599"/>
      <c r="D394" s="599"/>
      <c r="E394" s="599"/>
      <c r="F394" s="599"/>
      <c r="G394" s="600"/>
      <c r="H394" s="599"/>
      <c r="I394" s="599"/>
      <c r="J394" s="599"/>
      <c r="K394" s="599"/>
      <c r="L394" s="599"/>
      <c r="M394" s="599"/>
      <c r="N394" s="599"/>
      <c r="O394" s="599"/>
      <c r="P394" s="599"/>
      <c r="Q394" s="599"/>
      <c r="R394" s="599"/>
      <c r="S394" s="599"/>
      <c r="T394" s="599"/>
    </row>
    <row r="395" spans="1:20" ht="11.25" customHeight="1">
      <c r="A395" s="599"/>
      <c r="B395" s="599"/>
      <c r="C395" s="599"/>
      <c r="D395" s="599"/>
      <c r="E395" s="599"/>
      <c r="F395" s="599"/>
      <c r="G395" s="600"/>
      <c r="H395" s="599"/>
      <c r="I395" s="599"/>
      <c r="J395" s="599"/>
      <c r="K395" s="599"/>
      <c r="L395" s="599"/>
      <c r="M395" s="599"/>
      <c r="N395" s="599"/>
      <c r="O395" s="599"/>
      <c r="P395" s="599"/>
      <c r="Q395" s="599"/>
      <c r="R395" s="599"/>
      <c r="S395" s="599"/>
      <c r="T395" s="599"/>
    </row>
    <row r="396" spans="1:20" ht="11.25" customHeight="1">
      <c r="A396" s="599"/>
      <c r="B396" s="599"/>
      <c r="C396" s="599"/>
      <c r="D396" s="599"/>
      <c r="E396" s="599"/>
      <c r="F396" s="599"/>
      <c r="G396" s="600"/>
      <c r="H396" s="599"/>
      <c r="I396" s="599"/>
      <c r="J396" s="599"/>
      <c r="K396" s="599"/>
      <c r="L396" s="599"/>
      <c r="M396" s="599"/>
      <c r="N396" s="599"/>
      <c r="O396" s="599"/>
      <c r="P396" s="599"/>
      <c r="Q396" s="599"/>
      <c r="R396" s="599"/>
      <c r="S396" s="599"/>
      <c r="T396" s="599"/>
    </row>
    <row r="397" spans="1:20" ht="11.25" customHeight="1">
      <c r="A397" s="599"/>
      <c r="B397" s="599"/>
      <c r="C397" s="599"/>
      <c r="D397" s="599"/>
      <c r="E397" s="599"/>
      <c r="F397" s="599"/>
      <c r="G397" s="600"/>
      <c r="H397" s="599"/>
      <c r="I397" s="599"/>
      <c r="J397" s="599"/>
      <c r="K397" s="599"/>
      <c r="L397" s="599"/>
      <c r="M397" s="599"/>
      <c r="N397" s="599"/>
      <c r="O397" s="599"/>
      <c r="P397" s="599"/>
      <c r="Q397" s="599"/>
      <c r="R397" s="599"/>
      <c r="S397" s="599"/>
      <c r="T397" s="599"/>
    </row>
    <row r="398" spans="1:20" ht="11.25" customHeight="1">
      <c r="A398" s="599"/>
      <c r="B398" s="599"/>
      <c r="C398" s="599"/>
      <c r="D398" s="599"/>
      <c r="E398" s="599"/>
      <c r="F398" s="599"/>
      <c r="G398" s="600"/>
      <c r="H398" s="599"/>
      <c r="I398" s="599"/>
      <c r="J398" s="599"/>
      <c r="K398" s="599"/>
      <c r="L398" s="599"/>
      <c r="M398" s="599"/>
      <c r="N398" s="599"/>
      <c r="O398" s="599"/>
      <c r="P398" s="599"/>
      <c r="Q398" s="599"/>
      <c r="R398" s="599"/>
      <c r="S398" s="599"/>
      <c r="T398" s="599"/>
    </row>
    <row r="399" spans="1:20" ht="11.25" customHeight="1">
      <c r="A399" s="599"/>
      <c r="B399" s="599"/>
      <c r="C399" s="599"/>
      <c r="D399" s="599"/>
      <c r="E399" s="599"/>
      <c r="F399" s="599"/>
      <c r="G399" s="600"/>
      <c r="H399" s="599"/>
      <c r="I399" s="599"/>
      <c r="J399" s="599"/>
      <c r="K399" s="599"/>
      <c r="L399" s="599"/>
      <c r="M399" s="599"/>
      <c r="N399" s="599"/>
      <c r="O399" s="599"/>
      <c r="P399" s="599"/>
      <c r="Q399" s="599"/>
      <c r="R399" s="599"/>
      <c r="S399" s="599"/>
      <c r="T399" s="599"/>
    </row>
    <row r="400" spans="1:20" ht="11.25" customHeight="1">
      <c r="A400" s="599"/>
      <c r="B400" s="599"/>
      <c r="C400" s="599"/>
      <c r="D400" s="599"/>
      <c r="E400" s="599"/>
      <c r="F400" s="599"/>
      <c r="G400" s="600"/>
      <c r="H400" s="599"/>
      <c r="I400" s="599"/>
      <c r="J400" s="599"/>
      <c r="K400" s="599"/>
      <c r="L400" s="599"/>
      <c r="M400" s="599"/>
      <c r="N400" s="599"/>
      <c r="O400" s="599"/>
      <c r="P400" s="599"/>
      <c r="Q400" s="599"/>
      <c r="R400" s="599"/>
      <c r="S400" s="599"/>
      <c r="T400" s="599"/>
    </row>
    <row r="401" spans="1:20" ht="11.25" customHeight="1">
      <c r="A401" s="599"/>
      <c r="B401" s="599"/>
      <c r="C401" s="599"/>
      <c r="D401" s="599"/>
      <c r="E401" s="599"/>
      <c r="F401" s="599"/>
      <c r="G401" s="600"/>
      <c r="H401" s="599"/>
      <c r="I401" s="599"/>
      <c r="J401" s="599"/>
      <c r="K401" s="599"/>
      <c r="L401" s="599"/>
      <c r="M401" s="599"/>
      <c r="N401" s="599"/>
      <c r="O401" s="599"/>
      <c r="P401" s="599"/>
      <c r="Q401" s="599"/>
      <c r="R401" s="599"/>
      <c r="S401" s="599"/>
      <c r="T401" s="599"/>
    </row>
    <row r="402" spans="1:20" ht="11.25" customHeight="1">
      <c r="A402" s="599"/>
      <c r="B402" s="599"/>
      <c r="C402" s="599"/>
      <c r="D402" s="599"/>
      <c r="E402" s="599"/>
      <c r="F402" s="599"/>
      <c r="G402" s="600"/>
      <c r="H402" s="599"/>
      <c r="I402" s="599"/>
      <c r="J402" s="599"/>
      <c r="K402" s="599"/>
      <c r="L402" s="599"/>
      <c r="M402" s="599"/>
      <c r="N402" s="599"/>
      <c r="O402" s="599"/>
      <c r="P402" s="599"/>
      <c r="Q402" s="599"/>
      <c r="R402" s="599"/>
      <c r="S402" s="599"/>
      <c r="T402" s="599"/>
    </row>
    <row r="403" spans="1:20" ht="11.25" customHeight="1">
      <c r="A403" s="599"/>
      <c r="B403" s="599"/>
      <c r="C403" s="599"/>
      <c r="D403" s="599"/>
      <c r="E403" s="599"/>
      <c r="F403" s="599"/>
      <c r="G403" s="600"/>
      <c r="H403" s="599"/>
      <c r="I403" s="599"/>
      <c r="J403" s="599"/>
      <c r="K403" s="599"/>
      <c r="L403" s="599"/>
      <c r="M403" s="599"/>
      <c r="N403" s="599"/>
      <c r="O403" s="599"/>
      <c r="P403" s="599"/>
      <c r="Q403" s="599"/>
      <c r="R403" s="599"/>
      <c r="S403" s="599"/>
      <c r="T403" s="599"/>
    </row>
    <row r="404" spans="1:20" ht="11.25" customHeight="1">
      <c r="A404" s="599"/>
      <c r="B404" s="599"/>
      <c r="C404" s="599"/>
      <c r="D404" s="599"/>
      <c r="E404" s="599"/>
      <c r="F404" s="599"/>
      <c r="G404" s="600"/>
      <c r="H404" s="599"/>
      <c r="I404" s="599"/>
      <c r="J404" s="599"/>
      <c r="K404" s="599"/>
      <c r="L404" s="599"/>
      <c r="M404" s="599"/>
      <c r="N404" s="599"/>
      <c r="O404" s="599"/>
      <c r="P404" s="599"/>
      <c r="Q404" s="599"/>
      <c r="R404" s="599"/>
      <c r="S404" s="599"/>
      <c r="T404" s="599"/>
    </row>
    <row r="405" spans="1:20" ht="11.25" customHeight="1">
      <c r="A405" s="599"/>
      <c r="B405" s="599"/>
      <c r="C405" s="599"/>
      <c r="D405" s="599"/>
      <c r="E405" s="599"/>
      <c r="F405" s="599"/>
      <c r="G405" s="600"/>
      <c r="H405" s="599"/>
      <c r="I405" s="599"/>
      <c r="J405" s="599"/>
      <c r="K405" s="599"/>
      <c r="L405" s="599"/>
      <c r="M405" s="599"/>
      <c r="N405" s="599"/>
      <c r="O405" s="599"/>
      <c r="P405" s="599"/>
      <c r="Q405" s="599"/>
      <c r="R405" s="599"/>
      <c r="S405" s="599"/>
      <c r="T405" s="599"/>
    </row>
    <row r="406" spans="1:20" ht="11.25" customHeight="1">
      <c r="A406" s="599"/>
      <c r="B406" s="599"/>
      <c r="C406" s="599"/>
      <c r="D406" s="599"/>
      <c r="E406" s="599"/>
      <c r="F406" s="599"/>
      <c r="G406" s="600"/>
      <c r="H406" s="599"/>
      <c r="I406" s="599"/>
      <c r="J406" s="599"/>
      <c r="K406" s="599"/>
      <c r="L406" s="599"/>
      <c r="M406" s="599"/>
      <c r="N406" s="599"/>
      <c r="O406" s="599"/>
      <c r="P406" s="599"/>
      <c r="Q406" s="599"/>
      <c r="R406" s="599"/>
      <c r="S406" s="599"/>
      <c r="T406" s="599"/>
    </row>
    <row r="407" spans="1:20" ht="11.25" customHeight="1">
      <c r="A407" s="599"/>
      <c r="B407" s="599"/>
      <c r="C407" s="599"/>
      <c r="D407" s="599"/>
      <c r="E407" s="599"/>
      <c r="F407" s="599"/>
      <c r="G407" s="600"/>
      <c r="H407" s="599"/>
      <c r="I407" s="599"/>
      <c r="J407" s="599"/>
      <c r="K407" s="599"/>
      <c r="L407" s="599"/>
      <c r="M407" s="599"/>
      <c r="N407" s="599"/>
      <c r="O407" s="599"/>
      <c r="P407" s="599"/>
      <c r="Q407" s="599"/>
      <c r="R407" s="599"/>
      <c r="S407" s="599"/>
      <c r="T407" s="599"/>
    </row>
    <row r="408" spans="1:20" ht="11.25" customHeight="1">
      <c r="A408" s="599"/>
      <c r="B408" s="599"/>
      <c r="C408" s="599"/>
      <c r="D408" s="599"/>
      <c r="E408" s="599"/>
      <c r="F408" s="599"/>
      <c r="G408" s="600"/>
      <c r="H408" s="599"/>
      <c r="I408" s="599"/>
      <c r="J408" s="599"/>
      <c r="K408" s="599"/>
      <c r="L408" s="599"/>
      <c r="M408" s="599"/>
      <c r="N408" s="599"/>
      <c r="O408" s="599"/>
      <c r="P408" s="599"/>
      <c r="Q408" s="599"/>
      <c r="R408" s="599"/>
      <c r="S408" s="599"/>
      <c r="T408" s="599"/>
    </row>
    <row r="409" spans="1:20" ht="11.25" customHeight="1">
      <c r="A409" s="599"/>
      <c r="B409" s="599"/>
      <c r="C409" s="599"/>
      <c r="D409" s="599"/>
      <c r="E409" s="599"/>
      <c r="F409" s="599"/>
      <c r="G409" s="600"/>
      <c r="H409" s="599"/>
      <c r="I409" s="599"/>
      <c r="J409" s="599"/>
      <c r="K409" s="599"/>
      <c r="L409" s="599"/>
      <c r="M409" s="599"/>
      <c r="N409" s="599"/>
      <c r="O409" s="599"/>
      <c r="P409" s="599"/>
      <c r="Q409" s="599"/>
      <c r="R409" s="599"/>
      <c r="S409" s="599"/>
      <c r="T409" s="599"/>
    </row>
    <row r="410" spans="1:20" ht="11.25" customHeight="1">
      <c r="A410" s="599"/>
      <c r="B410" s="599"/>
      <c r="C410" s="599"/>
      <c r="D410" s="599"/>
      <c r="E410" s="599"/>
      <c r="F410" s="599"/>
      <c r="G410" s="600"/>
      <c r="H410" s="599"/>
      <c r="I410" s="599"/>
      <c r="J410" s="599"/>
      <c r="K410" s="599"/>
      <c r="L410" s="599"/>
      <c r="M410" s="599"/>
      <c r="N410" s="599"/>
      <c r="O410" s="599"/>
      <c r="P410" s="599"/>
      <c r="Q410" s="599"/>
      <c r="R410" s="599"/>
      <c r="S410" s="599"/>
      <c r="T410" s="599"/>
    </row>
    <row r="411" spans="1:20" ht="11.25" customHeight="1">
      <c r="A411" s="599"/>
      <c r="B411" s="599"/>
      <c r="C411" s="599"/>
      <c r="D411" s="599"/>
      <c r="E411" s="599"/>
      <c r="F411" s="599"/>
      <c r="G411" s="600"/>
      <c r="H411" s="599"/>
      <c r="I411" s="599"/>
      <c r="J411" s="599"/>
      <c r="K411" s="599"/>
      <c r="L411" s="599"/>
      <c r="M411" s="599"/>
      <c r="N411" s="599"/>
      <c r="O411" s="599"/>
      <c r="P411" s="599"/>
      <c r="Q411" s="599"/>
      <c r="R411" s="599"/>
      <c r="S411" s="599"/>
      <c r="T411" s="599"/>
    </row>
    <row r="412" spans="1:20" ht="11.25" customHeight="1">
      <c r="A412" s="599"/>
      <c r="B412" s="599"/>
      <c r="C412" s="599"/>
      <c r="D412" s="599"/>
      <c r="E412" s="599"/>
      <c r="F412" s="599"/>
      <c r="G412" s="600"/>
      <c r="H412" s="599"/>
      <c r="I412" s="599"/>
      <c r="J412" s="599"/>
      <c r="K412" s="599"/>
      <c r="L412" s="599"/>
      <c r="M412" s="599"/>
      <c r="N412" s="599"/>
      <c r="O412" s="599"/>
      <c r="P412" s="599"/>
      <c r="Q412" s="599"/>
      <c r="R412" s="599"/>
      <c r="S412" s="599"/>
      <c r="T412" s="599"/>
    </row>
    <row r="413" spans="1:20" ht="11.25" customHeight="1">
      <c r="A413" s="599"/>
      <c r="B413" s="599"/>
      <c r="C413" s="599"/>
      <c r="D413" s="599"/>
      <c r="E413" s="599"/>
      <c r="F413" s="599"/>
      <c r="G413" s="600"/>
      <c r="H413" s="599"/>
      <c r="I413" s="599"/>
      <c r="J413" s="599"/>
      <c r="K413" s="599"/>
      <c r="L413" s="599"/>
      <c r="M413" s="599"/>
      <c r="N413" s="599"/>
      <c r="O413" s="599"/>
      <c r="P413" s="599"/>
      <c r="Q413" s="599"/>
      <c r="R413" s="599"/>
      <c r="S413" s="599"/>
      <c r="T413" s="599"/>
    </row>
    <row r="414" spans="1:20" ht="11.25" customHeight="1">
      <c r="A414" s="599"/>
      <c r="B414" s="599"/>
      <c r="C414" s="599"/>
      <c r="D414" s="599"/>
      <c r="E414" s="599"/>
      <c r="F414" s="599"/>
      <c r="G414" s="600"/>
      <c r="H414" s="599"/>
      <c r="I414" s="599"/>
      <c r="J414" s="599"/>
      <c r="K414" s="599"/>
      <c r="L414" s="599"/>
      <c r="M414" s="599"/>
      <c r="N414" s="599"/>
      <c r="O414" s="599"/>
      <c r="P414" s="599"/>
      <c r="Q414" s="599"/>
      <c r="R414" s="599"/>
      <c r="S414" s="599"/>
      <c r="T414" s="599"/>
    </row>
    <row r="415" spans="1:20" ht="11.25" customHeight="1">
      <c r="A415" s="599"/>
      <c r="B415" s="599"/>
      <c r="C415" s="599"/>
      <c r="D415" s="599"/>
      <c r="E415" s="599"/>
      <c r="F415" s="599"/>
      <c r="G415" s="600"/>
      <c r="H415" s="599"/>
      <c r="I415" s="599"/>
      <c r="J415" s="599"/>
      <c r="K415" s="599"/>
      <c r="L415" s="599"/>
      <c r="M415" s="599"/>
      <c r="N415" s="599"/>
      <c r="O415" s="599"/>
      <c r="P415" s="599"/>
      <c r="Q415" s="599"/>
      <c r="R415" s="599"/>
      <c r="S415" s="599"/>
      <c r="T415" s="599"/>
    </row>
    <row r="416" spans="1:20" ht="11.25" customHeight="1">
      <c r="A416" s="599"/>
      <c r="B416" s="599"/>
      <c r="C416" s="599"/>
      <c r="D416" s="599"/>
      <c r="E416" s="599"/>
      <c r="F416" s="599"/>
      <c r="G416" s="600"/>
      <c r="H416" s="599"/>
      <c r="I416" s="599"/>
      <c r="J416" s="599"/>
      <c r="K416" s="599"/>
      <c r="L416" s="599"/>
      <c r="M416" s="599"/>
      <c r="N416" s="599"/>
      <c r="O416" s="599"/>
      <c r="P416" s="599"/>
      <c r="Q416" s="599"/>
      <c r="R416" s="599"/>
      <c r="S416" s="599"/>
      <c r="T416" s="599"/>
    </row>
    <row r="417" spans="1:20" ht="11.25" customHeight="1">
      <c r="A417" s="599"/>
      <c r="B417" s="599"/>
      <c r="C417" s="599"/>
      <c r="D417" s="599"/>
      <c r="E417" s="599"/>
      <c r="F417" s="599"/>
      <c r="G417" s="600"/>
      <c r="H417" s="599"/>
      <c r="I417" s="599"/>
      <c r="J417" s="599"/>
      <c r="K417" s="599"/>
      <c r="L417" s="599"/>
      <c r="M417" s="599"/>
      <c r="N417" s="599"/>
      <c r="O417" s="599"/>
      <c r="P417" s="599"/>
      <c r="Q417" s="599"/>
      <c r="R417" s="599"/>
      <c r="S417" s="599"/>
      <c r="T417" s="599"/>
    </row>
    <row r="418" spans="1:20" ht="11.25" customHeight="1">
      <c r="A418" s="599"/>
      <c r="B418" s="599"/>
      <c r="C418" s="599"/>
      <c r="D418" s="599"/>
      <c r="E418" s="599"/>
      <c r="F418" s="599"/>
      <c r="G418" s="600"/>
      <c r="H418" s="599"/>
      <c r="I418" s="599"/>
      <c r="J418" s="599"/>
      <c r="K418" s="599"/>
      <c r="L418" s="599"/>
      <c r="M418" s="599"/>
      <c r="N418" s="599"/>
      <c r="O418" s="599"/>
      <c r="P418" s="599"/>
      <c r="Q418" s="599"/>
      <c r="R418" s="599"/>
      <c r="S418" s="599"/>
      <c r="T418" s="599"/>
    </row>
    <row r="419" spans="1:20" ht="11.25" customHeight="1">
      <c r="A419" s="599"/>
      <c r="B419" s="599"/>
      <c r="C419" s="599"/>
      <c r="D419" s="599"/>
      <c r="E419" s="599"/>
      <c r="F419" s="599"/>
      <c r="G419" s="600"/>
      <c r="H419" s="599"/>
      <c r="I419" s="599"/>
      <c r="J419" s="599"/>
      <c r="K419" s="599"/>
      <c r="L419" s="599"/>
      <c r="M419" s="599"/>
      <c r="N419" s="599"/>
      <c r="O419" s="599"/>
      <c r="P419" s="599"/>
      <c r="Q419" s="599"/>
      <c r="R419" s="599"/>
      <c r="S419" s="599"/>
      <c r="T419" s="599"/>
    </row>
    <row r="420" spans="1:20" ht="11.25" customHeight="1">
      <c r="A420" s="599"/>
      <c r="B420" s="599"/>
      <c r="C420" s="599"/>
      <c r="D420" s="599"/>
      <c r="E420" s="599"/>
      <c r="F420" s="599"/>
      <c r="G420" s="600"/>
      <c r="H420" s="599"/>
      <c r="I420" s="599"/>
      <c r="J420" s="599"/>
      <c r="K420" s="599"/>
      <c r="L420" s="599"/>
      <c r="M420" s="599"/>
      <c r="N420" s="599"/>
      <c r="O420" s="599"/>
      <c r="P420" s="599"/>
      <c r="Q420" s="599"/>
      <c r="R420" s="599"/>
      <c r="S420" s="599"/>
      <c r="T420" s="599"/>
    </row>
    <row r="421" spans="1:20" ht="11.25" customHeight="1">
      <c r="A421" s="599"/>
      <c r="B421" s="599"/>
      <c r="C421" s="599"/>
      <c r="D421" s="599"/>
      <c r="E421" s="599"/>
      <c r="F421" s="599"/>
      <c r="G421" s="600"/>
      <c r="H421" s="599"/>
      <c r="I421" s="599"/>
      <c r="J421" s="599"/>
      <c r="K421" s="599"/>
      <c r="L421" s="599"/>
      <c r="M421" s="599"/>
      <c r="N421" s="599"/>
      <c r="O421" s="599"/>
      <c r="P421" s="599"/>
      <c r="Q421" s="599"/>
      <c r="R421" s="599"/>
      <c r="S421" s="599"/>
      <c r="T421" s="599"/>
    </row>
    <row r="422" spans="1:20" ht="11.25" customHeight="1">
      <c r="A422" s="599"/>
      <c r="B422" s="599"/>
      <c r="C422" s="599"/>
      <c r="D422" s="599"/>
      <c r="E422" s="599"/>
      <c r="F422" s="599"/>
      <c r="G422" s="600"/>
      <c r="H422" s="599"/>
      <c r="I422" s="599"/>
      <c r="J422" s="599"/>
      <c r="K422" s="599"/>
      <c r="L422" s="599"/>
      <c r="M422" s="599"/>
      <c r="N422" s="599"/>
      <c r="O422" s="599"/>
      <c r="P422" s="599"/>
      <c r="Q422" s="599"/>
      <c r="R422" s="599"/>
      <c r="S422" s="599"/>
      <c r="T422" s="599"/>
    </row>
    <row r="423" spans="1:20" ht="11.25" customHeight="1">
      <c r="A423" s="599"/>
      <c r="B423" s="599"/>
      <c r="C423" s="599"/>
      <c r="D423" s="599"/>
      <c r="E423" s="599"/>
      <c r="F423" s="599"/>
      <c r="G423" s="600"/>
      <c r="H423" s="599"/>
      <c r="I423" s="599"/>
      <c r="J423" s="599"/>
      <c r="K423" s="599"/>
      <c r="L423" s="599"/>
      <c r="M423" s="599"/>
      <c r="N423" s="599"/>
      <c r="O423" s="599"/>
      <c r="P423" s="599"/>
      <c r="Q423" s="599"/>
      <c r="R423" s="599"/>
      <c r="S423" s="599"/>
      <c r="T423" s="599"/>
    </row>
    <row r="424" spans="1:20" ht="11.25" customHeight="1">
      <c r="A424" s="599"/>
      <c r="B424" s="599"/>
      <c r="C424" s="599"/>
      <c r="D424" s="599"/>
      <c r="E424" s="599"/>
      <c r="F424" s="599"/>
      <c r="G424" s="600"/>
      <c r="H424" s="599"/>
      <c r="I424" s="599"/>
      <c r="J424" s="599"/>
      <c r="K424" s="599"/>
      <c r="L424" s="599"/>
      <c r="M424" s="599"/>
      <c r="N424" s="599"/>
      <c r="O424" s="599"/>
      <c r="P424" s="599"/>
      <c r="Q424" s="599"/>
      <c r="R424" s="599"/>
      <c r="S424" s="599"/>
      <c r="T424" s="599"/>
    </row>
    <row r="425" spans="1:20" ht="11.25" customHeight="1">
      <c r="A425" s="599"/>
      <c r="B425" s="599"/>
      <c r="C425" s="599"/>
      <c r="D425" s="599"/>
      <c r="E425" s="599"/>
      <c r="F425" s="599"/>
      <c r="G425" s="600"/>
      <c r="H425" s="599"/>
      <c r="I425" s="599"/>
      <c r="J425" s="599"/>
      <c r="K425" s="599"/>
      <c r="L425" s="599"/>
      <c r="M425" s="599"/>
      <c r="N425" s="599"/>
      <c r="O425" s="599"/>
      <c r="P425" s="599"/>
      <c r="Q425" s="599"/>
      <c r="R425" s="599"/>
      <c r="S425" s="599"/>
      <c r="T425" s="599"/>
    </row>
    <row r="426" spans="1:20" ht="11.25" customHeight="1">
      <c r="A426" s="599"/>
      <c r="B426" s="599"/>
      <c r="C426" s="599"/>
      <c r="D426" s="599"/>
      <c r="E426" s="599"/>
      <c r="F426" s="599"/>
      <c r="G426" s="600"/>
      <c r="H426" s="599"/>
      <c r="I426" s="599"/>
      <c r="J426" s="599"/>
      <c r="K426" s="599"/>
      <c r="L426" s="599"/>
      <c r="M426" s="599"/>
      <c r="N426" s="599"/>
      <c r="O426" s="599"/>
      <c r="P426" s="599"/>
      <c r="Q426" s="599"/>
      <c r="R426" s="599"/>
      <c r="S426" s="599"/>
      <c r="T426" s="599"/>
    </row>
    <row r="427" spans="1:20" ht="11.25" customHeight="1">
      <c r="A427" s="599"/>
      <c r="B427" s="599"/>
      <c r="C427" s="599"/>
      <c r="D427" s="599"/>
      <c r="E427" s="599"/>
      <c r="F427" s="599"/>
      <c r="G427" s="600"/>
      <c r="H427" s="599"/>
      <c r="I427" s="599"/>
      <c r="J427" s="599"/>
      <c r="K427" s="599"/>
      <c r="L427" s="599"/>
      <c r="M427" s="599"/>
      <c r="N427" s="599"/>
      <c r="O427" s="599"/>
      <c r="P427" s="599"/>
      <c r="Q427" s="599"/>
      <c r="R427" s="599"/>
      <c r="S427" s="599"/>
      <c r="T427" s="599"/>
    </row>
    <row r="428" spans="1:20" ht="11.25" customHeight="1">
      <c r="A428" s="599"/>
      <c r="B428" s="599"/>
      <c r="C428" s="599"/>
      <c r="D428" s="599"/>
      <c r="E428" s="599"/>
      <c r="F428" s="599"/>
      <c r="G428" s="600"/>
      <c r="H428" s="599"/>
      <c r="I428" s="599"/>
      <c r="J428" s="599"/>
      <c r="K428" s="599"/>
      <c r="L428" s="599"/>
      <c r="M428" s="599"/>
      <c r="N428" s="599"/>
      <c r="O428" s="599"/>
      <c r="P428" s="599"/>
      <c r="Q428" s="599"/>
      <c r="R428" s="599"/>
      <c r="S428" s="599"/>
      <c r="T428" s="599"/>
    </row>
    <row r="429" spans="1:20" ht="11.25" customHeight="1">
      <c r="A429" s="599"/>
      <c r="B429" s="599"/>
      <c r="C429" s="599"/>
      <c r="D429" s="599"/>
      <c r="E429" s="599"/>
      <c r="F429" s="599"/>
      <c r="G429" s="600"/>
      <c r="H429" s="599"/>
      <c r="I429" s="599"/>
      <c r="J429" s="599"/>
      <c r="K429" s="599"/>
      <c r="L429" s="599"/>
      <c r="M429" s="599"/>
      <c r="N429" s="599"/>
      <c r="O429" s="599"/>
      <c r="P429" s="599"/>
      <c r="Q429" s="599"/>
      <c r="R429" s="599"/>
      <c r="S429" s="599"/>
      <c r="T429" s="599"/>
    </row>
    <row r="430" spans="1:20" ht="11.25" customHeight="1">
      <c r="A430" s="599"/>
      <c r="B430" s="599"/>
      <c r="C430" s="599"/>
      <c r="D430" s="599"/>
      <c r="E430" s="599"/>
      <c r="F430" s="599"/>
      <c r="G430" s="600"/>
      <c r="H430" s="599"/>
      <c r="I430" s="599"/>
      <c r="J430" s="599"/>
      <c r="K430" s="599"/>
      <c r="L430" s="599"/>
      <c r="M430" s="599"/>
      <c r="N430" s="599"/>
      <c r="O430" s="599"/>
      <c r="P430" s="599"/>
      <c r="Q430" s="599"/>
      <c r="R430" s="599"/>
      <c r="S430" s="599"/>
      <c r="T430" s="599"/>
    </row>
    <row r="431" spans="1:20" ht="11.25" customHeight="1">
      <c r="A431" s="599"/>
      <c r="B431" s="599"/>
      <c r="C431" s="599"/>
      <c r="D431" s="599"/>
      <c r="E431" s="599"/>
      <c r="F431" s="599"/>
      <c r="G431" s="600"/>
      <c r="H431" s="599"/>
      <c r="I431" s="599"/>
      <c r="J431" s="599"/>
      <c r="K431" s="599"/>
      <c r="L431" s="599"/>
      <c r="M431" s="599"/>
      <c r="N431" s="599"/>
      <c r="O431" s="599"/>
      <c r="P431" s="599"/>
      <c r="Q431" s="599"/>
      <c r="R431" s="599"/>
      <c r="S431" s="599"/>
      <c r="T431" s="599"/>
    </row>
    <row r="432" spans="1:20" ht="11.25" customHeight="1">
      <c r="A432" s="599"/>
      <c r="B432" s="599"/>
      <c r="C432" s="599"/>
      <c r="D432" s="599"/>
      <c r="E432" s="599"/>
      <c r="F432" s="599"/>
      <c r="G432" s="600"/>
      <c r="H432" s="599"/>
      <c r="I432" s="599"/>
      <c r="J432" s="599"/>
      <c r="K432" s="599"/>
      <c r="L432" s="599"/>
      <c r="M432" s="599"/>
      <c r="N432" s="599"/>
      <c r="O432" s="599"/>
      <c r="P432" s="599"/>
      <c r="Q432" s="599"/>
      <c r="R432" s="599"/>
      <c r="S432" s="599"/>
      <c r="T432" s="599"/>
    </row>
    <row r="433" spans="1:20" ht="11.25" customHeight="1">
      <c r="A433" s="599"/>
      <c r="B433" s="599"/>
      <c r="C433" s="599"/>
      <c r="D433" s="599"/>
      <c r="E433" s="599"/>
      <c r="F433" s="599"/>
      <c r="G433" s="600"/>
      <c r="H433" s="599"/>
      <c r="I433" s="599"/>
      <c r="J433" s="599"/>
      <c r="K433" s="599"/>
      <c r="L433" s="599"/>
      <c r="M433" s="599"/>
      <c r="N433" s="599"/>
      <c r="O433" s="599"/>
      <c r="P433" s="599"/>
      <c r="Q433" s="599"/>
      <c r="R433" s="599"/>
      <c r="S433" s="599"/>
      <c r="T433" s="599"/>
    </row>
    <row r="434" spans="1:20" ht="11.25" customHeight="1">
      <c r="A434" s="599"/>
      <c r="B434" s="599"/>
      <c r="C434" s="599"/>
      <c r="D434" s="599"/>
      <c r="E434" s="599"/>
      <c r="F434" s="599"/>
      <c r="G434" s="600"/>
      <c r="H434" s="599"/>
      <c r="I434" s="599"/>
      <c r="J434" s="599"/>
      <c r="K434" s="599"/>
      <c r="L434" s="599"/>
      <c r="M434" s="599"/>
      <c r="N434" s="599"/>
      <c r="O434" s="599"/>
      <c r="P434" s="599"/>
      <c r="Q434" s="599"/>
      <c r="R434" s="599"/>
      <c r="S434" s="599"/>
      <c r="T434" s="599"/>
    </row>
    <row r="435" spans="1:20" ht="11.25" customHeight="1">
      <c r="A435" s="599"/>
      <c r="B435" s="599"/>
      <c r="C435" s="599"/>
      <c r="D435" s="599"/>
      <c r="E435" s="599"/>
      <c r="F435" s="599"/>
      <c r="G435" s="600"/>
      <c r="H435" s="599"/>
      <c r="I435" s="599"/>
      <c r="J435" s="599"/>
      <c r="K435" s="599"/>
      <c r="L435" s="599"/>
      <c r="M435" s="599"/>
      <c r="N435" s="599"/>
      <c r="O435" s="599"/>
      <c r="P435" s="599"/>
      <c r="Q435" s="599"/>
      <c r="R435" s="599"/>
      <c r="S435" s="599"/>
      <c r="T435" s="599"/>
    </row>
    <row r="436" spans="1:20" ht="11.25" customHeight="1">
      <c r="A436" s="599"/>
      <c r="B436" s="599"/>
      <c r="C436" s="599"/>
      <c r="D436" s="599"/>
      <c r="E436" s="599"/>
      <c r="F436" s="599"/>
      <c r="G436" s="600"/>
      <c r="H436" s="599"/>
      <c r="I436" s="599"/>
      <c r="J436" s="599"/>
      <c r="K436" s="599"/>
      <c r="L436" s="599"/>
      <c r="M436" s="599"/>
      <c r="N436" s="599"/>
      <c r="O436" s="599"/>
      <c r="P436" s="599"/>
      <c r="Q436" s="599"/>
      <c r="R436" s="599"/>
      <c r="S436" s="599"/>
      <c r="T436" s="599"/>
    </row>
    <row r="437" spans="1:20" ht="11.25" customHeight="1">
      <c r="A437" s="599"/>
      <c r="B437" s="599"/>
      <c r="C437" s="599"/>
      <c r="D437" s="599"/>
      <c r="E437" s="599"/>
      <c r="F437" s="599"/>
      <c r="G437" s="600"/>
      <c r="H437" s="599"/>
      <c r="I437" s="599"/>
      <c r="J437" s="599"/>
      <c r="K437" s="599"/>
      <c r="L437" s="599"/>
      <c r="M437" s="599"/>
      <c r="N437" s="599"/>
      <c r="O437" s="599"/>
      <c r="P437" s="599"/>
      <c r="Q437" s="599"/>
      <c r="R437" s="599"/>
      <c r="S437" s="599"/>
      <c r="T437" s="599"/>
    </row>
    <row r="438" spans="1:20" ht="11.25" customHeight="1">
      <c r="A438" s="599"/>
      <c r="B438" s="599"/>
      <c r="C438" s="599"/>
      <c r="D438" s="599"/>
      <c r="E438" s="599"/>
      <c r="F438" s="599"/>
      <c r="G438" s="600"/>
      <c r="H438" s="599"/>
      <c r="I438" s="599"/>
      <c r="J438" s="599"/>
      <c r="K438" s="599"/>
      <c r="L438" s="599"/>
      <c r="M438" s="599"/>
      <c r="N438" s="599"/>
      <c r="O438" s="599"/>
      <c r="P438" s="599"/>
      <c r="Q438" s="599"/>
      <c r="R438" s="599"/>
      <c r="S438" s="599"/>
      <c r="T438" s="599"/>
    </row>
    <row r="439" spans="1:20" ht="11.25" customHeight="1">
      <c r="A439" s="599"/>
      <c r="B439" s="599"/>
      <c r="C439" s="599"/>
      <c r="D439" s="599"/>
      <c r="E439" s="599"/>
      <c r="F439" s="599"/>
      <c r="G439" s="600"/>
      <c r="H439" s="599"/>
      <c r="I439" s="599"/>
      <c r="J439" s="599"/>
      <c r="K439" s="599"/>
      <c r="L439" s="599"/>
      <c r="M439" s="599"/>
      <c r="N439" s="599"/>
      <c r="O439" s="599"/>
      <c r="P439" s="599"/>
      <c r="Q439" s="599"/>
      <c r="R439" s="599"/>
      <c r="S439" s="599"/>
      <c r="T439" s="599"/>
    </row>
    <row r="440" spans="1:20" ht="11.25" customHeight="1">
      <c r="A440" s="599"/>
      <c r="B440" s="599"/>
      <c r="C440" s="599"/>
      <c r="D440" s="599"/>
      <c r="E440" s="599"/>
      <c r="F440" s="599"/>
      <c r="G440" s="600"/>
      <c r="H440" s="599"/>
      <c r="I440" s="599"/>
      <c r="J440" s="599"/>
      <c r="K440" s="599"/>
      <c r="L440" s="599"/>
      <c r="M440" s="599"/>
      <c r="N440" s="599"/>
      <c r="O440" s="599"/>
      <c r="P440" s="599"/>
      <c r="Q440" s="599"/>
      <c r="R440" s="599"/>
      <c r="S440" s="599"/>
      <c r="T440" s="599"/>
    </row>
    <row r="441" spans="1:20" ht="11.25" customHeight="1">
      <c r="A441" s="599"/>
      <c r="B441" s="599"/>
      <c r="C441" s="599"/>
      <c r="D441" s="599"/>
      <c r="E441" s="599"/>
      <c r="F441" s="599"/>
      <c r="G441" s="600"/>
      <c r="H441" s="599"/>
      <c r="I441" s="599"/>
      <c r="J441" s="599"/>
      <c r="K441" s="599"/>
      <c r="L441" s="599"/>
      <c r="M441" s="599"/>
      <c r="N441" s="599"/>
      <c r="O441" s="599"/>
      <c r="P441" s="599"/>
      <c r="Q441" s="599"/>
      <c r="R441" s="599"/>
      <c r="S441" s="599"/>
      <c r="T441" s="599"/>
    </row>
    <row r="442" spans="1:20" ht="11.25" customHeight="1">
      <c r="A442" s="599"/>
      <c r="B442" s="599"/>
      <c r="C442" s="599"/>
      <c r="D442" s="599"/>
      <c r="E442" s="599"/>
      <c r="F442" s="599"/>
      <c r="G442" s="600"/>
      <c r="H442" s="599"/>
      <c r="I442" s="599"/>
      <c r="J442" s="599"/>
      <c r="K442" s="599"/>
      <c r="L442" s="599"/>
      <c r="M442" s="599"/>
      <c r="N442" s="599"/>
      <c r="O442" s="599"/>
      <c r="P442" s="599"/>
      <c r="Q442" s="599"/>
      <c r="R442" s="599"/>
      <c r="S442" s="599"/>
      <c r="T442" s="599"/>
    </row>
    <row r="443" spans="1:20" ht="11.25" customHeight="1">
      <c r="A443" s="599"/>
      <c r="B443" s="599"/>
      <c r="C443" s="599"/>
      <c r="D443" s="599"/>
      <c r="E443" s="599"/>
      <c r="F443" s="599"/>
      <c r="G443" s="600"/>
      <c r="H443" s="599"/>
      <c r="I443" s="599"/>
      <c r="J443" s="599"/>
      <c r="K443" s="599"/>
      <c r="L443" s="599"/>
      <c r="M443" s="599"/>
      <c r="N443" s="599"/>
      <c r="O443" s="599"/>
      <c r="P443" s="599"/>
      <c r="Q443" s="599"/>
      <c r="R443" s="599"/>
      <c r="S443" s="599"/>
      <c r="T443" s="599"/>
    </row>
    <row r="444" spans="1:20" ht="11.25" customHeight="1">
      <c r="A444" s="599"/>
      <c r="B444" s="599"/>
      <c r="C444" s="599"/>
      <c r="D444" s="599"/>
      <c r="E444" s="599"/>
      <c r="F444" s="599"/>
      <c r="G444" s="600"/>
      <c r="H444" s="599"/>
      <c r="I444" s="599"/>
      <c r="J444" s="599"/>
      <c r="K444" s="599"/>
      <c r="L444" s="599"/>
      <c r="M444" s="599"/>
      <c r="N444" s="599"/>
      <c r="O444" s="599"/>
      <c r="P444" s="599"/>
      <c r="Q444" s="599"/>
      <c r="R444" s="599"/>
      <c r="S444" s="599"/>
      <c r="T444" s="599"/>
    </row>
    <row r="445" spans="1:20" ht="11.25" customHeight="1">
      <c r="A445" s="599"/>
      <c r="B445" s="599"/>
      <c r="C445" s="599"/>
      <c r="D445" s="599"/>
      <c r="E445" s="599"/>
      <c r="F445" s="599"/>
      <c r="G445" s="600"/>
      <c r="H445" s="599"/>
      <c r="I445" s="599"/>
      <c r="J445" s="599"/>
      <c r="K445" s="599"/>
      <c r="L445" s="599"/>
      <c r="M445" s="599"/>
      <c r="N445" s="599"/>
      <c r="O445" s="599"/>
      <c r="P445" s="599"/>
      <c r="Q445" s="599"/>
      <c r="R445" s="599"/>
      <c r="S445" s="599"/>
      <c r="T445" s="599"/>
    </row>
    <row r="446" spans="1:20" ht="11.25" customHeight="1">
      <c r="A446" s="599"/>
      <c r="B446" s="599"/>
      <c r="C446" s="599"/>
      <c r="D446" s="599"/>
      <c r="E446" s="599"/>
      <c r="F446" s="599"/>
      <c r="G446" s="600"/>
      <c r="H446" s="599"/>
      <c r="I446" s="599"/>
      <c r="J446" s="599"/>
      <c r="K446" s="599"/>
      <c r="L446" s="599"/>
      <c r="M446" s="599"/>
      <c r="N446" s="599"/>
      <c r="O446" s="599"/>
      <c r="P446" s="599"/>
      <c r="Q446" s="599"/>
      <c r="R446" s="599"/>
      <c r="S446" s="599"/>
      <c r="T446" s="599"/>
    </row>
    <row r="447" spans="1:20" ht="11.25" customHeight="1">
      <c r="A447" s="599"/>
      <c r="B447" s="599"/>
      <c r="C447" s="599"/>
      <c r="D447" s="599"/>
      <c r="E447" s="599"/>
      <c r="F447" s="599"/>
      <c r="G447" s="600"/>
      <c r="H447" s="599"/>
      <c r="I447" s="599"/>
      <c r="J447" s="599"/>
      <c r="K447" s="599"/>
      <c r="L447" s="599"/>
      <c r="M447" s="599"/>
      <c r="N447" s="599"/>
      <c r="O447" s="599"/>
      <c r="P447" s="599"/>
      <c r="Q447" s="599"/>
      <c r="R447" s="599"/>
      <c r="S447" s="599"/>
      <c r="T447" s="599"/>
    </row>
    <row r="448" spans="1:20" ht="11.25" customHeight="1">
      <c r="A448" s="599"/>
      <c r="B448" s="599"/>
      <c r="C448" s="599"/>
      <c r="D448" s="599"/>
      <c r="E448" s="599"/>
      <c r="F448" s="599"/>
      <c r="G448" s="600"/>
      <c r="H448" s="599"/>
      <c r="I448" s="599"/>
      <c r="J448" s="599"/>
      <c r="K448" s="599"/>
      <c r="L448" s="599"/>
      <c r="M448" s="599"/>
      <c r="N448" s="599"/>
      <c r="O448" s="599"/>
      <c r="P448" s="599"/>
      <c r="Q448" s="599"/>
      <c r="R448" s="599"/>
      <c r="S448" s="599"/>
      <c r="T448" s="599"/>
    </row>
    <row r="449" spans="1:20" ht="11.25" customHeight="1">
      <c r="A449" s="599"/>
      <c r="B449" s="599"/>
      <c r="C449" s="599"/>
      <c r="D449" s="599"/>
      <c r="E449" s="599"/>
      <c r="F449" s="599"/>
      <c r="G449" s="600"/>
      <c r="H449" s="599"/>
      <c r="I449" s="599"/>
      <c r="J449" s="599"/>
      <c r="K449" s="599"/>
      <c r="L449" s="599"/>
      <c r="M449" s="599"/>
      <c r="N449" s="599"/>
      <c r="O449" s="599"/>
      <c r="P449" s="599"/>
      <c r="Q449" s="599"/>
      <c r="R449" s="599"/>
      <c r="S449" s="599"/>
      <c r="T449" s="599"/>
    </row>
    <row r="450" spans="1:20" ht="11.25" customHeight="1">
      <c r="A450" s="599"/>
      <c r="B450" s="599"/>
      <c r="C450" s="599"/>
      <c r="D450" s="599"/>
      <c r="E450" s="599"/>
      <c r="F450" s="599"/>
      <c r="G450" s="600"/>
      <c r="H450" s="599"/>
      <c r="I450" s="599"/>
      <c r="J450" s="599"/>
      <c r="K450" s="599"/>
      <c r="L450" s="599"/>
      <c r="M450" s="599"/>
      <c r="N450" s="599"/>
      <c r="O450" s="599"/>
      <c r="P450" s="599"/>
      <c r="Q450" s="599"/>
      <c r="R450" s="599"/>
      <c r="S450" s="599"/>
      <c r="T450" s="599"/>
    </row>
    <row r="451" spans="1:20" ht="11.25" customHeight="1">
      <c r="A451" s="599"/>
      <c r="B451" s="599"/>
      <c r="C451" s="599"/>
      <c r="D451" s="599"/>
      <c r="E451" s="599"/>
      <c r="F451" s="599"/>
      <c r="G451" s="600"/>
      <c r="H451" s="599"/>
      <c r="I451" s="599"/>
      <c r="J451" s="599"/>
      <c r="K451" s="599"/>
      <c r="L451" s="599"/>
      <c r="M451" s="599"/>
      <c r="N451" s="599"/>
      <c r="O451" s="599"/>
      <c r="P451" s="599"/>
      <c r="Q451" s="599"/>
      <c r="R451" s="599"/>
      <c r="S451" s="599"/>
      <c r="T451" s="599"/>
    </row>
    <row r="452" spans="1:20" ht="11.25" customHeight="1">
      <c r="A452" s="599"/>
      <c r="B452" s="599"/>
      <c r="C452" s="599"/>
      <c r="D452" s="599"/>
      <c r="E452" s="599"/>
      <c r="F452" s="599"/>
      <c r="G452" s="600"/>
      <c r="H452" s="599"/>
      <c r="I452" s="599"/>
      <c r="J452" s="599"/>
      <c r="K452" s="599"/>
      <c r="L452" s="599"/>
      <c r="M452" s="599"/>
      <c r="N452" s="599"/>
      <c r="O452" s="599"/>
      <c r="P452" s="599"/>
      <c r="Q452" s="599"/>
      <c r="R452" s="599"/>
      <c r="S452" s="599"/>
      <c r="T452" s="599"/>
    </row>
    <row r="453" spans="1:20" ht="11.25" customHeight="1">
      <c r="A453" s="599"/>
      <c r="B453" s="599"/>
      <c r="C453" s="599"/>
      <c r="D453" s="599"/>
      <c r="E453" s="599"/>
      <c r="F453" s="599"/>
      <c r="G453" s="600"/>
      <c r="H453" s="599"/>
      <c r="I453" s="599"/>
      <c r="J453" s="599"/>
      <c r="K453" s="599"/>
      <c r="L453" s="599"/>
      <c r="M453" s="599"/>
      <c r="N453" s="599"/>
      <c r="O453" s="599"/>
      <c r="P453" s="599"/>
      <c r="Q453" s="599"/>
      <c r="R453" s="599"/>
      <c r="S453" s="599"/>
      <c r="T453" s="599"/>
    </row>
    <row r="454" spans="1:20" ht="11.25" customHeight="1">
      <c r="A454" s="599"/>
      <c r="B454" s="599"/>
      <c r="C454" s="599"/>
      <c r="D454" s="599"/>
      <c r="E454" s="599"/>
      <c r="F454" s="599"/>
      <c r="G454" s="600"/>
      <c r="H454" s="599"/>
      <c r="I454" s="599"/>
      <c r="J454" s="599"/>
      <c r="K454" s="599"/>
      <c r="L454" s="599"/>
      <c r="M454" s="599"/>
      <c r="N454" s="599"/>
      <c r="O454" s="599"/>
      <c r="P454" s="599"/>
      <c r="Q454" s="599"/>
      <c r="R454" s="599"/>
      <c r="S454" s="599"/>
      <c r="T454" s="599"/>
    </row>
    <row r="455" spans="1:20" ht="11.25" customHeight="1">
      <c r="A455" s="599"/>
      <c r="B455" s="599"/>
      <c r="C455" s="599"/>
      <c r="D455" s="599"/>
      <c r="E455" s="599"/>
      <c r="F455" s="599"/>
      <c r="G455" s="600"/>
      <c r="H455" s="599"/>
      <c r="I455" s="599"/>
      <c r="J455" s="599"/>
      <c r="K455" s="599"/>
      <c r="L455" s="599"/>
      <c r="M455" s="599"/>
      <c r="N455" s="599"/>
      <c r="O455" s="599"/>
      <c r="P455" s="599"/>
      <c r="Q455" s="599"/>
      <c r="R455" s="599"/>
      <c r="S455" s="599"/>
      <c r="T455" s="599"/>
    </row>
    <row r="456" spans="1:20" ht="11.25" customHeight="1">
      <c r="A456" s="599"/>
      <c r="B456" s="599"/>
      <c r="C456" s="599"/>
      <c r="D456" s="599"/>
      <c r="E456" s="599"/>
      <c r="F456" s="599"/>
      <c r="G456" s="600"/>
      <c r="H456" s="599"/>
      <c r="I456" s="599"/>
      <c r="J456" s="599"/>
      <c r="K456" s="599"/>
      <c r="L456" s="599"/>
      <c r="M456" s="599"/>
      <c r="N456" s="599"/>
      <c r="O456" s="599"/>
      <c r="P456" s="599"/>
      <c r="Q456" s="599"/>
      <c r="R456" s="599"/>
      <c r="S456" s="599"/>
      <c r="T456" s="599"/>
    </row>
    <row r="457" spans="1:20" ht="11.25" customHeight="1">
      <c r="A457" s="599"/>
      <c r="B457" s="599"/>
      <c r="C457" s="599"/>
      <c r="D457" s="599"/>
      <c r="E457" s="599"/>
      <c r="F457" s="599"/>
      <c r="G457" s="600"/>
      <c r="H457" s="599"/>
      <c r="I457" s="599"/>
      <c r="J457" s="599"/>
      <c r="K457" s="599"/>
      <c r="L457" s="599"/>
      <c r="M457" s="599"/>
      <c r="N457" s="599"/>
      <c r="O457" s="599"/>
      <c r="P457" s="599"/>
      <c r="Q457" s="599"/>
      <c r="R457" s="599"/>
      <c r="S457" s="599"/>
      <c r="T457" s="599"/>
    </row>
    <row r="458" spans="1:20" ht="11.25" customHeight="1">
      <c r="A458" s="599"/>
      <c r="B458" s="599"/>
      <c r="C458" s="599"/>
      <c r="D458" s="599"/>
      <c r="E458" s="599"/>
      <c r="F458" s="599"/>
      <c r="G458" s="600"/>
      <c r="H458" s="599"/>
      <c r="I458" s="599"/>
      <c r="J458" s="599"/>
      <c r="K458" s="599"/>
      <c r="L458" s="599"/>
      <c r="M458" s="599"/>
      <c r="N458" s="599"/>
      <c r="O458" s="599"/>
      <c r="P458" s="599"/>
      <c r="Q458" s="599"/>
      <c r="R458" s="599"/>
      <c r="S458" s="599"/>
      <c r="T458" s="599"/>
    </row>
    <row r="459" spans="1:20" ht="11.25" customHeight="1">
      <c r="A459" s="599"/>
      <c r="B459" s="599"/>
      <c r="C459" s="599"/>
      <c r="D459" s="599"/>
      <c r="E459" s="599"/>
      <c r="F459" s="599"/>
      <c r="G459" s="600"/>
      <c r="H459" s="599"/>
      <c r="I459" s="599"/>
      <c r="J459" s="599"/>
      <c r="K459" s="599"/>
      <c r="L459" s="599"/>
      <c r="M459" s="599"/>
      <c r="N459" s="599"/>
      <c r="O459" s="599"/>
      <c r="P459" s="599"/>
      <c r="Q459" s="599"/>
      <c r="R459" s="599"/>
      <c r="S459" s="599"/>
      <c r="T459" s="599"/>
    </row>
    <row r="460" spans="1:20" ht="11.25" customHeight="1">
      <c r="A460" s="599"/>
      <c r="B460" s="599"/>
      <c r="C460" s="599"/>
      <c r="D460" s="599"/>
      <c r="E460" s="599"/>
      <c r="F460" s="599"/>
      <c r="G460" s="600"/>
      <c r="H460" s="599"/>
      <c r="I460" s="599"/>
      <c r="J460" s="599"/>
      <c r="K460" s="599"/>
      <c r="L460" s="599"/>
      <c r="M460" s="599"/>
      <c r="N460" s="599"/>
      <c r="O460" s="599"/>
      <c r="P460" s="599"/>
      <c r="Q460" s="599"/>
      <c r="R460" s="599"/>
      <c r="S460" s="599"/>
      <c r="T460" s="599"/>
    </row>
    <row r="461" spans="1:20" ht="11.25" customHeight="1">
      <c r="A461" s="599"/>
      <c r="B461" s="599"/>
      <c r="C461" s="599"/>
      <c r="D461" s="599"/>
      <c r="E461" s="599"/>
      <c r="F461" s="599"/>
      <c r="G461" s="600"/>
      <c r="H461" s="599"/>
      <c r="I461" s="599"/>
      <c r="J461" s="599"/>
      <c r="K461" s="599"/>
      <c r="L461" s="599"/>
      <c r="M461" s="599"/>
      <c r="N461" s="599"/>
      <c r="O461" s="599"/>
      <c r="P461" s="599"/>
      <c r="Q461" s="599"/>
      <c r="R461" s="599"/>
      <c r="S461" s="599"/>
      <c r="T461" s="599"/>
    </row>
    <row r="462" spans="1:20" ht="11.25" customHeight="1">
      <c r="A462" s="599"/>
      <c r="B462" s="599"/>
      <c r="C462" s="599"/>
      <c r="D462" s="599"/>
      <c r="E462" s="599"/>
      <c r="F462" s="599"/>
      <c r="G462" s="600"/>
      <c r="H462" s="599"/>
      <c r="I462" s="599"/>
      <c r="J462" s="599"/>
      <c r="K462" s="599"/>
      <c r="L462" s="599"/>
      <c r="M462" s="599"/>
      <c r="N462" s="599"/>
      <c r="O462" s="599"/>
      <c r="P462" s="599"/>
      <c r="Q462" s="599"/>
      <c r="R462" s="599"/>
      <c r="S462" s="599"/>
      <c r="T462" s="599"/>
    </row>
    <row r="463" spans="1:20" ht="11.25" customHeight="1">
      <c r="A463" s="599"/>
      <c r="B463" s="599"/>
      <c r="C463" s="599"/>
      <c r="D463" s="599"/>
      <c r="E463" s="599"/>
      <c r="F463" s="599"/>
      <c r="G463" s="600"/>
      <c r="H463" s="599"/>
      <c r="I463" s="599"/>
      <c r="J463" s="599"/>
      <c r="K463" s="599"/>
      <c r="L463" s="599"/>
      <c r="M463" s="599"/>
      <c r="N463" s="599"/>
      <c r="O463" s="599"/>
      <c r="P463" s="599"/>
      <c r="Q463" s="599"/>
      <c r="R463" s="599"/>
      <c r="S463" s="599"/>
      <c r="T463" s="599"/>
    </row>
    <row r="464" spans="1:20" ht="11.25" customHeight="1">
      <c r="A464" s="599"/>
      <c r="B464" s="599"/>
      <c r="C464" s="599"/>
      <c r="D464" s="599"/>
      <c r="E464" s="599"/>
      <c r="F464" s="599"/>
      <c r="G464" s="600"/>
      <c r="H464" s="599"/>
      <c r="I464" s="599"/>
      <c r="J464" s="599"/>
      <c r="K464" s="599"/>
      <c r="L464" s="599"/>
      <c r="M464" s="599"/>
      <c r="N464" s="599"/>
      <c r="O464" s="599"/>
      <c r="P464" s="599"/>
      <c r="Q464" s="599"/>
      <c r="R464" s="599"/>
      <c r="S464" s="599"/>
      <c r="T464" s="599"/>
    </row>
    <row r="465" spans="1:20" ht="11.25" customHeight="1">
      <c r="A465" s="599"/>
      <c r="B465" s="599"/>
      <c r="C465" s="599"/>
      <c r="D465" s="599"/>
      <c r="E465" s="599"/>
      <c r="F465" s="599"/>
      <c r="G465" s="600"/>
      <c r="H465" s="599"/>
      <c r="I465" s="599"/>
      <c r="J465" s="599"/>
      <c r="K465" s="599"/>
      <c r="L465" s="599"/>
      <c r="M465" s="599"/>
      <c r="N465" s="599"/>
      <c r="O465" s="599"/>
      <c r="P465" s="599"/>
      <c r="Q465" s="599"/>
      <c r="R465" s="599"/>
      <c r="S465" s="599"/>
      <c r="T465" s="599"/>
    </row>
    <row r="466" spans="1:20" ht="11.25" customHeight="1">
      <c r="A466" s="599"/>
      <c r="B466" s="599"/>
      <c r="C466" s="599"/>
      <c r="D466" s="599"/>
      <c r="E466" s="599"/>
      <c r="F466" s="599"/>
      <c r="G466" s="600"/>
      <c r="H466" s="599"/>
      <c r="I466" s="599"/>
      <c r="J466" s="599"/>
      <c r="K466" s="599"/>
      <c r="L466" s="599"/>
      <c r="M466" s="599"/>
      <c r="N466" s="599"/>
      <c r="O466" s="599"/>
      <c r="P466" s="599"/>
      <c r="Q466" s="599"/>
      <c r="R466" s="599"/>
      <c r="S466" s="599"/>
      <c r="T466" s="599"/>
    </row>
    <row r="467" spans="1:20" ht="11.25" customHeight="1">
      <c r="A467" s="599"/>
      <c r="B467" s="599"/>
      <c r="C467" s="599"/>
      <c r="D467" s="599"/>
      <c r="E467" s="599"/>
      <c r="F467" s="599"/>
      <c r="G467" s="600"/>
      <c r="H467" s="599"/>
      <c r="I467" s="599"/>
      <c r="J467" s="599"/>
      <c r="K467" s="599"/>
      <c r="L467" s="599"/>
      <c r="M467" s="599"/>
      <c r="N467" s="599"/>
      <c r="O467" s="599"/>
      <c r="P467" s="599"/>
      <c r="Q467" s="599"/>
      <c r="R467" s="599"/>
      <c r="S467" s="599"/>
      <c r="T467" s="599"/>
    </row>
    <row r="468" spans="1:20" ht="11.25" customHeight="1">
      <c r="A468" s="599"/>
      <c r="B468" s="599"/>
      <c r="C468" s="599"/>
      <c r="D468" s="599"/>
      <c r="E468" s="599"/>
      <c r="F468" s="599"/>
      <c r="G468" s="600"/>
      <c r="H468" s="599"/>
      <c r="I468" s="599"/>
      <c r="J468" s="599"/>
      <c r="K468" s="599"/>
      <c r="L468" s="599"/>
      <c r="M468" s="599"/>
      <c r="N468" s="599"/>
      <c r="O468" s="599"/>
      <c r="P468" s="599"/>
      <c r="Q468" s="599"/>
      <c r="R468" s="599"/>
      <c r="S468" s="599"/>
      <c r="T468" s="599"/>
    </row>
    <row r="469" spans="1:20" ht="11.25" customHeight="1">
      <c r="A469" s="599"/>
      <c r="B469" s="599"/>
      <c r="C469" s="599"/>
      <c r="D469" s="599"/>
      <c r="E469" s="599"/>
      <c r="F469" s="599"/>
      <c r="G469" s="600"/>
      <c r="H469" s="599"/>
      <c r="I469" s="599"/>
      <c r="J469" s="599"/>
      <c r="K469" s="599"/>
      <c r="L469" s="599"/>
      <c r="M469" s="599"/>
      <c r="N469" s="599"/>
      <c r="O469" s="599"/>
      <c r="P469" s="599"/>
      <c r="Q469" s="599"/>
      <c r="R469" s="599"/>
      <c r="S469" s="599"/>
      <c r="T469" s="599"/>
    </row>
    <row r="470" spans="1:20" ht="11.25" customHeight="1">
      <c r="A470" s="599"/>
      <c r="B470" s="599"/>
      <c r="C470" s="599"/>
      <c r="D470" s="599"/>
      <c r="E470" s="599"/>
      <c r="F470" s="599"/>
      <c r="G470" s="600"/>
      <c r="H470" s="599"/>
      <c r="I470" s="599"/>
      <c r="J470" s="599"/>
      <c r="K470" s="599"/>
      <c r="L470" s="599"/>
      <c r="M470" s="599"/>
      <c r="N470" s="599"/>
      <c r="O470" s="599"/>
      <c r="P470" s="599"/>
      <c r="Q470" s="599"/>
      <c r="R470" s="599"/>
      <c r="S470" s="599"/>
      <c r="T470" s="599"/>
    </row>
    <row r="471" spans="1:20" ht="11.25" customHeight="1">
      <c r="A471" s="599"/>
      <c r="B471" s="599"/>
      <c r="C471" s="599"/>
      <c r="D471" s="599"/>
      <c r="E471" s="599"/>
      <c r="F471" s="599"/>
      <c r="G471" s="600"/>
      <c r="H471" s="599"/>
      <c r="I471" s="599"/>
      <c r="J471" s="599"/>
      <c r="K471" s="599"/>
      <c r="L471" s="599"/>
      <c r="M471" s="599"/>
      <c r="N471" s="599"/>
      <c r="O471" s="599"/>
      <c r="P471" s="599"/>
      <c r="Q471" s="599"/>
      <c r="R471" s="599"/>
      <c r="S471" s="599"/>
      <c r="T471" s="599"/>
    </row>
    <row r="472" spans="1:20" ht="11.25" customHeight="1">
      <c r="A472" s="599"/>
      <c r="B472" s="599"/>
      <c r="C472" s="599"/>
      <c r="D472" s="599"/>
      <c r="E472" s="599"/>
      <c r="F472" s="599"/>
      <c r="G472" s="600"/>
      <c r="H472" s="599"/>
      <c r="I472" s="599"/>
      <c r="J472" s="599"/>
      <c r="K472" s="599"/>
      <c r="L472" s="599"/>
      <c r="M472" s="599"/>
      <c r="N472" s="599"/>
      <c r="O472" s="599"/>
      <c r="P472" s="599"/>
      <c r="Q472" s="599"/>
      <c r="R472" s="599"/>
      <c r="S472" s="599"/>
      <c r="T472" s="599"/>
    </row>
    <row r="473" spans="1:20" ht="11.25" customHeight="1">
      <c r="A473" s="599"/>
      <c r="B473" s="599"/>
      <c r="C473" s="599"/>
      <c r="D473" s="599"/>
      <c r="E473" s="599"/>
      <c r="F473" s="599"/>
      <c r="G473" s="600"/>
      <c r="H473" s="599"/>
      <c r="I473" s="599"/>
      <c r="J473" s="599"/>
      <c r="K473" s="599"/>
      <c r="L473" s="599"/>
      <c r="M473" s="599"/>
      <c r="N473" s="599"/>
      <c r="O473" s="599"/>
      <c r="P473" s="599"/>
      <c r="Q473" s="599"/>
      <c r="R473" s="599"/>
      <c r="S473" s="599"/>
      <c r="T473" s="599"/>
    </row>
    <row r="474" spans="1:20" ht="11.25" customHeight="1">
      <c r="A474" s="599"/>
      <c r="B474" s="599"/>
      <c r="C474" s="599"/>
      <c r="D474" s="599"/>
      <c r="E474" s="599"/>
      <c r="F474" s="599"/>
      <c r="G474" s="600"/>
      <c r="H474" s="599"/>
      <c r="I474" s="599"/>
      <c r="J474" s="599"/>
      <c r="K474" s="599"/>
      <c r="L474" s="599"/>
      <c r="M474" s="599"/>
      <c r="N474" s="599"/>
      <c r="O474" s="599"/>
      <c r="P474" s="599"/>
      <c r="Q474" s="599"/>
      <c r="R474" s="599"/>
      <c r="S474" s="599"/>
      <c r="T474" s="599"/>
    </row>
    <row r="475" spans="1:20" ht="11.25" customHeight="1">
      <c r="A475" s="599"/>
      <c r="B475" s="599"/>
      <c r="C475" s="599"/>
      <c r="D475" s="599"/>
      <c r="E475" s="599"/>
      <c r="F475" s="599"/>
      <c r="G475" s="600"/>
      <c r="H475" s="599"/>
      <c r="I475" s="599"/>
      <c r="J475" s="599"/>
      <c r="K475" s="599"/>
      <c r="L475" s="599"/>
      <c r="M475" s="599"/>
      <c r="N475" s="599"/>
      <c r="O475" s="599"/>
      <c r="P475" s="599"/>
      <c r="Q475" s="599"/>
      <c r="R475" s="599"/>
      <c r="S475" s="599"/>
      <c r="T475" s="599"/>
    </row>
    <row r="476" spans="1:20" ht="11.25" customHeight="1">
      <c r="A476" s="599"/>
      <c r="B476" s="599"/>
      <c r="C476" s="599"/>
      <c r="D476" s="599"/>
      <c r="E476" s="599"/>
      <c r="F476" s="599"/>
      <c r="G476" s="600"/>
      <c r="H476" s="599"/>
      <c r="I476" s="599"/>
      <c r="J476" s="599"/>
      <c r="K476" s="599"/>
      <c r="L476" s="599"/>
      <c r="M476" s="599"/>
      <c r="N476" s="599"/>
      <c r="O476" s="599"/>
      <c r="P476" s="599"/>
      <c r="Q476" s="599"/>
      <c r="R476" s="599"/>
      <c r="S476" s="599"/>
      <c r="T476" s="599"/>
    </row>
    <row r="477" spans="1:20" ht="11.25" customHeight="1">
      <c r="A477" s="599"/>
      <c r="B477" s="599"/>
      <c r="C477" s="599"/>
      <c r="D477" s="599"/>
      <c r="E477" s="599"/>
      <c r="F477" s="599"/>
      <c r="G477" s="600"/>
      <c r="H477" s="599"/>
      <c r="I477" s="599"/>
      <c r="J477" s="599"/>
      <c r="K477" s="599"/>
      <c r="L477" s="599"/>
      <c r="M477" s="599"/>
      <c r="N477" s="599"/>
      <c r="O477" s="599"/>
      <c r="P477" s="599"/>
      <c r="Q477" s="599"/>
      <c r="R477" s="599"/>
      <c r="S477" s="599"/>
      <c r="T477" s="599"/>
    </row>
    <row r="478" spans="1:20" ht="11.25" customHeight="1">
      <c r="A478" s="599"/>
      <c r="B478" s="599"/>
      <c r="C478" s="599"/>
      <c r="D478" s="599"/>
      <c r="E478" s="599"/>
      <c r="F478" s="599"/>
      <c r="G478" s="600"/>
      <c r="H478" s="599"/>
      <c r="I478" s="599"/>
      <c r="J478" s="599"/>
      <c r="K478" s="599"/>
      <c r="L478" s="599"/>
      <c r="M478" s="599"/>
      <c r="N478" s="599"/>
      <c r="O478" s="599"/>
      <c r="P478" s="599"/>
      <c r="Q478" s="599"/>
      <c r="R478" s="599"/>
      <c r="S478" s="599"/>
      <c r="T478" s="599"/>
    </row>
    <row r="479" spans="1:20" ht="11.25" customHeight="1">
      <c r="A479" s="599"/>
      <c r="B479" s="599"/>
      <c r="C479" s="599"/>
      <c r="D479" s="599"/>
      <c r="E479" s="599"/>
      <c r="F479" s="599"/>
      <c r="G479" s="600"/>
      <c r="H479" s="599"/>
      <c r="I479" s="599"/>
      <c r="J479" s="599"/>
      <c r="K479" s="599"/>
      <c r="L479" s="599"/>
      <c r="M479" s="599"/>
      <c r="N479" s="599"/>
      <c r="O479" s="599"/>
      <c r="P479" s="599"/>
      <c r="Q479" s="599"/>
      <c r="R479" s="599"/>
      <c r="S479" s="599"/>
      <c r="T479" s="599"/>
    </row>
    <row r="480" spans="1:20" ht="11.25" customHeight="1">
      <c r="A480" s="599"/>
      <c r="B480" s="599"/>
      <c r="C480" s="599"/>
      <c r="D480" s="599"/>
      <c r="E480" s="599"/>
      <c r="F480" s="599"/>
      <c r="G480" s="600"/>
      <c r="H480" s="599"/>
      <c r="I480" s="599"/>
      <c r="J480" s="599"/>
      <c r="K480" s="599"/>
      <c r="L480" s="599"/>
      <c r="M480" s="599"/>
      <c r="N480" s="599"/>
      <c r="O480" s="599"/>
      <c r="P480" s="599"/>
      <c r="Q480" s="599"/>
      <c r="R480" s="599"/>
      <c r="S480" s="599"/>
      <c r="T480" s="599"/>
    </row>
    <row r="481" spans="1:20" ht="11.25" customHeight="1">
      <c r="A481" s="599"/>
      <c r="B481" s="599"/>
      <c r="C481" s="599"/>
      <c r="D481" s="599"/>
      <c r="E481" s="599"/>
      <c r="F481" s="599"/>
      <c r="G481" s="600"/>
      <c r="H481" s="599"/>
      <c r="I481" s="599"/>
      <c r="J481" s="599"/>
      <c r="K481" s="599"/>
      <c r="L481" s="599"/>
      <c r="M481" s="599"/>
      <c r="N481" s="599"/>
      <c r="O481" s="599"/>
      <c r="P481" s="599"/>
      <c r="Q481" s="599"/>
      <c r="R481" s="599"/>
      <c r="S481" s="599"/>
      <c r="T481" s="599"/>
    </row>
    <row r="482" spans="1:20" ht="11.25" customHeight="1">
      <c r="A482" s="599"/>
      <c r="B482" s="599"/>
      <c r="C482" s="599"/>
      <c r="D482" s="599"/>
      <c r="E482" s="599"/>
      <c r="F482" s="599"/>
      <c r="G482" s="600"/>
      <c r="H482" s="599"/>
      <c r="I482" s="599"/>
      <c r="J482" s="599"/>
      <c r="K482" s="599"/>
      <c r="L482" s="599"/>
      <c r="M482" s="599"/>
      <c r="N482" s="599"/>
      <c r="O482" s="599"/>
      <c r="P482" s="599"/>
      <c r="Q482" s="599"/>
      <c r="R482" s="599"/>
      <c r="S482" s="599"/>
      <c r="T482" s="599"/>
    </row>
    <row r="483" spans="1:20" ht="11.25" customHeight="1">
      <c r="A483" s="599"/>
      <c r="B483" s="599"/>
      <c r="C483" s="599"/>
      <c r="D483" s="599"/>
      <c r="E483" s="599"/>
      <c r="F483" s="599"/>
      <c r="G483" s="600"/>
      <c r="H483" s="599"/>
      <c r="I483" s="599"/>
      <c r="J483" s="599"/>
      <c r="K483" s="599"/>
      <c r="L483" s="599"/>
      <c r="M483" s="599"/>
      <c r="N483" s="599"/>
      <c r="O483" s="599"/>
      <c r="P483" s="599"/>
      <c r="Q483" s="599"/>
      <c r="R483" s="599"/>
      <c r="S483" s="599"/>
      <c r="T483" s="599"/>
    </row>
    <row r="484" spans="1:20" ht="11.25" customHeight="1">
      <c r="A484" s="599"/>
      <c r="B484" s="599"/>
      <c r="C484" s="599"/>
      <c r="D484" s="599"/>
      <c r="E484" s="599"/>
      <c r="F484" s="599"/>
      <c r="G484" s="600"/>
      <c r="H484" s="599"/>
      <c r="I484" s="599"/>
      <c r="J484" s="599"/>
      <c r="K484" s="599"/>
      <c r="L484" s="599"/>
      <c r="M484" s="599"/>
      <c r="N484" s="599"/>
      <c r="O484" s="599"/>
      <c r="P484" s="599"/>
      <c r="Q484" s="599"/>
      <c r="R484" s="599"/>
      <c r="S484" s="599"/>
      <c r="T484" s="599"/>
    </row>
    <row r="485" spans="1:20" ht="11.25" customHeight="1">
      <c r="A485" s="599"/>
      <c r="B485" s="599"/>
      <c r="C485" s="599"/>
      <c r="D485" s="599"/>
      <c r="E485" s="599"/>
      <c r="F485" s="599"/>
      <c r="G485" s="600"/>
      <c r="H485" s="599"/>
      <c r="I485" s="599"/>
      <c r="J485" s="599"/>
      <c r="K485" s="599"/>
      <c r="L485" s="599"/>
      <c r="M485" s="599"/>
      <c r="N485" s="599"/>
      <c r="O485" s="599"/>
      <c r="P485" s="599"/>
      <c r="Q485" s="599"/>
      <c r="R485" s="599"/>
      <c r="S485" s="599"/>
      <c r="T485" s="599"/>
    </row>
    <row r="486" spans="1:20" ht="11.25" customHeight="1">
      <c r="A486" s="599"/>
      <c r="B486" s="599"/>
      <c r="C486" s="599"/>
      <c r="D486" s="599"/>
      <c r="E486" s="599"/>
      <c r="F486" s="599"/>
      <c r="G486" s="600"/>
      <c r="H486" s="599"/>
      <c r="I486" s="599"/>
      <c r="J486" s="599"/>
      <c r="K486" s="599"/>
      <c r="L486" s="599"/>
      <c r="M486" s="599"/>
      <c r="N486" s="599"/>
      <c r="O486" s="599"/>
      <c r="P486" s="599"/>
      <c r="Q486" s="599"/>
      <c r="R486" s="599"/>
      <c r="S486" s="599"/>
      <c r="T486" s="599"/>
    </row>
    <row r="487" spans="1:20" ht="11.25" customHeight="1">
      <c r="A487" s="599"/>
      <c r="B487" s="599"/>
      <c r="C487" s="599"/>
      <c r="D487" s="599"/>
      <c r="E487" s="599"/>
      <c r="F487" s="599"/>
      <c r="G487" s="600"/>
      <c r="H487" s="599"/>
      <c r="I487" s="599"/>
      <c r="J487" s="599"/>
      <c r="K487" s="599"/>
      <c r="L487" s="599"/>
      <c r="M487" s="599"/>
      <c r="N487" s="599"/>
      <c r="O487" s="599"/>
      <c r="P487" s="599"/>
      <c r="Q487" s="599"/>
      <c r="R487" s="599"/>
      <c r="S487" s="599"/>
      <c r="T487" s="599"/>
    </row>
    <row r="488" spans="1:20" ht="11.25" customHeight="1">
      <c r="A488" s="599"/>
      <c r="B488" s="599"/>
      <c r="C488" s="599"/>
      <c r="D488" s="599"/>
      <c r="E488" s="599"/>
      <c r="F488" s="599"/>
      <c r="G488" s="600"/>
      <c r="H488" s="599"/>
      <c r="I488" s="599"/>
      <c r="J488" s="599"/>
      <c r="K488" s="599"/>
      <c r="L488" s="599"/>
      <c r="M488" s="599"/>
      <c r="N488" s="599"/>
      <c r="O488" s="599"/>
      <c r="P488" s="599"/>
      <c r="Q488" s="599"/>
      <c r="R488" s="599"/>
      <c r="S488" s="599"/>
      <c r="T488" s="599"/>
    </row>
    <row r="489" spans="1:20" ht="11.25" customHeight="1">
      <c r="A489" s="599"/>
      <c r="B489" s="599"/>
      <c r="C489" s="599"/>
      <c r="D489" s="599"/>
      <c r="E489" s="599"/>
      <c r="F489" s="599"/>
      <c r="G489" s="600"/>
      <c r="H489" s="599"/>
      <c r="I489" s="599"/>
      <c r="J489" s="599"/>
      <c r="K489" s="599"/>
      <c r="L489" s="599"/>
      <c r="M489" s="599"/>
      <c r="N489" s="599"/>
      <c r="O489" s="599"/>
      <c r="P489" s="599"/>
      <c r="Q489" s="599"/>
      <c r="R489" s="599"/>
      <c r="S489" s="599"/>
      <c r="T489" s="599"/>
    </row>
    <row r="490" spans="1:20" ht="11.25" customHeight="1">
      <c r="A490" s="599"/>
      <c r="B490" s="599"/>
      <c r="C490" s="599"/>
      <c r="D490" s="599"/>
      <c r="E490" s="599"/>
      <c r="F490" s="599"/>
      <c r="G490" s="600"/>
      <c r="H490" s="599"/>
      <c r="I490" s="599"/>
      <c r="J490" s="599"/>
      <c r="K490" s="599"/>
      <c r="L490" s="599"/>
      <c r="M490" s="599"/>
      <c r="N490" s="599"/>
      <c r="O490" s="599"/>
      <c r="P490" s="599"/>
      <c r="Q490" s="599"/>
      <c r="R490" s="599"/>
      <c r="S490" s="599"/>
      <c r="T490" s="599"/>
    </row>
    <row r="491" spans="1:20" ht="11.25" customHeight="1">
      <c r="A491" s="599"/>
      <c r="B491" s="599"/>
      <c r="C491" s="599"/>
      <c r="D491" s="599"/>
      <c r="E491" s="599"/>
      <c r="F491" s="599"/>
      <c r="G491" s="600"/>
      <c r="H491" s="599"/>
      <c r="I491" s="599"/>
      <c r="J491" s="599"/>
      <c r="K491" s="599"/>
      <c r="L491" s="599"/>
      <c r="M491" s="599"/>
      <c r="N491" s="599"/>
      <c r="O491" s="599"/>
      <c r="P491" s="599"/>
      <c r="Q491" s="599"/>
      <c r="R491" s="599"/>
      <c r="S491" s="599"/>
      <c r="T491" s="599"/>
    </row>
    <row r="492" spans="1:20" ht="11.25" customHeight="1">
      <c r="A492" s="599"/>
      <c r="B492" s="599"/>
      <c r="C492" s="599"/>
      <c r="D492" s="599"/>
      <c r="E492" s="599"/>
      <c r="F492" s="599"/>
      <c r="G492" s="600"/>
      <c r="H492" s="599"/>
      <c r="I492" s="599"/>
      <c r="J492" s="599"/>
      <c r="K492" s="599"/>
      <c r="L492" s="599"/>
      <c r="M492" s="599"/>
      <c r="N492" s="599"/>
      <c r="O492" s="599"/>
      <c r="P492" s="599"/>
      <c r="Q492" s="599"/>
      <c r="R492" s="599"/>
      <c r="S492" s="599"/>
      <c r="T492" s="599"/>
    </row>
    <row r="493" spans="1:20" ht="11.25" customHeight="1">
      <c r="A493" s="599"/>
      <c r="B493" s="599"/>
      <c r="C493" s="599"/>
      <c r="D493" s="599"/>
      <c r="E493" s="599"/>
      <c r="F493" s="599"/>
      <c r="G493" s="600"/>
      <c r="H493" s="599"/>
      <c r="I493" s="599"/>
      <c r="J493" s="599"/>
      <c r="K493" s="599"/>
      <c r="L493" s="599"/>
      <c r="M493" s="599"/>
      <c r="N493" s="599"/>
      <c r="O493" s="599"/>
      <c r="P493" s="599"/>
      <c r="Q493" s="599"/>
      <c r="R493" s="599"/>
      <c r="S493" s="599"/>
      <c r="T493" s="599"/>
    </row>
    <row r="494" spans="1:20" ht="11.25" customHeight="1">
      <c r="A494" s="599"/>
      <c r="B494" s="599"/>
      <c r="C494" s="599"/>
      <c r="D494" s="599"/>
      <c r="E494" s="599"/>
      <c r="F494" s="599"/>
      <c r="G494" s="600"/>
      <c r="H494" s="599"/>
      <c r="I494" s="599"/>
      <c r="J494" s="599"/>
      <c r="K494" s="599"/>
      <c r="L494" s="599"/>
      <c r="M494" s="599"/>
      <c r="N494" s="599"/>
      <c r="O494" s="599"/>
      <c r="P494" s="599"/>
      <c r="Q494" s="599"/>
      <c r="R494" s="599"/>
      <c r="S494" s="599"/>
      <c r="T494" s="599"/>
    </row>
    <row r="495" spans="1:20" ht="11.25" customHeight="1">
      <c r="A495" s="599"/>
      <c r="B495" s="599"/>
      <c r="C495" s="599"/>
      <c r="D495" s="599"/>
      <c r="E495" s="599"/>
      <c r="F495" s="599"/>
      <c r="G495" s="600"/>
      <c r="H495" s="599"/>
      <c r="I495" s="599"/>
      <c r="J495" s="599"/>
      <c r="K495" s="599"/>
      <c r="L495" s="599"/>
      <c r="M495" s="599"/>
      <c r="N495" s="599"/>
      <c r="O495" s="599"/>
      <c r="P495" s="599"/>
      <c r="Q495" s="599"/>
      <c r="R495" s="599"/>
      <c r="S495" s="599"/>
      <c r="T495" s="599"/>
    </row>
    <row r="496" spans="1:20" ht="11.25" customHeight="1">
      <c r="A496" s="599"/>
      <c r="B496" s="599"/>
      <c r="C496" s="599"/>
      <c r="D496" s="599"/>
      <c r="E496" s="599"/>
      <c r="F496" s="599"/>
      <c r="G496" s="600"/>
      <c r="H496" s="599"/>
      <c r="I496" s="599"/>
      <c r="J496" s="599"/>
      <c r="K496" s="599"/>
      <c r="L496" s="599"/>
      <c r="M496" s="599"/>
      <c r="N496" s="599"/>
      <c r="O496" s="599"/>
      <c r="P496" s="599"/>
      <c r="Q496" s="599"/>
      <c r="R496" s="599"/>
      <c r="S496" s="599"/>
      <c r="T496" s="599"/>
    </row>
    <row r="497" spans="1:20" ht="11.25" customHeight="1">
      <c r="A497" s="599"/>
      <c r="B497" s="599"/>
      <c r="C497" s="599"/>
      <c r="D497" s="599"/>
      <c r="E497" s="599"/>
      <c r="F497" s="599"/>
      <c r="G497" s="600"/>
      <c r="H497" s="599"/>
      <c r="I497" s="599"/>
      <c r="J497" s="599"/>
      <c r="K497" s="599"/>
      <c r="L497" s="599"/>
      <c r="M497" s="599"/>
      <c r="N497" s="599"/>
      <c r="O497" s="599"/>
      <c r="P497" s="599"/>
      <c r="Q497" s="599"/>
      <c r="R497" s="599"/>
      <c r="S497" s="599"/>
      <c r="T497" s="599"/>
    </row>
    <row r="498" spans="1:20" ht="11.25" customHeight="1">
      <c r="A498" s="599"/>
      <c r="B498" s="599"/>
      <c r="C498" s="599"/>
      <c r="D498" s="599"/>
      <c r="E498" s="599"/>
      <c r="F498" s="599"/>
      <c r="G498" s="600"/>
      <c r="H498" s="599"/>
      <c r="I498" s="599"/>
      <c r="J498" s="599"/>
      <c r="K498" s="599"/>
      <c r="L498" s="599"/>
      <c r="M498" s="599"/>
      <c r="N498" s="599"/>
      <c r="O498" s="599"/>
      <c r="P498" s="599"/>
      <c r="Q498" s="599"/>
      <c r="R498" s="599"/>
      <c r="S498" s="599"/>
      <c r="T498" s="599"/>
    </row>
    <row r="499" spans="1:20" ht="11.25" customHeight="1">
      <c r="A499" s="599"/>
      <c r="B499" s="599"/>
      <c r="C499" s="599"/>
      <c r="D499" s="599"/>
      <c r="E499" s="599"/>
      <c r="F499" s="599"/>
      <c r="G499" s="600"/>
      <c r="H499" s="599"/>
      <c r="I499" s="599"/>
      <c r="J499" s="599"/>
      <c r="K499" s="599"/>
      <c r="L499" s="599"/>
      <c r="M499" s="599"/>
      <c r="N499" s="599"/>
      <c r="O499" s="599"/>
      <c r="P499" s="599"/>
      <c r="Q499" s="599"/>
      <c r="R499" s="599"/>
      <c r="S499" s="599"/>
      <c r="T499" s="599"/>
    </row>
    <row r="500" spans="1:20" ht="11.25" customHeight="1">
      <c r="A500" s="599"/>
      <c r="B500" s="599"/>
      <c r="C500" s="599"/>
      <c r="D500" s="599"/>
      <c r="E500" s="599"/>
      <c r="F500" s="599"/>
      <c r="G500" s="600"/>
      <c r="H500" s="599"/>
      <c r="I500" s="599"/>
      <c r="J500" s="599"/>
      <c r="K500" s="599"/>
      <c r="L500" s="599"/>
      <c r="M500" s="599"/>
      <c r="N500" s="599"/>
      <c r="O500" s="599"/>
      <c r="P500" s="599"/>
      <c r="Q500" s="599"/>
      <c r="R500" s="599"/>
      <c r="S500" s="599"/>
      <c r="T500" s="599"/>
    </row>
    <row r="501" spans="1:20" ht="11.25" customHeight="1">
      <c r="A501" s="599"/>
      <c r="B501" s="599"/>
      <c r="C501" s="599"/>
      <c r="D501" s="599"/>
      <c r="E501" s="599"/>
      <c r="F501" s="599"/>
      <c r="G501" s="600"/>
      <c r="H501" s="599"/>
      <c r="I501" s="599"/>
      <c r="J501" s="599"/>
      <c r="K501" s="599"/>
      <c r="L501" s="599"/>
      <c r="M501" s="599"/>
      <c r="N501" s="599"/>
      <c r="O501" s="599"/>
      <c r="P501" s="599"/>
      <c r="Q501" s="599"/>
      <c r="R501" s="599"/>
      <c r="S501" s="599"/>
      <c r="T501" s="599"/>
    </row>
    <row r="502" spans="1:20" ht="11.25" customHeight="1">
      <c r="A502" s="599"/>
      <c r="B502" s="599"/>
      <c r="C502" s="599"/>
      <c r="D502" s="599"/>
      <c r="E502" s="599"/>
      <c r="F502" s="599"/>
      <c r="G502" s="600"/>
      <c r="H502" s="599"/>
      <c r="I502" s="599"/>
      <c r="J502" s="599"/>
      <c r="K502" s="599"/>
      <c r="L502" s="599"/>
      <c r="M502" s="599"/>
      <c r="N502" s="599"/>
      <c r="O502" s="599"/>
      <c r="P502" s="599"/>
      <c r="Q502" s="599"/>
      <c r="R502" s="599"/>
      <c r="S502" s="599"/>
      <c r="T502" s="599"/>
    </row>
    <row r="503" spans="1:20" ht="11.25" customHeight="1">
      <c r="A503" s="599"/>
      <c r="B503" s="599"/>
      <c r="C503" s="599"/>
      <c r="D503" s="599"/>
      <c r="E503" s="599"/>
      <c r="F503" s="599"/>
      <c r="G503" s="600"/>
      <c r="H503" s="599"/>
      <c r="I503" s="599"/>
      <c r="J503" s="599"/>
      <c r="K503" s="599"/>
      <c r="L503" s="599"/>
      <c r="M503" s="599"/>
      <c r="N503" s="599"/>
      <c r="O503" s="599"/>
      <c r="P503" s="599"/>
      <c r="Q503" s="599"/>
      <c r="R503" s="599"/>
      <c r="S503" s="599"/>
      <c r="T503" s="599"/>
    </row>
    <row r="504" spans="1:20" ht="11.25" customHeight="1">
      <c r="A504" s="599"/>
      <c r="B504" s="599"/>
      <c r="C504" s="599"/>
      <c r="D504" s="599"/>
      <c r="E504" s="599"/>
      <c r="F504" s="599"/>
      <c r="G504" s="600"/>
      <c r="H504" s="599"/>
      <c r="I504" s="599"/>
      <c r="J504" s="599"/>
      <c r="K504" s="599"/>
      <c r="L504" s="599"/>
      <c r="M504" s="599"/>
      <c r="N504" s="599"/>
      <c r="O504" s="599"/>
      <c r="P504" s="599"/>
      <c r="Q504" s="599"/>
      <c r="R504" s="599"/>
      <c r="S504" s="599"/>
      <c r="T504" s="599"/>
    </row>
    <row r="505" spans="1:20" ht="11.25" customHeight="1">
      <c r="A505" s="599"/>
      <c r="B505" s="599"/>
      <c r="C505" s="599"/>
      <c r="D505" s="599"/>
      <c r="E505" s="599"/>
      <c r="F505" s="599"/>
      <c r="G505" s="600"/>
      <c r="H505" s="599"/>
      <c r="I505" s="599"/>
      <c r="J505" s="599"/>
      <c r="K505" s="599"/>
      <c r="L505" s="599"/>
      <c r="M505" s="599"/>
      <c r="N505" s="599"/>
      <c r="O505" s="599"/>
      <c r="P505" s="599"/>
      <c r="Q505" s="599"/>
      <c r="R505" s="599"/>
      <c r="S505" s="599"/>
      <c r="T505" s="599"/>
    </row>
    <row r="506" spans="1:20" ht="11.25" customHeight="1">
      <c r="A506" s="599"/>
      <c r="B506" s="599"/>
      <c r="C506" s="599"/>
      <c r="D506" s="599"/>
      <c r="E506" s="599"/>
      <c r="F506" s="599"/>
      <c r="G506" s="600"/>
      <c r="H506" s="599"/>
      <c r="I506" s="599"/>
      <c r="J506" s="599"/>
      <c r="K506" s="599"/>
      <c r="L506" s="599"/>
      <c r="M506" s="599"/>
      <c r="N506" s="599"/>
      <c r="O506" s="599"/>
      <c r="P506" s="599"/>
      <c r="Q506" s="599"/>
      <c r="R506" s="599"/>
      <c r="S506" s="599"/>
      <c r="T506" s="599"/>
    </row>
    <row r="507" spans="1:20" ht="11.25" customHeight="1">
      <c r="A507" s="599"/>
      <c r="B507" s="599"/>
      <c r="C507" s="599"/>
      <c r="D507" s="599"/>
      <c r="E507" s="599"/>
      <c r="F507" s="599"/>
      <c r="G507" s="600"/>
      <c r="H507" s="599"/>
      <c r="I507" s="599"/>
      <c r="J507" s="599"/>
      <c r="K507" s="599"/>
      <c r="L507" s="599"/>
      <c r="M507" s="599"/>
      <c r="N507" s="599"/>
      <c r="O507" s="599"/>
      <c r="P507" s="599"/>
      <c r="Q507" s="599"/>
      <c r="R507" s="599"/>
      <c r="S507" s="599"/>
      <c r="T507" s="599"/>
    </row>
    <row r="508" spans="1:20" ht="11.25" customHeight="1">
      <c r="A508" s="599"/>
      <c r="B508" s="599"/>
      <c r="C508" s="599"/>
      <c r="D508" s="599"/>
      <c r="E508" s="599"/>
      <c r="F508" s="599"/>
      <c r="G508" s="600"/>
      <c r="H508" s="599"/>
      <c r="I508" s="599"/>
      <c r="J508" s="599"/>
      <c r="K508" s="599"/>
      <c r="L508" s="599"/>
      <c r="M508" s="599"/>
      <c r="N508" s="599"/>
      <c r="O508" s="599"/>
      <c r="P508" s="599"/>
      <c r="Q508" s="599"/>
      <c r="R508" s="599"/>
      <c r="S508" s="599"/>
      <c r="T508" s="599"/>
    </row>
    <row r="509" spans="1:20" ht="11.25" customHeight="1">
      <c r="A509" s="599"/>
      <c r="B509" s="599"/>
      <c r="C509" s="599"/>
      <c r="D509" s="599"/>
      <c r="E509" s="599"/>
      <c r="F509" s="599"/>
      <c r="G509" s="600"/>
      <c r="H509" s="599"/>
      <c r="I509" s="599"/>
      <c r="J509" s="599"/>
      <c r="K509" s="599"/>
      <c r="L509" s="599"/>
      <c r="M509" s="599"/>
      <c r="N509" s="599"/>
      <c r="O509" s="599"/>
      <c r="P509" s="599"/>
      <c r="Q509" s="599"/>
      <c r="R509" s="599"/>
      <c r="S509" s="599"/>
      <c r="T509" s="599"/>
    </row>
    <row r="510" spans="1:20" ht="11.25" customHeight="1">
      <c r="A510" s="599"/>
      <c r="B510" s="599"/>
      <c r="C510" s="599"/>
      <c r="D510" s="599"/>
      <c r="E510" s="599"/>
      <c r="F510" s="599"/>
      <c r="G510" s="600"/>
      <c r="H510" s="599"/>
      <c r="I510" s="599"/>
      <c r="J510" s="599"/>
      <c r="K510" s="599"/>
      <c r="L510" s="599"/>
      <c r="M510" s="599"/>
      <c r="N510" s="599"/>
      <c r="O510" s="599"/>
      <c r="P510" s="599"/>
      <c r="Q510" s="599"/>
      <c r="R510" s="599"/>
      <c r="S510" s="599"/>
      <c r="T510" s="599"/>
    </row>
    <row r="511" spans="1:20" ht="11.25" customHeight="1">
      <c r="A511" s="599"/>
      <c r="B511" s="599"/>
      <c r="C511" s="599"/>
      <c r="D511" s="599"/>
      <c r="E511" s="599"/>
      <c r="F511" s="599"/>
      <c r="G511" s="600"/>
      <c r="H511" s="599"/>
      <c r="I511" s="599"/>
      <c r="J511" s="599"/>
      <c r="K511" s="599"/>
      <c r="L511" s="599"/>
      <c r="M511" s="599"/>
      <c r="N511" s="599"/>
      <c r="O511" s="599"/>
      <c r="P511" s="599"/>
      <c r="Q511" s="599"/>
      <c r="R511" s="599"/>
      <c r="S511" s="599"/>
      <c r="T511" s="599"/>
    </row>
    <row r="512" spans="1:20" ht="11.25" customHeight="1">
      <c r="A512" s="599"/>
      <c r="B512" s="599"/>
      <c r="C512" s="599"/>
      <c r="D512" s="599"/>
      <c r="E512" s="599"/>
      <c r="F512" s="599"/>
      <c r="G512" s="600"/>
      <c r="H512" s="599"/>
      <c r="I512" s="599"/>
      <c r="J512" s="599"/>
      <c r="K512" s="599"/>
      <c r="L512" s="599"/>
      <c r="M512" s="599"/>
      <c r="N512" s="599"/>
      <c r="O512" s="599"/>
      <c r="P512" s="599"/>
      <c r="Q512" s="599"/>
      <c r="R512" s="599"/>
      <c r="S512" s="599"/>
      <c r="T512" s="599"/>
    </row>
    <row r="513" spans="1:20" ht="11.25" customHeight="1">
      <c r="A513" s="599"/>
      <c r="B513" s="599"/>
      <c r="C513" s="599"/>
      <c r="D513" s="599"/>
      <c r="E513" s="599"/>
      <c r="F513" s="599"/>
      <c r="G513" s="600"/>
      <c r="H513" s="599"/>
      <c r="I513" s="599"/>
      <c r="J513" s="599"/>
      <c r="K513" s="599"/>
      <c r="L513" s="599"/>
      <c r="M513" s="599"/>
      <c r="N513" s="599"/>
      <c r="O513" s="599"/>
      <c r="P513" s="599"/>
      <c r="Q513" s="599"/>
      <c r="R513" s="599"/>
      <c r="S513" s="599"/>
      <c r="T513" s="599"/>
    </row>
    <row r="514" spans="1:20" ht="11.25" customHeight="1">
      <c r="A514" s="599"/>
      <c r="B514" s="599"/>
      <c r="C514" s="599"/>
      <c r="D514" s="599"/>
      <c r="E514" s="599"/>
      <c r="F514" s="599"/>
      <c r="G514" s="600"/>
      <c r="H514" s="599"/>
      <c r="I514" s="599"/>
      <c r="J514" s="599"/>
      <c r="K514" s="599"/>
      <c r="L514" s="599"/>
      <c r="M514" s="599"/>
      <c r="N514" s="599"/>
      <c r="O514" s="599"/>
      <c r="P514" s="599"/>
      <c r="Q514" s="599"/>
      <c r="R514" s="599"/>
      <c r="S514" s="599"/>
      <c r="T514" s="599"/>
    </row>
    <row r="515" spans="1:20" ht="11.25" customHeight="1">
      <c r="A515" s="599"/>
      <c r="B515" s="599"/>
      <c r="C515" s="599"/>
      <c r="D515" s="599"/>
      <c r="E515" s="599"/>
      <c r="F515" s="599"/>
      <c r="G515" s="600"/>
      <c r="H515" s="599"/>
      <c r="I515" s="599"/>
      <c r="J515" s="599"/>
      <c r="K515" s="599"/>
      <c r="L515" s="599"/>
      <c r="M515" s="599"/>
      <c r="N515" s="599"/>
      <c r="O515" s="599"/>
      <c r="P515" s="599"/>
      <c r="Q515" s="599"/>
      <c r="R515" s="599"/>
      <c r="S515" s="599"/>
      <c r="T515" s="599"/>
    </row>
    <row r="516" spans="1:20" ht="11.25" customHeight="1">
      <c r="A516" s="599"/>
      <c r="B516" s="599"/>
      <c r="C516" s="599"/>
      <c r="D516" s="599"/>
      <c r="E516" s="599"/>
      <c r="F516" s="599"/>
      <c r="G516" s="600"/>
      <c r="H516" s="599"/>
      <c r="I516" s="599"/>
      <c r="J516" s="599"/>
      <c r="K516" s="599"/>
      <c r="L516" s="599"/>
      <c r="M516" s="599"/>
      <c r="N516" s="599"/>
      <c r="O516" s="599"/>
      <c r="P516" s="599"/>
      <c r="Q516" s="599"/>
      <c r="R516" s="599"/>
      <c r="S516" s="599"/>
      <c r="T516" s="599"/>
    </row>
    <row r="517" spans="1:20" ht="11.25" customHeight="1">
      <c r="A517" s="599"/>
      <c r="B517" s="599"/>
      <c r="C517" s="599"/>
      <c r="D517" s="599"/>
      <c r="E517" s="599"/>
      <c r="F517" s="599"/>
      <c r="G517" s="600"/>
      <c r="H517" s="599"/>
      <c r="I517" s="599"/>
      <c r="J517" s="599"/>
      <c r="K517" s="599"/>
      <c r="L517" s="599"/>
      <c r="M517" s="599"/>
      <c r="N517" s="599"/>
      <c r="O517" s="599"/>
      <c r="P517" s="599"/>
      <c r="Q517" s="599"/>
      <c r="R517" s="599"/>
      <c r="S517" s="599"/>
      <c r="T517" s="599"/>
    </row>
    <row r="518" spans="1:20" ht="11.25" customHeight="1">
      <c r="A518" s="599"/>
      <c r="B518" s="599"/>
      <c r="C518" s="599"/>
      <c r="D518" s="599"/>
      <c r="E518" s="599"/>
      <c r="F518" s="599"/>
      <c r="G518" s="600"/>
      <c r="H518" s="599"/>
      <c r="I518" s="599"/>
      <c r="J518" s="599"/>
      <c r="K518" s="599"/>
      <c r="L518" s="599"/>
      <c r="M518" s="599"/>
      <c r="N518" s="599"/>
      <c r="O518" s="599"/>
      <c r="P518" s="599"/>
      <c r="Q518" s="599"/>
      <c r="R518" s="599"/>
      <c r="S518" s="599"/>
      <c r="T518" s="599"/>
    </row>
    <row r="519" spans="1:20" ht="11.25" customHeight="1">
      <c r="A519" s="599"/>
      <c r="B519" s="599"/>
      <c r="C519" s="599"/>
      <c r="D519" s="599"/>
      <c r="E519" s="599"/>
      <c r="F519" s="599"/>
      <c r="G519" s="600"/>
      <c r="H519" s="599"/>
      <c r="I519" s="599"/>
      <c r="J519" s="599"/>
      <c r="K519" s="599"/>
      <c r="L519" s="599"/>
      <c r="M519" s="599"/>
      <c r="N519" s="599"/>
      <c r="O519" s="599"/>
      <c r="P519" s="599"/>
      <c r="Q519" s="599"/>
      <c r="R519" s="599"/>
      <c r="S519" s="599"/>
      <c r="T519" s="599"/>
    </row>
    <row r="520" spans="1:20" ht="11.25" customHeight="1">
      <c r="A520" s="599"/>
      <c r="B520" s="599"/>
      <c r="C520" s="599"/>
      <c r="D520" s="599"/>
      <c r="E520" s="599"/>
      <c r="F520" s="599"/>
      <c r="G520" s="600"/>
      <c r="H520" s="599"/>
      <c r="I520" s="599"/>
      <c r="J520" s="599"/>
      <c r="K520" s="599"/>
      <c r="L520" s="599"/>
      <c r="M520" s="599"/>
      <c r="N520" s="599"/>
      <c r="O520" s="599"/>
      <c r="P520" s="599"/>
      <c r="Q520" s="599"/>
      <c r="R520" s="599"/>
      <c r="S520" s="599"/>
      <c r="T520" s="599"/>
    </row>
    <row r="521" spans="1:20" ht="11.25" customHeight="1">
      <c r="A521" s="599"/>
      <c r="B521" s="599"/>
      <c r="C521" s="599"/>
      <c r="D521" s="599"/>
      <c r="E521" s="599"/>
      <c r="F521" s="599"/>
      <c r="G521" s="600"/>
      <c r="H521" s="599"/>
      <c r="I521" s="599"/>
      <c r="J521" s="599"/>
      <c r="K521" s="599"/>
      <c r="L521" s="599"/>
      <c r="M521" s="599"/>
      <c r="N521" s="599"/>
      <c r="O521" s="599"/>
      <c r="P521" s="599"/>
      <c r="Q521" s="599"/>
      <c r="R521" s="599"/>
      <c r="S521" s="599"/>
      <c r="T521" s="599"/>
    </row>
    <row r="522" spans="1:20" ht="11.25" customHeight="1">
      <c r="A522" s="599"/>
      <c r="B522" s="599"/>
      <c r="C522" s="599"/>
      <c r="D522" s="599"/>
      <c r="E522" s="599"/>
      <c r="F522" s="599"/>
      <c r="G522" s="600"/>
      <c r="H522" s="599"/>
      <c r="I522" s="599"/>
      <c r="J522" s="599"/>
      <c r="K522" s="599"/>
      <c r="L522" s="599"/>
      <c r="M522" s="599"/>
      <c r="N522" s="599"/>
      <c r="O522" s="599"/>
      <c r="P522" s="599"/>
      <c r="Q522" s="599"/>
      <c r="R522" s="599"/>
      <c r="S522" s="599"/>
      <c r="T522" s="599"/>
    </row>
    <row r="523" spans="1:20" ht="11.25" customHeight="1">
      <c r="A523" s="599"/>
      <c r="B523" s="599"/>
      <c r="C523" s="599"/>
      <c r="D523" s="599"/>
      <c r="E523" s="599"/>
      <c r="F523" s="599"/>
      <c r="G523" s="600"/>
      <c r="H523" s="599"/>
      <c r="I523" s="599"/>
      <c r="J523" s="599"/>
      <c r="K523" s="599"/>
      <c r="L523" s="599"/>
      <c r="M523" s="599"/>
      <c r="N523" s="599"/>
      <c r="O523" s="599"/>
      <c r="P523" s="599"/>
      <c r="Q523" s="599"/>
      <c r="R523" s="599"/>
      <c r="S523" s="599"/>
      <c r="T523" s="599"/>
    </row>
    <row r="524" spans="1:20" ht="11.25" customHeight="1">
      <c r="A524" s="599"/>
      <c r="B524" s="599"/>
      <c r="C524" s="599"/>
      <c r="D524" s="599"/>
      <c r="E524" s="599"/>
      <c r="F524" s="599"/>
      <c r="G524" s="600"/>
      <c r="H524" s="599"/>
      <c r="I524" s="599"/>
      <c r="J524" s="599"/>
      <c r="K524" s="599"/>
      <c r="L524" s="599"/>
      <c r="M524" s="599"/>
      <c r="N524" s="599"/>
      <c r="O524" s="599"/>
      <c r="P524" s="599"/>
      <c r="Q524" s="599"/>
      <c r="R524" s="599"/>
      <c r="S524" s="599"/>
      <c r="T524" s="599"/>
    </row>
    <row r="525" spans="1:20" ht="11.25" customHeight="1">
      <c r="A525" s="599"/>
      <c r="B525" s="599"/>
      <c r="C525" s="599"/>
      <c r="D525" s="599"/>
      <c r="E525" s="599"/>
      <c r="F525" s="599"/>
      <c r="G525" s="600"/>
      <c r="H525" s="599"/>
      <c r="I525" s="599"/>
      <c r="J525" s="599"/>
      <c r="K525" s="599"/>
      <c r="L525" s="599"/>
      <c r="M525" s="599"/>
      <c r="N525" s="599"/>
      <c r="O525" s="599"/>
      <c r="P525" s="599"/>
      <c r="Q525" s="599"/>
      <c r="R525" s="599"/>
      <c r="S525" s="599"/>
      <c r="T525" s="599"/>
    </row>
    <row r="526" spans="1:20" ht="11.25" customHeight="1">
      <c r="A526" s="599"/>
      <c r="B526" s="599"/>
      <c r="C526" s="599"/>
      <c r="D526" s="599"/>
      <c r="E526" s="599"/>
      <c r="F526" s="599"/>
      <c r="G526" s="600"/>
      <c r="H526" s="599"/>
      <c r="I526" s="599"/>
      <c r="J526" s="599"/>
      <c r="K526" s="599"/>
      <c r="L526" s="599"/>
      <c r="M526" s="599"/>
      <c r="N526" s="599"/>
      <c r="O526" s="599"/>
      <c r="P526" s="599"/>
      <c r="Q526" s="599"/>
      <c r="R526" s="599"/>
      <c r="S526" s="599"/>
      <c r="T526" s="599"/>
    </row>
    <row r="527" spans="1:20" ht="11.25" customHeight="1">
      <c r="A527" s="599"/>
      <c r="B527" s="599"/>
      <c r="C527" s="599"/>
      <c r="D527" s="599"/>
      <c r="E527" s="599"/>
      <c r="F527" s="599"/>
      <c r="G527" s="600"/>
      <c r="H527" s="599"/>
      <c r="I527" s="599"/>
      <c r="J527" s="599"/>
      <c r="K527" s="599"/>
      <c r="L527" s="599"/>
      <c r="M527" s="599"/>
      <c r="N527" s="599"/>
      <c r="O527" s="599"/>
      <c r="P527" s="599"/>
      <c r="Q527" s="599"/>
      <c r="R527" s="599"/>
      <c r="S527" s="599"/>
      <c r="T527" s="599"/>
    </row>
    <row r="528" spans="1:20" ht="11.25" customHeight="1">
      <c r="A528" s="599"/>
      <c r="B528" s="599"/>
      <c r="C528" s="599"/>
      <c r="D528" s="599"/>
      <c r="E528" s="599"/>
      <c r="F528" s="599"/>
      <c r="G528" s="600"/>
      <c r="H528" s="599"/>
      <c r="I528" s="599"/>
      <c r="J528" s="599"/>
      <c r="K528" s="599"/>
      <c r="L528" s="599"/>
      <c r="M528" s="599"/>
      <c r="N528" s="599"/>
      <c r="O528" s="599"/>
      <c r="P528" s="599"/>
      <c r="Q528" s="599"/>
      <c r="R528" s="599"/>
      <c r="S528" s="599"/>
      <c r="T528" s="599"/>
    </row>
    <row r="529" spans="1:20" ht="11.25" customHeight="1">
      <c r="A529" s="599"/>
      <c r="B529" s="599"/>
      <c r="C529" s="599"/>
      <c r="D529" s="599"/>
      <c r="E529" s="599"/>
      <c r="F529" s="599"/>
      <c r="G529" s="600"/>
      <c r="H529" s="599"/>
      <c r="I529" s="599"/>
      <c r="J529" s="599"/>
      <c r="K529" s="599"/>
      <c r="L529" s="599"/>
      <c r="M529" s="599"/>
      <c r="N529" s="599"/>
      <c r="O529" s="599"/>
      <c r="P529" s="599"/>
      <c r="Q529" s="599"/>
      <c r="R529" s="599"/>
      <c r="S529" s="599"/>
      <c r="T529" s="599"/>
    </row>
    <row r="530" spans="1:20" ht="11.25" customHeight="1">
      <c r="A530" s="599"/>
      <c r="B530" s="599"/>
      <c r="C530" s="599"/>
      <c r="D530" s="599"/>
      <c r="E530" s="599"/>
      <c r="F530" s="599"/>
      <c r="G530" s="600"/>
      <c r="H530" s="599"/>
      <c r="I530" s="599"/>
      <c r="J530" s="599"/>
      <c r="K530" s="599"/>
      <c r="L530" s="599"/>
      <c r="M530" s="599"/>
      <c r="N530" s="599"/>
      <c r="O530" s="599"/>
      <c r="P530" s="599"/>
      <c r="Q530" s="599"/>
      <c r="R530" s="599"/>
      <c r="S530" s="599"/>
      <c r="T530" s="599"/>
    </row>
    <row r="531" spans="1:20" ht="11.25" customHeight="1">
      <c r="A531" s="599"/>
      <c r="B531" s="599"/>
      <c r="C531" s="599"/>
      <c r="D531" s="599"/>
      <c r="E531" s="599"/>
      <c r="F531" s="599"/>
      <c r="G531" s="600"/>
      <c r="H531" s="599"/>
      <c r="I531" s="599"/>
      <c r="J531" s="599"/>
      <c r="K531" s="599"/>
      <c r="L531" s="599"/>
      <c r="M531" s="599"/>
      <c r="N531" s="599"/>
      <c r="O531" s="599"/>
      <c r="P531" s="599"/>
      <c r="Q531" s="599"/>
      <c r="R531" s="599"/>
      <c r="S531" s="599"/>
      <c r="T531" s="599"/>
    </row>
    <row r="532" spans="1:20" ht="11.25" customHeight="1">
      <c r="A532" s="599"/>
      <c r="B532" s="599"/>
      <c r="C532" s="599"/>
      <c r="D532" s="599"/>
      <c r="E532" s="599"/>
      <c r="F532" s="599"/>
      <c r="G532" s="600"/>
      <c r="H532" s="599"/>
      <c r="I532" s="599"/>
      <c r="J532" s="599"/>
      <c r="K532" s="599"/>
      <c r="L532" s="599"/>
      <c r="M532" s="599"/>
      <c r="N532" s="599"/>
      <c r="O532" s="599"/>
      <c r="P532" s="599"/>
      <c r="Q532" s="599"/>
      <c r="R532" s="599"/>
      <c r="S532" s="599"/>
      <c r="T532" s="599"/>
    </row>
    <row r="533" spans="1:20" ht="11.25" customHeight="1">
      <c r="A533" s="599"/>
      <c r="B533" s="599"/>
      <c r="C533" s="599"/>
      <c r="D533" s="599"/>
      <c r="E533" s="599"/>
      <c r="F533" s="599"/>
      <c r="G533" s="600"/>
      <c r="H533" s="599"/>
      <c r="I533" s="599"/>
      <c r="J533" s="599"/>
      <c r="K533" s="599"/>
      <c r="L533" s="599"/>
      <c r="M533" s="599"/>
      <c r="N533" s="599"/>
      <c r="O533" s="599"/>
      <c r="P533" s="599"/>
      <c r="Q533" s="599"/>
      <c r="R533" s="599"/>
      <c r="S533" s="599"/>
      <c r="T533" s="599"/>
    </row>
    <row r="534" spans="1:20" ht="11.25" customHeight="1">
      <c r="A534" s="599"/>
      <c r="B534" s="599"/>
      <c r="C534" s="599"/>
      <c r="D534" s="599"/>
      <c r="E534" s="599"/>
      <c r="F534" s="599"/>
      <c r="G534" s="600"/>
      <c r="H534" s="599"/>
      <c r="I534" s="599"/>
      <c r="J534" s="599"/>
      <c r="K534" s="599"/>
      <c r="L534" s="599"/>
      <c r="M534" s="599"/>
      <c r="N534" s="599"/>
      <c r="O534" s="599"/>
      <c r="P534" s="599"/>
      <c r="Q534" s="599"/>
      <c r="R534" s="599"/>
      <c r="S534" s="599"/>
      <c r="T534" s="599"/>
    </row>
    <row r="535" spans="1:20" ht="11.25" customHeight="1">
      <c r="A535" s="599"/>
      <c r="B535" s="599"/>
      <c r="C535" s="599"/>
      <c r="D535" s="599"/>
      <c r="E535" s="599"/>
      <c r="F535" s="599"/>
      <c r="G535" s="600"/>
      <c r="H535" s="599"/>
      <c r="I535" s="599"/>
      <c r="J535" s="599"/>
      <c r="K535" s="599"/>
      <c r="L535" s="599"/>
      <c r="M535" s="599"/>
      <c r="N535" s="599"/>
      <c r="O535" s="599"/>
      <c r="P535" s="599"/>
      <c r="Q535" s="599"/>
      <c r="R535" s="599"/>
      <c r="S535" s="599"/>
      <c r="T535" s="599"/>
    </row>
    <row r="536" spans="1:20" ht="11.25" customHeight="1">
      <c r="A536" s="599"/>
      <c r="B536" s="599"/>
      <c r="C536" s="599"/>
      <c r="D536" s="599"/>
      <c r="E536" s="599"/>
      <c r="F536" s="599"/>
      <c r="G536" s="600"/>
      <c r="H536" s="599"/>
      <c r="I536" s="599"/>
      <c r="J536" s="599"/>
      <c r="K536" s="599"/>
      <c r="L536" s="599"/>
      <c r="M536" s="599"/>
      <c r="N536" s="599"/>
      <c r="O536" s="599"/>
      <c r="P536" s="599"/>
      <c r="Q536" s="599"/>
      <c r="R536" s="599"/>
      <c r="S536" s="599"/>
      <c r="T536" s="599"/>
    </row>
    <row r="537" spans="1:20" ht="11.25" customHeight="1">
      <c r="A537" s="599"/>
      <c r="B537" s="599"/>
      <c r="C537" s="599"/>
      <c r="D537" s="599"/>
      <c r="E537" s="599"/>
      <c r="F537" s="599"/>
      <c r="G537" s="600"/>
      <c r="H537" s="599"/>
      <c r="I537" s="599"/>
      <c r="J537" s="599"/>
      <c r="K537" s="599"/>
      <c r="L537" s="599"/>
      <c r="M537" s="599"/>
      <c r="N537" s="599"/>
      <c r="O537" s="599"/>
      <c r="P537" s="599"/>
      <c r="Q537" s="599"/>
      <c r="R537" s="599"/>
      <c r="S537" s="599"/>
      <c r="T537" s="599"/>
    </row>
    <row r="538" spans="1:20" ht="11.25" customHeight="1">
      <c r="A538" s="599"/>
      <c r="B538" s="599"/>
      <c r="C538" s="599"/>
      <c r="D538" s="599"/>
      <c r="E538" s="599"/>
      <c r="F538" s="599"/>
      <c r="G538" s="600"/>
      <c r="H538" s="599"/>
      <c r="I538" s="599"/>
      <c r="J538" s="599"/>
      <c r="K538" s="599"/>
      <c r="L538" s="599"/>
      <c r="M538" s="599"/>
      <c r="N538" s="599"/>
      <c r="O538" s="599"/>
      <c r="P538" s="599"/>
      <c r="Q538" s="599"/>
      <c r="R538" s="599"/>
      <c r="S538" s="599"/>
      <c r="T538" s="599"/>
    </row>
    <row r="539" spans="1:20" ht="11.25" customHeight="1">
      <c r="A539" s="599"/>
      <c r="B539" s="599"/>
      <c r="C539" s="599"/>
      <c r="D539" s="599"/>
      <c r="E539" s="599"/>
      <c r="F539" s="599"/>
      <c r="G539" s="600"/>
      <c r="H539" s="599"/>
      <c r="I539" s="599"/>
      <c r="J539" s="599"/>
      <c r="K539" s="599"/>
      <c r="L539" s="599"/>
      <c r="M539" s="599"/>
      <c r="N539" s="599"/>
      <c r="O539" s="599"/>
      <c r="P539" s="599"/>
      <c r="Q539" s="599"/>
      <c r="R539" s="599"/>
      <c r="S539" s="599"/>
      <c r="T539" s="599"/>
    </row>
    <row r="540" spans="1:20" ht="11.25" customHeight="1">
      <c r="A540" s="599"/>
      <c r="B540" s="599"/>
      <c r="C540" s="599"/>
      <c r="D540" s="599"/>
      <c r="E540" s="599"/>
      <c r="F540" s="599"/>
      <c r="G540" s="600"/>
      <c r="H540" s="599"/>
      <c r="I540" s="599"/>
      <c r="J540" s="599"/>
      <c r="K540" s="599"/>
      <c r="L540" s="599"/>
      <c r="M540" s="599"/>
      <c r="N540" s="599"/>
      <c r="O540" s="599"/>
      <c r="P540" s="599"/>
      <c r="Q540" s="599"/>
      <c r="R540" s="599"/>
      <c r="S540" s="599"/>
      <c r="T540" s="599"/>
    </row>
    <row r="541" spans="1:20" ht="11.25" customHeight="1">
      <c r="A541" s="599"/>
      <c r="B541" s="599"/>
      <c r="C541" s="599"/>
      <c r="D541" s="599"/>
      <c r="E541" s="599"/>
      <c r="F541" s="599"/>
      <c r="G541" s="600"/>
      <c r="H541" s="599"/>
      <c r="I541" s="599"/>
      <c r="J541" s="599"/>
      <c r="K541" s="599"/>
      <c r="L541" s="599"/>
      <c r="M541" s="599"/>
      <c r="N541" s="599"/>
      <c r="O541" s="599"/>
      <c r="P541" s="599"/>
      <c r="Q541" s="599"/>
      <c r="R541" s="599"/>
      <c r="S541" s="599"/>
      <c r="T541" s="599"/>
    </row>
    <row r="542" spans="1:20" ht="11.25" customHeight="1">
      <c r="A542" s="599"/>
      <c r="B542" s="599"/>
      <c r="C542" s="599"/>
      <c r="D542" s="599"/>
      <c r="E542" s="599"/>
      <c r="F542" s="599"/>
      <c r="G542" s="600"/>
      <c r="H542" s="599"/>
      <c r="I542" s="599"/>
      <c r="J542" s="599"/>
      <c r="K542" s="599"/>
      <c r="L542" s="599"/>
      <c r="M542" s="599"/>
      <c r="N542" s="599"/>
      <c r="O542" s="599"/>
      <c r="P542" s="599"/>
      <c r="Q542" s="599"/>
      <c r="R542" s="599"/>
      <c r="S542" s="599"/>
      <c r="T542" s="599"/>
    </row>
    <row r="543" spans="1:20" ht="11.25" customHeight="1">
      <c r="A543" s="599"/>
      <c r="B543" s="599"/>
      <c r="C543" s="599"/>
      <c r="D543" s="599"/>
      <c r="E543" s="599"/>
      <c r="F543" s="599"/>
      <c r="G543" s="600"/>
      <c r="H543" s="599"/>
      <c r="I543" s="599"/>
      <c r="J543" s="599"/>
      <c r="K543" s="599"/>
      <c r="L543" s="599"/>
      <c r="M543" s="599"/>
      <c r="N543" s="599"/>
      <c r="O543" s="599"/>
      <c r="P543" s="599"/>
      <c r="Q543" s="599"/>
      <c r="R543" s="599"/>
      <c r="S543" s="599"/>
      <c r="T543" s="599"/>
    </row>
    <row r="544" spans="1:20" ht="11.25" customHeight="1">
      <c r="A544" s="599"/>
      <c r="B544" s="599"/>
      <c r="C544" s="599"/>
      <c r="D544" s="599"/>
      <c r="E544" s="599"/>
      <c r="F544" s="599"/>
      <c r="G544" s="600"/>
      <c r="H544" s="599"/>
      <c r="I544" s="599"/>
      <c r="J544" s="599"/>
      <c r="K544" s="599"/>
      <c r="L544" s="599"/>
      <c r="M544" s="599"/>
      <c r="N544" s="599"/>
      <c r="O544" s="599"/>
      <c r="P544" s="599"/>
      <c r="Q544" s="599"/>
      <c r="R544" s="599"/>
      <c r="S544" s="599"/>
      <c r="T544" s="599"/>
    </row>
    <row r="545" spans="1:20" ht="11.25" customHeight="1">
      <c r="A545" s="599"/>
      <c r="B545" s="599"/>
      <c r="C545" s="599"/>
      <c r="D545" s="599"/>
      <c r="E545" s="599"/>
      <c r="F545" s="599"/>
      <c r="G545" s="600"/>
      <c r="H545" s="599"/>
      <c r="I545" s="599"/>
      <c r="J545" s="599"/>
      <c r="K545" s="599"/>
      <c r="L545" s="599"/>
      <c r="M545" s="599"/>
      <c r="N545" s="599"/>
      <c r="O545" s="599"/>
      <c r="P545" s="599"/>
      <c r="Q545" s="599"/>
      <c r="R545" s="599"/>
      <c r="S545" s="599"/>
      <c r="T545" s="599"/>
    </row>
    <row r="546" spans="1:20" ht="11.25" customHeight="1">
      <c r="A546" s="599"/>
      <c r="B546" s="599"/>
      <c r="C546" s="599"/>
      <c r="D546" s="599"/>
      <c r="E546" s="599"/>
      <c r="F546" s="599"/>
      <c r="G546" s="600"/>
      <c r="H546" s="599"/>
      <c r="I546" s="599"/>
      <c r="J546" s="599"/>
      <c r="K546" s="599"/>
      <c r="L546" s="599"/>
      <c r="M546" s="599"/>
      <c r="N546" s="599"/>
      <c r="O546" s="599"/>
      <c r="P546" s="599"/>
      <c r="Q546" s="599"/>
      <c r="R546" s="599"/>
      <c r="S546" s="599"/>
      <c r="T546" s="599"/>
    </row>
    <row r="547" spans="1:20" ht="11.25" customHeight="1">
      <c r="A547" s="599"/>
      <c r="B547" s="599"/>
      <c r="C547" s="599"/>
      <c r="D547" s="599"/>
      <c r="E547" s="599"/>
      <c r="F547" s="599"/>
      <c r="G547" s="600"/>
      <c r="H547" s="599"/>
      <c r="I547" s="599"/>
      <c r="J547" s="599"/>
      <c r="K547" s="599"/>
      <c r="L547" s="599"/>
      <c r="M547" s="599"/>
      <c r="N547" s="599"/>
      <c r="O547" s="599"/>
      <c r="P547" s="599"/>
      <c r="Q547" s="599"/>
      <c r="R547" s="599"/>
      <c r="S547" s="599"/>
      <c r="T547" s="599"/>
    </row>
    <row r="548" spans="1:20" ht="11.25" customHeight="1">
      <c r="A548" s="599"/>
      <c r="B548" s="599"/>
      <c r="C548" s="599"/>
      <c r="D548" s="599"/>
      <c r="E548" s="599"/>
      <c r="F548" s="599"/>
      <c r="G548" s="600"/>
      <c r="H548" s="599"/>
      <c r="I548" s="599"/>
      <c r="J548" s="599"/>
      <c r="K548" s="599"/>
      <c r="L548" s="599"/>
      <c r="M548" s="599"/>
      <c r="N548" s="599"/>
      <c r="O548" s="599"/>
      <c r="P548" s="599"/>
      <c r="Q548" s="599"/>
      <c r="R548" s="599"/>
      <c r="S548" s="599"/>
      <c r="T548" s="599"/>
    </row>
    <row r="549" spans="1:20" ht="11.25" customHeight="1">
      <c r="A549" s="599"/>
      <c r="B549" s="599"/>
      <c r="C549" s="599"/>
      <c r="D549" s="599"/>
      <c r="E549" s="599"/>
      <c r="F549" s="599"/>
      <c r="G549" s="600"/>
      <c r="H549" s="599"/>
      <c r="I549" s="599"/>
      <c r="J549" s="599"/>
      <c r="K549" s="599"/>
      <c r="L549" s="599"/>
      <c r="M549" s="599"/>
      <c r="N549" s="599"/>
      <c r="O549" s="599"/>
      <c r="P549" s="599"/>
      <c r="Q549" s="599"/>
      <c r="R549" s="599"/>
      <c r="S549" s="599"/>
      <c r="T549" s="599"/>
    </row>
    <row r="550" spans="1:20" ht="11.25" customHeight="1">
      <c r="A550" s="599"/>
      <c r="B550" s="599"/>
      <c r="C550" s="599"/>
      <c r="D550" s="599"/>
      <c r="E550" s="599"/>
      <c r="F550" s="599"/>
      <c r="G550" s="600"/>
      <c r="H550" s="599"/>
      <c r="I550" s="599"/>
      <c r="J550" s="599"/>
      <c r="K550" s="599"/>
      <c r="L550" s="599"/>
      <c r="M550" s="599"/>
      <c r="N550" s="599"/>
      <c r="O550" s="599"/>
      <c r="P550" s="599"/>
      <c r="Q550" s="599"/>
      <c r="R550" s="599"/>
      <c r="S550" s="599"/>
      <c r="T550" s="599"/>
    </row>
    <row r="551" spans="1:20" ht="11.25" customHeight="1">
      <c r="A551" s="599"/>
      <c r="B551" s="599"/>
      <c r="C551" s="599"/>
      <c r="D551" s="599"/>
      <c r="E551" s="599"/>
      <c r="F551" s="599"/>
      <c r="G551" s="600"/>
      <c r="H551" s="599"/>
      <c r="I551" s="599"/>
      <c r="J551" s="599"/>
      <c r="K551" s="599"/>
      <c r="L551" s="599"/>
      <c r="M551" s="599"/>
      <c r="N551" s="599"/>
      <c r="O551" s="599"/>
      <c r="P551" s="599"/>
      <c r="Q551" s="599"/>
      <c r="R551" s="599"/>
      <c r="S551" s="599"/>
      <c r="T551" s="599"/>
    </row>
    <row r="552" spans="1:20" ht="11.25" customHeight="1">
      <c r="A552" s="599"/>
      <c r="B552" s="599"/>
      <c r="C552" s="599"/>
      <c r="D552" s="599"/>
      <c r="E552" s="599"/>
      <c r="F552" s="599"/>
      <c r="G552" s="600"/>
      <c r="H552" s="599"/>
      <c r="I552" s="599"/>
      <c r="J552" s="599"/>
      <c r="K552" s="599"/>
      <c r="L552" s="599"/>
      <c r="M552" s="599"/>
      <c r="N552" s="599"/>
      <c r="O552" s="599"/>
      <c r="P552" s="599"/>
      <c r="Q552" s="599"/>
      <c r="R552" s="599"/>
      <c r="S552" s="599"/>
      <c r="T552" s="599"/>
    </row>
    <row r="553" spans="1:20" ht="11.25" customHeight="1">
      <c r="A553" s="599"/>
      <c r="B553" s="599"/>
      <c r="C553" s="599"/>
      <c r="D553" s="599"/>
      <c r="E553" s="599"/>
      <c r="F553" s="599"/>
      <c r="G553" s="600"/>
      <c r="H553" s="599"/>
      <c r="I553" s="599"/>
      <c r="J553" s="599"/>
      <c r="K553" s="599"/>
      <c r="L553" s="599"/>
      <c r="M553" s="599"/>
      <c r="N553" s="599"/>
      <c r="O553" s="599"/>
      <c r="P553" s="599"/>
      <c r="Q553" s="599"/>
      <c r="R553" s="599"/>
      <c r="S553" s="599"/>
      <c r="T553" s="599"/>
    </row>
    <row r="554" spans="1:20" ht="11.25" customHeight="1">
      <c r="A554" s="599"/>
      <c r="B554" s="599"/>
      <c r="C554" s="599"/>
      <c r="D554" s="599"/>
      <c r="E554" s="599"/>
      <c r="F554" s="599"/>
      <c r="G554" s="600"/>
      <c r="H554" s="599"/>
      <c r="I554" s="599"/>
      <c r="J554" s="599"/>
      <c r="K554" s="599"/>
      <c r="L554" s="599"/>
      <c r="M554" s="599"/>
      <c r="N554" s="599"/>
      <c r="O554" s="599"/>
      <c r="P554" s="599"/>
      <c r="Q554" s="599"/>
      <c r="R554" s="599"/>
      <c r="S554" s="599"/>
      <c r="T554" s="599"/>
    </row>
    <row r="555" spans="1:20" ht="11.25" customHeight="1">
      <c r="A555" s="599"/>
      <c r="B555" s="599"/>
      <c r="C555" s="599"/>
      <c r="D555" s="599"/>
      <c r="E555" s="599"/>
      <c r="F555" s="599"/>
      <c r="G555" s="600"/>
      <c r="H555" s="599"/>
      <c r="I555" s="599"/>
      <c r="J555" s="599"/>
      <c r="K555" s="599"/>
      <c r="L555" s="599"/>
      <c r="M555" s="599"/>
      <c r="N555" s="599"/>
      <c r="O555" s="599"/>
      <c r="P555" s="599"/>
      <c r="Q555" s="599"/>
      <c r="R555" s="599"/>
      <c r="S555" s="599"/>
      <c r="T555" s="599"/>
    </row>
    <row r="556" spans="1:20" ht="11.25" customHeight="1">
      <c r="A556" s="599"/>
      <c r="B556" s="599"/>
      <c r="C556" s="599"/>
      <c r="D556" s="599"/>
      <c r="E556" s="599"/>
      <c r="F556" s="599"/>
      <c r="G556" s="600"/>
      <c r="H556" s="599"/>
      <c r="I556" s="599"/>
      <c r="J556" s="599"/>
      <c r="K556" s="599"/>
      <c r="L556" s="599"/>
      <c r="M556" s="599"/>
      <c r="N556" s="599"/>
      <c r="O556" s="599"/>
      <c r="P556" s="599"/>
      <c r="Q556" s="599"/>
      <c r="R556" s="599"/>
      <c r="S556" s="599"/>
      <c r="T556" s="599"/>
    </row>
    <row r="557" spans="1:20" ht="11.25" customHeight="1">
      <c r="A557" s="599"/>
      <c r="B557" s="599"/>
      <c r="C557" s="599"/>
      <c r="D557" s="599"/>
      <c r="E557" s="599"/>
      <c r="F557" s="599"/>
      <c r="G557" s="600"/>
      <c r="H557" s="599"/>
      <c r="I557" s="599"/>
      <c r="J557" s="599"/>
      <c r="K557" s="599"/>
      <c r="L557" s="599"/>
      <c r="M557" s="599"/>
      <c r="N557" s="599"/>
      <c r="O557" s="599"/>
      <c r="P557" s="599"/>
      <c r="Q557" s="599"/>
      <c r="R557" s="599"/>
      <c r="S557" s="599"/>
      <c r="T557" s="599"/>
    </row>
    <row r="558" spans="1:20" ht="11.25" customHeight="1">
      <c r="A558" s="599"/>
      <c r="B558" s="599"/>
      <c r="C558" s="599"/>
      <c r="D558" s="599"/>
      <c r="E558" s="599"/>
      <c r="F558" s="599"/>
      <c r="G558" s="600"/>
      <c r="H558" s="599"/>
      <c r="I558" s="599"/>
      <c r="J558" s="599"/>
      <c r="K558" s="599"/>
      <c r="L558" s="599"/>
      <c r="M558" s="599"/>
      <c r="N558" s="599"/>
      <c r="O558" s="599"/>
      <c r="P558" s="599"/>
      <c r="Q558" s="599"/>
      <c r="R558" s="599"/>
      <c r="S558" s="599"/>
      <c r="T558" s="599"/>
    </row>
    <row r="559" spans="1:20" ht="11.25" customHeight="1">
      <c r="A559" s="599"/>
      <c r="B559" s="599"/>
      <c r="C559" s="599"/>
      <c r="D559" s="599"/>
      <c r="E559" s="599"/>
      <c r="F559" s="599"/>
      <c r="G559" s="600"/>
      <c r="H559" s="599"/>
      <c r="I559" s="599"/>
      <c r="J559" s="599"/>
      <c r="K559" s="599"/>
      <c r="L559" s="599"/>
      <c r="M559" s="599"/>
      <c r="N559" s="599"/>
      <c r="O559" s="599"/>
      <c r="P559" s="599"/>
      <c r="Q559" s="599"/>
      <c r="R559" s="599"/>
      <c r="S559" s="599"/>
      <c r="T559" s="599"/>
    </row>
    <row r="560" spans="1:20" ht="11.25" customHeight="1">
      <c r="A560" s="599"/>
      <c r="B560" s="599"/>
      <c r="C560" s="599"/>
      <c r="D560" s="599"/>
      <c r="E560" s="599"/>
      <c r="F560" s="599"/>
      <c r="G560" s="600"/>
      <c r="H560" s="599"/>
      <c r="I560" s="599"/>
      <c r="J560" s="599"/>
      <c r="K560" s="599"/>
      <c r="L560" s="599"/>
      <c r="M560" s="599"/>
      <c r="N560" s="599"/>
      <c r="O560" s="599"/>
      <c r="P560" s="599"/>
      <c r="Q560" s="599"/>
      <c r="R560" s="599"/>
      <c r="S560" s="599"/>
      <c r="T560" s="599"/>
    </row>
    <row r="561" spans="1:20" ht="11.25" customHeight="1">
      <c r="A561" s="599"/>
      <c r="B561" s="599"/>
      <c r="C561" s="599"/>
      <c r="D561" s="599"/>
      <c r="E561" s="599"/>
      <c r="F561" s="599"/>
      <c r="G561" s="600"/>
      <c r="H561" s="599"/>
      <c r="I561" s="599"/>
      <c r="J561" s="599"/>
      <c r="K561" s="599"/>
      <c r="L561" s="599"/>
      <c r="M561" s="599"/>
      <c r="N561" s="599"/>
      <c r="O561" s="599"/>
      <c r="P561" s="599"/>
      <c r="Q561" s="599"/>
      <c r="R561" s="599"/>
      <c r="S561" s="599"/>
      <c r="T561" s="599"/>
    </row>
    <row r="562" spans="1:20" ht="11.25" customHeight="1">
      <c r="A562" s="599"/>
      <c r="B562" s="599"/>
      <c r="C562" s="599"/>
      <c r="D562" s="599"/>
      <c r="E562" s="599"/>
      <c r="F562" s="599"/>
      <c r="G562" s="600"/>
      <c r="H562" s="599"/>
      <c r="I562" s="599"/>
      <c r="J562" s="599"/>
      <c r="K562" s="599"/>
      <c r="L562" s="599"/>
      <c r="M562" s="599"/>
      <c r="N562" s="599"/>
      <c r="O562" s="599"/>
      <c r="P562" s="599"/>
      <c r="Q562" s="599"/>
      <c r="R562" s="599"/>
      <c r="S562" s="599"/>
      <c r="T562" s="599"/>
    </row>
    <row r="563" spans="1:20" ht="11.25" customHeight="1">
      <c r="A563" s="599"/>
      <c r="B563" s="599"/>
      <c r="C563" s="599"/>
      <c r="D563" s="599"/>
      <c r="E563" s="599"/>
      <c r="F563" s="599"/>
      <c r="G563" s="600"/>
      <c r="H563" s="599"/>
      <c r="I563" s="599"/>
      <c r="J563" s="599"/>
      <c r="K563" s="599"/>
      <c r="L563" s="599"/>
      <c r="M563" s="599"/>
      <c r="N563" s="599"/>
      <c r="O563" s="599"/>
      <c r="P563" s="599"/>
      <c r="Q563" s="599"/>
      <c r="R563" s="599"/>
      <c r="S563" s="599"/>
      <c r="T563" s="599"/>
    </row>
    <row r="564" spans="1:20" ht="11.25" customHeight="1">
      <c r="A564" s="599"/>
      <c r="B564" s="599"/>
      <c r="C564" s="599"/>
      <c r="D564" s="599"/>
      <c r="E564" s="599"/>
      <c r="F564" s="599"/>
      <c r="G564" s="600"/>
      <c r="H564" s="599"/>
      <c r="I564" s="599"/>
      <c r="J564" s="599"/>
      <c r="K564" s="599"/>
      <c r="L564" s="599"/>
      <c r="M564" s="599"/>
      <c r="N564" s="599"/>
      <c r="O564" s="599"/>
      <c r="P564" s="599"/>
      <c r="Q564" s="599"/>
      <c r="R564" s="599"/>
      <c r="S564" s="599"/>
      <c r="T564" s="599"/>
    </row>
    <row r="565" spans="1:20" ht="11.25" customHeight="1">
      <c r="A565" s="599"/>
      <c r="B565" s="599"/>
      <c r="C565" s="599"/>
      <c r="D565" s="599"/>
      <c r="E565" s="599"/>
      <c r="F565" s="599"/>
      <c r="G565" s="600"/>
      <c r="H565" s="599"/>
      <c r="I565" s="599"/>
      <c r="J565" s="599"/>
      <c r="K565" s="599"/>
      <c r="L565" s="599"/>
      <c r="M565" s="599"/>
      <c r="N565" s="599"/>
      <c r="O565" s="599"/>
      <c r="P565" s="599"/>
      <c r="Q565" s="599"/>
      <c r="R565" s="599"/>
      <c r="S565" s="599"/>
      <c r="T565" s="599"/>
    </row>
    <row r="566" spans="1:20" ht="11.25" customHeight="1">
      <c r="A566" s="599"/>
      <c r="B566" s="599"/>
      <c r="C566" s="599"/>
      <c r="D566" s="599"/>
      <c r="E566" s="599"/>
      <c r="F566" s="599"/>
      <c r="G566" s="600"/>
      <c r="H566" s="599"/>
      <c r="I566" s="599"/>
      <c r="J566" s="599"/>
      <c r="K566" s="599"/>
      <c r="L566" s="599"/>
      <c r="M566" s="599"/>
      <c r="N566" s="599"/>
      <c r="O566" s="599"/>
      <c r="P566" s="599"/>
      <c r="Q566" s="599"/>
      <c r="R566" s="599"/>
      <c r="S566" s="599"/>
      <c r="T566" s="599"/>
    </row>
    <row r="567" spans="1:20" ht="11.25" customHeight="1">
      <c r="A567" s="599"/>
      <c r="B567" s="599"/>
      <c r="C567" s="599"/>
      <c r="D567" s="599"/>
      <c r="E567" s="599"/>
      <c r="F567" s="599"/>
      <c r="G567" s="600"/>
      <c r="H567" s="599"/>
      <c r="I567" s="599"/>
      <c r="J567" s="599"/>
      <c r="K567" s="599"/>
      <c r="L567" s="599"/>
      <c r="M567" s="599"/>
      <c r="N567" s="599"/>
      <c r="O567" s="599"/>
      <c r="P567" s="599"/>
      <c r="Q567" s="599"/>
      <c r="R567" s="599"/>
      <c r="S567" s="599"/>
      <c r="T567" s="599"/>
    </row>
    <row r="568" spans="1:20" ht="11.25" customHeight="1">
      <c r="A568" s="599"/>
      <c r="B568" s="599"/>
      <c r="C568" s="599"/>
      <c r="D568" s="599"/>
      <c r="E568" s="599"/>
      <c r="F568" s="599"/>
      <c r="G568" s="600"/>
      <c r="H568" s="599"/>
      <c r="I568" s="599"/>
      <c r="J568" s="599"/>
      <c r="K568" s="599"/>
      <c r="L568" s="599"/>
      <c r="M568" s="599"/>
      <c r="N568" s="599"/>
      <c r="O568" s="599"/>
      <c r="P568" s="599"/>
      <c r="Q568" s="599"/>
      <c r="R568" s="599"/>
      <c r="S568" s="599"/>
      <c r="T568" s="599"/>
    </row>
    <row r="569" spans="1:20" ht="11.25" customHeight="1">
      <c r="A569" s="599"/>
      <c r="B569" s="599"/>
      <c r="C569" s="599"/>
      <c r="D569" s="599"/>
      <c r="E569" s="599"/>
      <c r="F569" s="599"/>
      <c r="G569" s="600"/>
      <c r="H569" s="599"/>
      <c r="I569" s="599"/>
      <c r="J569" s="599"/>
      <c r="K569" s="599"/>
      <c r="L569" s="599"/>
      <c r="M569" s="599"/>
      <c r="N569" s="599"/>
      <c r="O569" s="599"/>
      <c r="P569" s="599"/>
      <c r="Q569" s="599"/>
      <c r="R569" s="599"/>
      <c r="S569" s="599"/>
      <c r="T569" s="599"/>
    </row>
    <row r="570" spans="1:20" ht="11.25" customHeight="1">
      <c r="A570" s="599"/>
      <c r="B570" s="599"/>
      <c r="C570" s="599"/>
      <c r="D570" s="599"/>
      <c r="E570" s="599"/>
      <c r="F570" s="599"/>
      <c r="G570" s="600"/>
      <c r="H570" s="599"/>
      <c r="I570" s="599"/>
      <c r="J570" s="599"/>
      <c r="K570" s="599"/>
      <c r="L570" s="599"/>
      <c r="M570" s="599"/>
      <c r="N570" s="599"/>
      <c r="O570" s="599"/>
      <c r="P570" s="599"/>
      <c r="Q570" s="599"/>
      <c r="R570" s="599"/>
      <c r="S570" s="599"/>
      <c r="T570" s="599"/>
    </row>
    <row r="571" spans="1:20" ht="11.25" customHeight="1">
      <c r="A571" s="599"/>
      <c r="B571" s="599"/>
      <c r="C571" s="599"/>
      <c r="D571" s="599"/>
      <c r="E571" s="599"/>
      <c r="F571" s="599"/>
      <c r="G571" s="600"/>
      <c r="H571" s="599"/>
      <c r="I571" s="599"/>
      <c r="J571" s="599"/>
      <c r="K571" s="599"/>
      <c r="L571" s="599"/>
      <c r="M571" s="599"/>
      <c r="N571" s="599"/>
      <c r="O571" s="599"/>
      <c r="P571" s="599"/>
      <c r="Q571" s="599"/>
      <c r="R571" s="599"/>
      <c r="S571" s="599"/>
      <c r="T571" s="599"/>
    </row>
    <row r="572" spans="1:20" ht="11.25" customHeight="1">
      <c r="A572" s="599"/>
      <c r="B572" s="599"/>
      <c r="C572" s="599"/>
      <c r="D572" s="599"/>
      <c r="E572" s="599"/>
      <c r="F572" s="599"/>
      <c r="G572" s="600"/>
      <c r="H572" s="599"/>
      <c r="I572" s="599"/>
      <c r="J572" s="599"/>
      <c r="K572" s="599"/>
      <c r="L572" s="599"/>
      <c r="M572" s="599"/>
      <c r="N572" s="599"/>
      <c r="O572" s="599"/>
      <c r="P572" s="599"/>
      <c r="Q572" s="599"/>
      <c r="R572" s="599"/>
      <c r="S572" s="599"/>
      <c r="T572" s="599"/>
    </row>
    <row r="573" spans="1:20" ht="11.25" customHeight="1">
      <c r="A573" s="599"/>
      <c r="B573" s="599"/>
      <c r="C573" s="599"/>
      <c r="D573" s="599"/>
      <c r="E573" s="599"/>
      <c r="F573" s="599"/>
      <c r="G573" s="600"/>
      <c r="H573" s="599"/>
      <c r="I573" s="599"/>
      <c r="J573" s="599"/>
      <c r="K573" s="599"/>
      <c r="L573" s="599"/>
      <c r="M573" s="599"/>
      <c r="N573" s="599"/>
      <c r="O573" s="599"/>
      <c r="P573" s="599"/>
      <c r="Q573" s="599"/>
      <c r="R573" s="599"/>
      <c r="S573" s="599"/>
      <c r="T573" s="599"/>
    </row>
    <row r="574" spans="1:20" ht="11.25" customHeight="1">
      <c r="A574" s="599"/>
      <c r="B574" s="599"/>
      <c r="C574" s="599"/>
      <c r="D574" s="599"/>
      <c r="E574" s="599"/>
      <c r="F574" s="599"/>
      <c r="G574" s="600"/>
      <c r="H574" s="599"/>
      <c r="I574" s="599"/>
      <c r="J574" s="599"/>
      <c r="K574" s="599"/>
      <c r="L574" s="599"/>
      <c r="M574" s="599"/>
      <c r="N574" s="599"/>
      <c r="O574" s="599"/>
      <c r="P574" s="599"/>
      <c r="Q574" s="599"/>
      <c r="R574" s="599"/>
      <c r="S574" s="599"/>
      <c r="T574" s="599"/>
    </row>
    <row r="575" spans="1:20" ht="11.25" customHeight="1">
      <c r="A575" s="599"/>
      <c r="B575" s="599"/>
      <c r="C575" s="599"/>
      <c r="D575" s="599"/>
      <c r="E575" s="599"/>
      <c r="F575" s="599"/>
      <c r="G575" s="600"/>
      <c r="H575" s="599"/>
      <c r="I575" s="599"/>
      <c r="J575" s="599"/>
      <c r="K575" s="599"/>
      <c r="L575" s="599"/>
      <c r="M575" s="599"/>
      <c r="N575" s="599"/>
      <c r="O575" s="599"/>
      <c r="P575" s="599"/>
      <c r="Q575" s="599"/>
      <c r="R575" s="599"/>
      <c r="S575" s="599"/>
      <c r="T575" s="599"/>
    </row>
    <row r="576" spans="1:20" ht="11.25" customHeight="1">
      <c r="A576" s="599"/>
      <c r="B576" s="599"/>
      <c r="C576" s="599"/>
      <c r="D576" s="599"/>
      <c r="E576" s="599"/>
      <c r="F576" s="599"/>
      <c r="G576" s="600"/>
      <c r="H576" s="599"/>
      <c r="I576" s="599"/>
      <c r="J576" s="599"/>
      <c r="K576" s="599"/>
      <c r="L576" s="599"/>
      <c r="M576" s="599"/>
      <c r="N576" s="599"/>
      <c r="O576" s="599"/>
      <c r="P576" s="599"/>
      <c r="Q576" s="599"/>
      <c r="R576" s="599"/>
      <c r="S576" s="599"/>
      <c r="T576" s="599"/>
    </row>
    <row r="577" spans="1:20" ht="11.25" customHeight="1">
      <c r="A577" s="599"/>
      <c r="B577" s="599"/>
      <c r="C577" s="599"/>
      <c r="D577" s="599"/>
      <c r="E577" s="599"/>
      <c r="F577" s="599"/>
      <c r="G577" s="600"/>
      <c r="H577" s="599"/>
      <c r="I577" s="599"/>
      <c r="J577" s="599"/>
      <c r="K577" s="599"/>
      <c r="L577" s="599"/>
      <c r="M577" s="599"/>
      <c r="N577" s="599"/>
      <c r="O577" s="599"/>
      <c r="P577" s="599"/>
      <c r="Q577" s="599"/>
      <c r="R577" s="599"/>
      <c r="S577" s="599"/>
      <c r="T577" s="599"/>
    </row>
    <row r="578" spans="1:20" ht="11.25" customHeight="1">
      <c r="A578" s="599"/>
      <c r="B578" s="599"/>
      <c r="C578" s="599"/>
      <c r="D578" s="599"/>
      <c r="E578" s="599"/>
      <c r="F578" s="599"/>
      <c r="G578" s="600"/>
      <c r="H578" s="599"/>
      <c r="I578" s="599"/>
      <c r="J578" s="599"/>
      <c r="K578" s="599"/>
      <c r="L578" s="599"/>
      <c r="M578" s="599"/>
      <c r="N578" s="599"/>
      <c r="O578" s="599"/>
      <c r="P578" s="599"/>
      <c r="Q578" s="599"/>
      <c r="R578" s="599"/>
      <c r="S578" s="599"/>
      <c r="T578" s="599"/>
    </row>
    <row r="579" spans="1:20" ht="11.25" customHeight="1">
      <c r="A579" s="599"/>
      <c r="B579" s="599"/>
      <c r="C579" s="599"/>
      <c r="D579" s="599"/>
      <c r="E579" s="599"/>
      <c r="F579" s="599"/>
      <c r="G579" s="600"/>
      <c r="H579" s="599"/>
      <c r="I579" s="599"/>
      <c r="J579" s="599"/>
      <c r="K579" s="599"/>
      <c r="L579" s="599"/>
      <c r="M579" s="599"/>
      <c r="N579" s="599"/>
      <c r="O579" s="599"/>
      <c r="P579" s="599"/>
      <c r="Q579" s="599"/>
      <c r="R579" s="599"/>
      <c r="S579" s="599"/>
      <c r="T579" s="599"/>
    </row>
    <row r="580" spans="1:20" ht="11.25" customHeight="1">
      <c r="A580" s="599"/>
      <c r="B580" s="599"/>
      <c r="C580" s="599"/>
      <c r="D580" s="599"/>
      <c r="E580" s="599"/>
      <c r="F580" s="599"/>
      <c r="G580" s="600"/>
      <c r="H580" s="599"/>
      <c r="I580" s="599"/>
      <c r="J580" s="599"/>
      <c r="K580" s="599"/>
      <c r="L580" s="599"/>
      <c r="M580" s="599"/>
      <c r="N580" s="599"/>
      <c r="O580" s="599"/>
      <c r="P580" s="599"/>
      <c r="Q580" s="599"/>
      <c r="R580" s="599"/>
      <c r="S580" s="599"/>
      <c r="T580" s="599"/>
    </row>
    <row r="581" spans="1:20" ht="11.25" customHeight="1">
      <c r="A581" s="599"/>
      <c r="B581" s="599"/>
      <c r="C581" s="599"/>
      <c r="D581" s="599"/>
      <c r="E581" s="599"/>
      <c r="F581" s="599"/>
      <c r="G581" s="600"/>
      <c r="H581" s="599"/>
      <c r="I581" s="599"/>
      <c r="J581" s="599"/>
      <c r="K581" s="599"/>
      <c r="L581" s="599"/>
      <c r="M581" s="599"/>
      <c r="N581" s="599"/>
      <c r="O581" s="599"/>
      <c r="P581" s="599"/>
      <c r="Q581" s="599"/>
      <c r="R581" s="599"/>
      <c r="S581" s="599"/>
      <c r="T581" s="599"/>
    </row>
    <row r="582" spans="1:20" ht="11.25" customHeight="1">
      <c r="A582" s="599"/>
      <c r="B582" s="599"/>
      <c r="C582" s="599"/>
      <c r="D582" s="599"/>
      <c r="E582" s="599"/>
      <c r="F582" s="599"/>
      <c r="G582" s="600"/>
      <c r="H582" s="599"/>
      <c r="I582" s="599"/>
      <c r="J582" s="599"/>
      <c r="K582" s="599"/>
      <c r="L582" s="599"/>
      <c r="M582" s="599"/>
      <c r="N582" s="599"/>
      <c r="O582" s="599"/>
      <c r="P582" s="599"/>
      <c r="Q582" s="599"/>
      <c r="R582" s="599"/>
      <c r="S582" s="599"/>
      <c r="T582" s="599"/>
    </row>
    <row r="583" spans="1:20" ht="11.25" customHeight="1">
      <c r="A583" s="599"/>
      <c r="B583" s="599"/>
      <c r="C583" s="599"/>
      <c r="D583" s="599"/>
      <c r="E583" s="599"/>
      <c r="F583" s="599"/>
      <c r="G583" s="600"/>
      <c r="H583" s="599"/>
      <c r="I583" s="599"/>
      <c r="J583" s="599"/>
      <c r="K583" s="599"/>
      <c r="L583" s="599"/>
      <c r="M583" s="599"/>
      <c r="N583" s="599"/>
      <c r="O583" s="599"/>
      <c r="P583" s="599"/>
      <c r="Q583" s="599"/>
      <c r="R583" s="599"/>
      <c r="S583" s="599"/>
      <c r="T583" s="599"/>
    </row>
    <row r="584" spans="1:20" ht="11.25" customHeight="1">
      <c r="A584" s="599"/>
      <c r="B584" s="599"/>
      <c r="C584" s="599"/>
      <c r="D584" s="599"/>
      <c r="E584" s="599"/>
      <c r="F584" s="599"/>
      <c r="G584" s="600"/>
      <c r="H584" s="599"/>
      <c r="I584" s="599"/>
      <c r="J584" s="599"/>
      <c r="K584" s="599"/>
      <c r="L584" s="599"/>
      <c r="M584" s="599"/>
      <c r="N584" s="599"/>
      <c r="O584" s="599"/>
      <c r="P584" s="599"/>
      <c r="Q584" s="599"/>
      <c r="R584" s="599"/>
      <c r="S584" s="599"/>
      <c r="T584" s="599"/>
    </row>
    <row r="585" spans="1:20" ht="11.25" customHeight="1">
      <c r="A585" s="599"/>
      <c r="B585" s="599"/>
      <c r="C585" s="599"/>
      <c r="D585" s="599"/>
      <c r="E585" s="599"/>
      <c r="F585" s="599"/>
      <c r="G585" s="600"/>
      <c r="H585" s="599"/>
      <c r="I585" s="599"/>
      <c r="J585" s="599"/>
      <c r="K585" s="599"/>
      <c r="L585" s="599"/>
      <c r="M585" s="599"/>
      <c r="N585" s="599"/>
      <c r="O585" s="599"/>
      <c r="P585" s="599"/>
      <c r="Q585" s="599"/>
      <c r="R585" s="599"/>
      <c r="S585" s="599"/>
      <c r="T585" s="599"/>
    </row>
    <row r="586" spans="1:20" ht="11.25" customHeight="1">
      <c r="A586" s="599"/>
      <c r="B586" s="599"/>
      <c r="C586" s="599"/>
      <c r="D586" s="599"/>
      <c r="E586" s="599"/>
      <c r="F586" s="599"/>
      <c r="G586" s="600"/>
      <c r="H586" s="599"/>
      <c r="I586" s="599"/>
      <c r="J586" s="599"/>
      <c r="K586" s="599"/>
      <c r="L586" s="599"/>
      <c r="M586" s="599"/>
      <c r="N586" s="599"/>
      <c r="O586" s="599"/>
      <c r="P586" s="599"/>
      <c r="Q586" s="599"/>
      <c r="R586" s="599"/>
      <c r="S586" s="599"/>
      <c r="T586" s="599"/>
    </row>
    <row r="587" spans="1:20" ht="11.25" customHeight="1">
      <c r="A587" s="599"/>
      <c r="B587" s="599"/>
      <c r="C587" s="599"/>
      <c r="D587" s="599"/>
      <c r="E587" s="599"/>
      <c r="F587" s="599"/>
      <c r="G587" s="600"/>
      <c r="H587" s="599"/>
      <c r="I587" s="599"/>
      <c r="J587" s="599"/>
      <c r="K587" s="599"/>
      <c r="L587" s="599"/>
      <c r="M587" s="599"/>
      <c r="N587" s="599"/>
      <c r="O587" s="599"/>
      <c r="P587" s="599"/>
      <c r="Q587" s="599"/>
      <c r="R587" s="599"/>
      <c r="S587" s="599"/>
      <c r="T587" s="599"/>
    </row>
    <row r="588" spans="1:20" ht="11.25" customHeight="1">
      <c r="A588" s="599"/>
      <c r="B588" s="599"/>
      <c r="C588" s="599"/>
      <c r="D588" s="599"/>
      <c r="E588" s="599"/>
      <c r="F588" s="599"/>
      <c r="G588" s="600"/>
      <c r="H588" s="599"/>
      <c r="I588" s="599"/>
      <c r="J588" s="599"/>
      <c r="K588" s="599"/>
      <c r="L588" s="599"/>
      <c r="M588" s="599"/>
      <c r="N588" s="599"/>
      <c r="O588" s="599"/>
      <c r="P588" s="599"/>
      <c r="Q588" s="599"/>
      <c r="R588" s="599"/>
      <c r="S588" s="599"/>
      <c r="T588" s="599"/>
    </row>
    <row r="589" spans="1:20" ht="11.25" customHeight="1">
      <c r="A589" s="599"/>
      <c r="B589" s="599"/>
      <c r="C589" s="599"/>
      <c r="D589" s="599"/>
      <c r="E589" s="599"/>
      <c r="F589" s="599"/>
      <c r="G589" s="600"/>
      <c r="H589" s="599"/>
      <c r="I589" s="599"/>
      <c r="J589" s="599"/>
      <c r="K589" s="599"/>
      <c r="L589" s="599"/>
      <c r="M589" s="599"/>
      <c r="N589" s="599"/>
      <c r="O589" s="599"/>
      <c r="P589" s="599"/>
      <c r="Q589" s="599"/>
      <c r="R589" s="599"/>
      <c r="S589" s="599"/>
      <c r="T589" s="599"/>
    </row>
    <row r="590" spans="1:20" ht="11.25" customHeight="1">
      <c r="A590" s="599"/>
      <c r="B590" s="599"/>
      <c r="C590" s="599"/>
      <c r="D590" s="599"/>
      <c r="E590" s="599"/>
      <c r="F590" s="599"/>
      <c r="G590" s="600"/>
      <c r="H590" s="599"/>
      <c r="I590" s="599"/>
      <c r="J590" s="599"/>
      <c r="K590" s="599"/>
      <c r="L590" s="599"/>
      <c r="M590" s="599"/>
      <c r="N590" s="599"/>
      <c r="O590" s="599"/>
      <c r="P590" s="599"/>
      <c r="Q590" s="599"/>
      <c r="R590" s="599"/>
      <c r="S590" s="599"/>
      <c r="T590" s="599"/>
    </row>
    <row r="591" spans="1:20" ht="11.25" customHeight="1">
      <c r="A591" s="599"/>
      <c r="B591" s="599"/>
      <c r="C591" s="599"/>
      <c r="D591" s="599"/>
      <c r="E591" s="599"/>
      <c r="F591" s="599"/>
      <c r="G591" s="600"/>
      <c r="H591" s="599"/>
      <c r="I591" s="599"/>
      <c r="J591" s="599"/>
      <c r="K591" s="599"/>
      <c r="L591" s="599"/>
      <c r="M591" s="599"/>
      <c r="N591" s="599"/>
      <c r="O591" s="599"/>
      <c r="P591" s="599"/>
      <c r="Q591" s="599"/>
      <c r="R591" s="599"/>
      <c r="S591" s="599"/>
      <c r="T591" s="599"/>
    </row>
    <row r="592" spans="1:20" ht="11.25" customHeight="1">
      <c r="A592" s="599"/>
      <c r="B592" s="599"/>
      <c r="C592" s="599"/>
      <c r="D592" s="599"/>
      <c r="E592" s="599"/>
      <c r="F592" s="599"/>
      <c r="G592" s="600"/>
      <c r="H592" s="599"/>
      <c r="I592" s="599"/>
      <c r="J592" s="599"/>
      <c r="K592" s="599"/>
      <c r="L592" s="599"/>
      <c r="M592" s="599"/>
      <c r="N592" s="599"/>
      <c r="O592" s="599"/>
      <c r="P592" s="599"/>
      <c r="Q592" s="599"/>
      <c r="R592" s="599"/>
      <c r="S592" s="599"/>
      <c r="T592" s="599"/>
    </row>
    <row r="593" spans="1:20" ht="11.25" customHeight="1">
      <c r="A593" s="599"/>
      <c r="B593" s="599"/>
      <c r="C593" s="599"/>
      <c r="D593" s="599"/>
      <c r="E593" s="599"/>
      <c r="F593" s="599"/>
      <c r="G593" s="600"/>
      <c r="H593" s="599"/>
      <c r="I593" s="599"/>
      <c r="J593" s="599"/>
      <c r="K593" s="599"/>
      <c r="L593" s="599"/>
      <c r="M593" s="599"/>
      <c r="N593" s="599"/>
      <c r="O593" s="599"/>
      <c r="P593" s="599"/>
      <c r="Q593" s="599"/>
      <c r="R593" s="599"/>
      <c r="S593" s="599"/>
      <c r="T593" s="599"/>
    </row>
    <row r="594" spans="1:20" ht="11.25" customHeight="1">
      <c r="A594" s="599"/>
      <c r="B594" s="599"/>
      <c r="C594" s="599"/>
      <c r="D594" s="599"/>
      <c r="E594" s="599"/>
      <c r="F594" s="599"/>
      <c r="G594" s="600"/>
      <c r="H594" s="599"/>
      <c r="I594" s="599"/>
      <c r="J594" s="599"/>
      <c r="K594" s="599"/>
      <c r="L594" s="599"/>
      <c r="M594" s="599"/>
      <c r="N594" s="599"/>
      <c r="O594" s="599"/>
      <c r="P594" s="599"/>
      <c r="Q594" s="599"/>
      <c r="R594" s="599"/>
      <c r="S594" s="599"/>
      <c r="T594" s="599"/>
    </row>
    <row r="595" spans="1:20" ht="11.25" customHeight="1">
      <c r="A595" s="599"/>
      <c r="B595" s="599"/>
      <c r="C595" s="599"/>
      <c r="D595" s="599"/>
      <c r="E595" s="599"/>
      <c r="F595" s="599"/>
      <c r="G595" s="600"/>
      <c r="H595" s="599"/>
      <c r="I595" s="599"/>
      <c r="J595" s="599"/>
      <c r="K595" s="599"/>
      <c r="L595" s="599"/>
      <c r="M595" s="599"/>
      <c r="N595" s="599"/>
      <c r="O595" s="599"/>
      <c r="P595" s="599"/>
      <c r="Q595" s="599"/>
      <c r="R595" s="599"/>
      <c r="S595" s="599"/>
      <c r="T595" s="599"/>
    </row>
    <row r="596" spans="1:20" ht="11.25" customHeight="1">
      <c r="A596" s="599"/>
      <c r="B596" s="599"/>
      <c r="C596" s="599"/>
      <c r="D596" s="599"/>
      <c r="E596" s="599"/>
      <c r="F596" s="599"/>
      <c r="G596" s="600"/>
      <c r="H596" s="599"/>
      <c r="I596" s="599"/>
      <c r="J596" s="599"/>
      <c r="K596" s="599"/>
      <c r="L596" s="599"/>
      <c r="M596" s="599"/>
      <c r="N596" s="599"/>
      <c r="O596" s="599"/>
      <c r="P596" s="599"/>
      <c r="Q596" s="599"/>
      <c r="R596" s="599"/>
      <c r="S596" s="599"/>
      <c r="T596" s="599"/>
    </row>
    <row r="597" spans="1:20" ht="11.25" customHeight="1">
      <c r="A597" s="599"/>
      <c r="B597" s="599"/>
      <c r="C597" s="599"/>
      <c r="D597" s="599"/>
      <c r="E597" s="599"/>
      <c r="F597" s="599"/>
      <c r="G597" s="600"/>
      <c r="H597" s="599"/>
      <c r="I597" s="599"/>
      <c r="J597" s="599"/>
      <c r="K597" s="599"/>
      <c r="L597" s="599"/>
      <c r="M597" s="599"/>
      <c r="N597" s="599"/>
      <c r="O597" s="599"/>
      <c r="P597" s="599"/>
      <c r="Q597" s="599"/>
      <c r="R597" s="599"/>
      <c r="S597" s="599"/>
      <c r="T597" s="599"/>
    </row>
    <row r="598" spans="1:20" ht="11.25" customHeight="1">
      <c r="A598" s="599"/>
      <c r="B598" s="599"/>
      <c r="C598" s="599"/>
      <c r="D598" s="599"/>
      <c r="E598" s="599"/>
      <c r="F598" s="599"/>
      <c r="G598" s="600"/>
      <c r="H598" s="599"/>
      <c r="I598" s="599"/>
      <c r="J598" s="599"/>
      <c r="K598" s="599"/>
      <c r="L598" s="599"/>
      <c r="M598" s="599"/>
      <c r="N598" s="599"/>
      <c r="O598" s="599"/>
      <c r="P598" s="599"/>
      <c r="Q598" s="599"/>
      <c r="R598" s="599"/>
      <c r="S598" s="599"/>
      <c r="T598" s="599"/>
    </row>
    <row r="599" spans="1:20" ht="11.25" customHeight="1">
      <c r="A599" s="599"/>
      <c r="B599" s="599"/>
      <c r="C599" s="599"/>
      <c r="D599" s="599"/>
      <c r="E599" s="599"/>
      <c r="F599" s="599"/>
      <c r="G599" s="600"/>
      <c r="H599" s="599"/>
      <c r="I599" s="599"/>
      <c r="J599" s="599"/>
      <c r="K599" s="599"/>
      <c r="L599" s="599"/>
      <c r="M599" s="599"/>
      <c r="N599" s="599"/>
      <c r="O599" s="599"/>
      <c r="P599" s="599"/>
      <c r="Q599" s="599"/>
      <c r="R599" s="599"/>
      <c r="S599" s="599"/>
      <c r="T599" s="599"/>
    </row>
    <row r="600" spans="1:20" ht="11.25" customHeight="1">
      <c r="A600" s="599"/>
      <c r="B600" s="599"/>
      <c r="C600" s="599"/>
      <c r="D600" s="599"/>
      <c r="E600" s="599"/>
      <c r="F600" s="599"/>
      <c r="G600" s="600"/>
      <c r="H600" s="599"/>
      <c r="I600" s="599"/>
      <c r="J600" s="599"/>
      <c r="K600" s="599"/>
      <c r="L600" s="599"/>
      <c r="M600" s="599"/>
      <c r="N600" s="599"/>
      <c r="O600" s="599"/>
      <c r="P600" s="599"/>
      <c r="Q600" s="599"/>
      <c r="R600" s="599"/>
      <c r="S600" s="599"/>
      <c r="T600" s="599"/>
    </row>
    <row r="601" spans="1:20" ht="11.25" customHeight="1">
      <c r="A601" s="599"/>
      <c r="B601" s="599"/>
      <c r="C601" s="599"/>
      <c r="D601" s="599"/>
      <c r="E601" s="599"/>
      <c r="F601" s="599"/>
      <c r="G601" s="600"/>
      <c r="H601" s="599"/>
      <c r="I601" s="599"/>
      <c r="J601" s="599"/>
      <c r="K601" s="599"/>
      <c r="L601" s="599"/>
      <c r="M601" s="599"/>
      <c r="N601" s="599"/>
      <c r="O601" s="599"/>
      <c r="P601" s="599"/>
      <c r="Q601" s="599"/>
      <c r="R601" s="599"/>
      <c r="S601" s="599"/>
      <c r="T601" s="599"/>
    </row>
    <row r="602" spans="1:20" ht="11.25" customHeight="1">
      <c r="A602" s="599"/>
      <c r="B602" s="599"/>
      <c r="C602" s="599"/>
      <c r="D602" s="599"/>
      <c r="E602" s="599"/>
      <c r="F602" s="599"/>
      <c r="G602" s="600"/>
      <c r="H602" s="599"/>
      <c r="I602" s="599"/>
      <c r="J602" s="599"/>
      <c r="K602" s="599"/>
      <c r="L602" s="599"/>
      <c r="M602" s="599"/>
      <c r="N602" s="599"/>
      <c r="O602" s="599"/>
      <c r="P602" s="599"/>
      <c r="Q602" s="599"/>
      <c r="R602" s="599"/>
      <c r="S602" s="599"/>
      <c r="T602" s="599"/>
    </row>
    <row r="603" spans="1:20" ht="11.25" customHeight="1">
      <c r="A603" s="599"/>
      <c r="B603" s="599"/>
      <c r="C603" s="599"/>
      <c r="D603" s="599"/>
      <c r="E603" s="599"/>
      <c r="F603" s="599"/>
      <c r="G603" s="600"/>
      <c r="H603" s="599"/>
      <c r="I603" s="599"/>
      <c r="J603" s="599"/>
      <c r="K603" s="599"/>
      <c r="L603" s="599"/>
      <c r="M603" s="599"/>
      <c r="N603" s="599"/>
      <c r="O603" s="599"/>
      <c r="P603" s="599"/>
      <c r="Q603" s="599"/>
      <c r="R603" s="599"/>
      <c r="S603" s="599"/>
      <c r="T603" s="599"/>
    </row>
    <row r="604" spans="1:20" ht="11.25" customHeight="1">
      <c r="A604" s="599"/>
      <c r="B604" s="599"/>
      <c r="C604" s="599"/>
      <c r="D604" s="599"/>
      <c r="E604" s="599"/>
      <c r="F604" s="599"/>
      <c r="G604" s="600"/>
      <c r="H604" s="599"/>
      <c r="I604" s="599"/>
      <c r="J604" s="599"/>
      <c r="K604" s="599"/>
      <c r="L604" s="599"/>
      <c r="M604" s="599"/>
      <c r="N604" s="599"/>
      <c r="O604" s="599"/>
      <c r="P604" s="599"/>
      <c r="Q604" s="599"/>
      <c r="R604" s="599"/>
      <c r="S604" s="599"/>
      <c r="T604" s="599"/>
    </row>
    <row r="605" spans="1:20" ht="11.25" customHeight="1">
      <c r="A605" s="599"/>
      <c r="B605" s="599"/>
      <c r="C605" s="599"/>
      <c r="D605" s="599"/>
      <c r="E605" s="599"/>
      <c r="F605" s="599"/>
      <c r="G605" s="600"/>
      <c r="H605" s="599"/>
      <c r="I605" s="599"/>
      <c r="J605" s="599"/>
      <c r="K605" s="599"/>
      <c r="L605" s="599"/>
      <c r="M605" s="599"/>
      <c r="N605" s="599"/>
      <c r="O605" s="599"/>
      <c r="P605" s="599"/>
      <c r="Q605" s="599"/>
      <c r="R605" s="599"/>
      <c r="S605" s="599"/>
      <c r="T605" s="599"/>
    </row>
    <row r="606" spans="1:20" ht="11.25" customHeight="1">
      <c r="A606" s="599"/>
      <c r="B606" s="599"/>
      <c r="C606" s="599"/>
      <c r="D606" s="599"/>
      <c r="E606" s="599"/>
      <c r="F606" s="599"/>
      <c r="G606" s="600"/>
      <c r="H606" s="599"/>
      <c r="I606" s="599"/>
      <c r="J606" s="599"/>
      <c r="K606" s="599"/>
      <c r="L606" s="599"/>
      <c r="M606" s="599"/>
      <c r="N606" s="599"/>
      <c r="O606" s="599"/>
      <c r="P606" s="599"/>
      <c r="Q606" s="599"/>
      <c r="R606" s="599"/>
      <c r="S606" s="599"/>
      <c r="T606" s="599"/>
    </row>
    <row r="607" spans="1:20" ht="11.25" customHeight="1">
      <c r="A607" s="599"/>
      <c r="B607" s="599"/>
      <c r="C607" s="599"/>
      <c r="D607" s="599"/>
      <c r="E607" s="599"/>
      <c r="F607" s="599"/>
      <c r="G607" s="600"/>
      <c r="H607" s="599"/>
      <c r="I607" s="599"/>
      <c r="J607" s="599"/>
      <c r="K607" s="599"/>
      <c r="L607" s="599"/>
      <c r="M607" s="599"/>
      <c r="N607" s="599"/>
      <c r="O607" s="599"/>
      <c r="P607" s="599"/>
      <c r="Q607" s="599"/>
      <c r="R607" s="599"/>
      <c r="S607" s="599"/>
      <c r="T607" s="599"/>
    </row>
    <row r="608" spans="1:20" ht="11.25" customHeight="1">
      <c r="A608" s="599"/>
      <c r="B608" s="599"/>
      <c r="C608" s="599"/>
      <c r="D608" s="599"/>
      <c r="E608" s="599"/>
      <c r="F608" s="599"/>
      <c r="G608" s="600"/>
      <c r="H608" s="599"/>
      <c r="I608" s="599"/>
      <c r="J608" s="599"/>
      <c r="K608" s="599"/>
      <c r="L608" s="599"/>
      <c r="M608" s="599"/>
      <c r="N608" s="599"/>
      <c r="O608" s="599"/>
      <c r="P608" s="599"/>
      <c r="Q608" s="599"/>
      <c r="R608" s="599"/>
      <c r="S608" s="599"/>
      <c r="T608" s="599"/>
    </row>
    <row r="609" spans="1:20" ht="11.25" customHeight="1">
      <c r="A609" s="599"/>
      <c r="B609" s="599"/>
      <c r="C609" s="599"/>
      <c r="D609" s="599"/>
      <c r="E609" s="599"/>
      <c r="F609" s="599"/>
      <c r="G609" s="600"/>
      <c r="H609" s="599"/>
      <c r="I609" s="599"/>
      <c r="J609" s="599"/>
      <c r="K609" s="599"/>
      <c r="L609" s="599"/>
      <c r="M609" s="599"/>
      <c r="N609" s="599"/>
      <c r="O609" s="599"/>
      <c r="P609" s="599"/>
      <c r="Q609" s="599"/>
      <c r="R609" s="599"/>
      <c r="S609" s="599"/>
      <c r="T609" s="599"/>
    </row>
    <row r="610" spans="1:20" ht="11.25" customHeight="1">
      <c r="A610" s="599"/>
      <c r="B610" s="599"/>
      <c r="C610" s="599"/>
      <c r="D610" s="599"/>
      <c r="E610" s="599"/>
      <c r="F610" s="599"/>
      <c r="G610" s="600"/>
      <c r="H610" s="599"/>
      <c r="I610" s="599"/>
      <c r="J610" s="599"/>
      <c r="K610" s="599"/>
      <c r="L610" s="599"/>
      <c r="M610" s="599"/>
      <c r="N610" s="599"/>
      <c r="O610" s="599"/>
      <c r="P610" s="599"/>
      <c r="Q610" s="599"/>
      <c r="R610" s="599"/>
      <c r="S610" s="599"/>
      <c r="T610" s="599"/>
    </row>
    <row r="611" spans="1:20" ht="11.25" customHeight="1">
      <c r="A611" s="599"/>
      <c r="B611" s="599"/>
      <c r="C611" s="599"/>
      <c r="D611" s="599"/>
      <c r="E611" s="599"/>
      <c r="F611" s="599"/>
      <c r="G611" s="600"/>
      <c r="H611" s="599"/>
      <c r="I611" s="599"/>
      <c r="J611" s="599"/>
      <c r="K611" s="599"/>
      <c r="L611" s="599"/>
      <c r="M611" s="599"/>
      <c r="N611" s="599"/>
      <c r="O611" s="599"/>
      <c r="P611" s="599"/>
      <c r="Q611" s="599"/>
      <c r="R611" s="599"/>
      <c r="S611" s="599"/>
      <c r="T611" s="599"/>
    </row>
    <row r="612" spans="1:20" ht="11.25" customHeight="1">
      <c r="A612" s="599"/>
      <c r="B612" s="599"/>
      <c r="C612" s="599"/>
      <c r="D612" s="599"/>
      <c r="E612" s="599"/>
      <c r="F612" s="599"/>
      <c r="G612" s="600"/>
      <c r="H612" s="599"/>
      <c r="I612" s="599"/>
      <c r="J612" s="599"/>
      <c r="K612" s="599"/>
      <c r="L612" s="599"/>
      <c r="M612" s="599"/>
      <c r="N612" s="599"/>
      <c r="O612" s="599"/>
      <c r="P612" s="599"/>
      <c r="Q612" s="599"/>
      <c r="R612" s="599"/>
      <c r="S612" s="599"/>
      <c r="T612" s="599"/>
    </row>
    <row r="613" spans="1:20" ht="11.25" customHeight="1">
      <c r="A613" s="599"/>
      <c r="B613" s="599"/>
      <c r="C613" s="599"/>
      <c r="D613" s="599"/>
      <c r="E613" s="599"/>
      <c r="F613" s="599"/>
      <c r="G613" s="600"/>
      <c r="H613" s="599"/>
      <c r="I613" s="599"/>
      <c r="J613" s="599"/>
      <c r="K613" s="599"/>
      <c r="L613" s="599"/>
      <c r="M613" s="599"/>
      <c r="N613" s="599"/>
      <c r="O613" s="599"/>
      <c r="P613" s="599"/>
      <c r="Q613" s="599"/>
      <c r="R613" s="599"/>
      <c r="S613" s="599"/>
      <c r="T613" s="599"/>
    </row>
    <row r="614" spans="1:20" ht="11.25" customHeight="1">
      <c r="A614" s="599"/>
      <c r="B614" s="599"/>
      <c r="C614" s="599"/>
      <c r="D614" s="599"/>
      <c r="E614" s="599"/>
      <c r="F614" s="599"/>
      <c r="G614" s="600"/>
      <c r="H614" s="599"/>
      <c r="I614" s="599"/>
      <c r="J614" s="599"/>
      <c r="K614" s="599"/>
      <c r="L614" s="599"/>
      <c r="M614" s="599"/>
      <c r="N614" s="599"/>
      <c r="O614" s="599"/>
      <c r="P614" s="599"/>
      <c r="Q614" s="599"/>
      <c r="R614" s="599"/>
      <c r="S614" s="599"/>
      <c r="T614" s="599"/>
    </row>
    <row r="615" spans="1:20" ht="11.25" customHeight="1">
      <c r="A615" s="599"/>
      <c r="B615" s="599"/>
      <c r="C615" s="599"/>
      <c r="D615" s="599"/>
      <c r="E615" s="599"/>
      <c r="F615" s="599"/>
      <c r="G615" s="600"/>
      <c r="H615" s="599"/>
      <c r="I615" s="599"/>
      <c r="J615" s="599"/>
      <c r="K615" s="599"/>
      <c r="L615" s="599"/>
      <c r="M615" s="599"/>
      <c r="N615" s="599"/>
      <c r="O615" s="599"/>
      <c r="P615" s="599"/>
      <c r="Q615" s="599"/>
      <c r="R615" s="599"/>
      <c r="S615" s="599"/>
      <c r="T615" s="599"/>
    </row>
    <row r="616" spans="1:20" ht="11.25" customHeight="1">
      <c r="A616" s="599"/>
      <c r="B616" s="599"/>
      <c r="C616" s="599"/>
      <c r="D616" s="599"/>
      <c r="E616" s="599"/>
      <c r="F616" s="599"/>
      <c r="G616" s="600"/>
      <c r="H616" s="599"/>
      <c r="I616" s="599"/>
      <c r="J616" s="599"/>
      <c r="K616" s="599"/>
      <c r="L616" s="599"/>
      <c r="M616" s="599"/>
      <c r="N616" s="599"/>
      <c r="O616" s="599"/>
      <c r="P616" s="599"/>
      <c r="Q616" s="599"/>
      <c r="R616" s="599"/>
      <c r="S616" s="599"/>
      <c r="T616" s="599"/>
    </row>
    <row r="617" spans="1:20" ht="11.25" customHeight="1">
      <c r="A617" s="599"/>
      <c r="B617" s="599"/>
      <c r="C617" s="599"/>
      <c r="D617" s="599"/>
      <c r="E617" s="599"/>
      <c r="F617" s="599"/>
      <c r="G617" s="600"/>
      <c r="H617" s="599"/>
      <c r="I617" s="599"/>
      <c r="J617" s="599"/>
      <c r="K617" s="599"/>
      <c r="L617" s="599"/>
      <c r="M617" s="599"/>
      <c r="N617" s="599"/>
      <c r="O617" s="599"/>
      <c r="P617" s="599"/>
      <c r="Q617" s="599"/>
      <c r="R617" s="599"/>
      <c r="S617" s="599"/>
      <c r="T617" s="599"/>
    </row>
    <row r="618" spans="1:20" ht="11.25" customHeight="1">
      <c r="A618" s="599"/>
      <c r="B618" s="599"/>
      <c r="C618" s="599"/>
      <c r="D618" s="599"/>
      <c r="E618" s="599"/>
      <c r="F618" s="599"/>
      <c r="G618" s="600"/>
      <c r="H618" s="599"/>
      <c r="I618" s="599"/>
      <c r="J618" s="599"/>
      <c r="K618" s="599"/>
      <c r="L618" s="599"/>
      <c r="M618" s="599"/>
      <c r="N618" s="599"/>
      <c r="O618" s="599"/>
      <c r="P618" s="599"/>
      <c r="Q618" s="599"/>
      <c r="R618" s="599"/>
      <c r="S618" s="599"/>
      <c r="T618" s="599"/>
    </row>
    <row r="619" spans="1:20" ht="11.25" customHeight="1">
      <c r="A619" s="599"/>
      <c r="B619" s="599"/>
      <c r="C619" s="599"/>
      <c r="D619" s="599"/>
      <c r="E619" s="599"/>
      <c r="F619" s="599"/>
      <c r="G619" s="600"/>
      <c r="H619" s="599"/>
      <c r="I619" s="599"/>
      <c r="J619" s="599"/>
      <c r="K619" s="599"/>
      <c r="L619" s="599"/>
      <c r="M619" s="599"/>
      <c r="N619" s="599"/>
      <c r="O619" s="599"/>
      <c r="P619" s="599"/>
      <c r="Q619" s="599"/>
      <c r="R619" s="599"/>
      <c r="S619" s="599"/>
      <c r="T619" s="599"/>
    </row>
    <row r="620" spans="1:20" ht="11.25" customHeight="1">
      <c r="A620" s="599"/>
      <c r="B620" s="599"/>
      <c r="C620" s="599"/>
      <c r="D620" s="599"/>
      <c r="E620" s="599"/>
      <c r="F620" s="599"/>
      <c r="G620" s="600"/>
      <c r="H620" s="599"/>
      <c r="I620" s="599"/>
      <c r="J620" s="599"/>
      <c r="K620" s="599"/>
      <c r="L620" s="599"/>
      <c r="M620" s="599"/>
      <c r="N620" s="599"/>
      <c r="O620" s="599"/>
      <c r="P620" s="599"/>
      <c r="Q620" s="599"/>
      <c r="R620" s="599"/>
      <c r="S620" s="599"/>
      <c r="T620" s="599"/>
    </row>
    <row r="621" spans="1:20" ht="11.25" customHeight="1">
      <c r="A621" s="599"/>
      <c r="B621" s="599"/>
      <c r="C621" s="599"/>
      <c r="D621" s="599"/>
      <c r="E621" s="599"/>
      <c r="F621" s="599"/>
      <c r="G621" s="600"/>
      <c r="H621" s="599"/>
      <c r="I621" s="599"/>
      <c r="J621" s="599"/>
      <c r="K621" s="599"/>
      <c r="L621" s="599"/>
      <c r="M621" s="599"/>
      <c r="N621" s="599"/>
      <c r="O621" s="599"/>
      <c r="P621" s="599"/>
      <c r="Q621" s="599"/>
      <c r="R621" s="599"/>
      <c r="S621" s="599"/>
      <c r="T621" s="599"/>
    </row>
    <row r="622" spans="1:20" ht="11.25" customHeight="1">
      <c r="A622" s="599"/>
      <c r="B622" s="599"/>
      <c r="C622" s="599"/>
      <c r="D622" s="599"/>
      <c r="E622" s="599"/>
      <c r="F622" s="599"/>
      <c r="G622" s="600"/>
      <c r="H622" s="599"/>
      <c r="I622" s="599"/>
      <c r="J622" s="599"/>
      <c r="K622" s="599"/>
      <c r="L622" s="599"/>
      <c r="M622" s="599"/>
      <c r="N622" s="599"/>
      <c r="O622" s="599"/>
      <c r="P622" s="599"/>
      <c r="Q622" s="599"/>
      <c r="R622" s="599"/>
      <c r="S622" s="599"/>
      <c r="T622" s="599"/>
    </row>
    <row r="623" spans="1:20" ht="11.25" customHeight="1">
      <c r="A623" s="599"/>
      <c r="B623" s="599"/>
      <c r="C623" s="599"/>
      <c r="D623" s="599"/>
      <c r="E623" s="599"/>
      <c r="F623" s="599"/>
      <c r="G623" s="600"/>
      <c r="H623" s="599"/>
      <c r="I623" s="599"/>
      <c r="J623" s="599"/>
      <c r="K623" s="599"/>
      <c r="L623" s="599"/>
      <c r="M623" s="599"/>
      <c r="N623" s="599"/>
      <c r="O623" s="599"/>
      <c r="P623" s="599"/>
      <c r="Q623" s="599"/>
      <c r="R623" s="599"/>
      <c r="S623" s="599"/>
      <c r="T623" s="599"/>
    </row>
    <row r="624" spans="1:20" ht="11.25" customHeight="1">
      <c r="A624" s="599"/>
      <c r="B624" s="599"/>
      <c r="C624" s="599"/>
      <c r="D624" s="599"/>
      <c r="E624" s="599"/>
      <c r="F624" s="599"/>
      <c r="G624" s="600"/>
      <c r="H624" s="599"/>
      <c r="I624" s="599"/>
      <c r="J624" s="599"/>
      <c r="K624" s="599"/>
      <c r="L624" s="599"/>
      <c r="M624" s="599"/>
      <c r="N624" s="599"/>
      <c r="O624" s="599"/>
      <c r="P624" s="599"/>
      <c r="Q624" s="599"/>
      <c r="R624" s="599"/>
      <c r="S624" s="599"/>
      <c r="T624" s="599"/>
    </row>
    <row r="625" spans="1:20" ht="11.25" customHeight="1">
      <c r="A625" s="599"/>
      <c r="B625" s="599"/>
      <c r="C625" s="599"/>
      <c r="D625" s="599"/>
      <c r="E625" s="599"/>
      <c r="F625" s="599"/>
      <c r="G625" s="600"/>
      <c r="H625" s="599"/>
      <c r="I625" s="599"/>
      <c r="J625" s="599"/>
      <c r="K625" s="599"/>
      <c r="L625" s="599"/>
      <c r="M625" s="599"/>
      <c r="N625" s="599"/>
      <c r="O625" s="599"/>
      <c r="P625" s="599"/>
      <c r="Q625" s="599"/>
      <c r="R625" s="599"/>
      <c r="S625" s="599"/>
      <c r="T625" s="599"/>
    </row>
    <row r="626" spans="1:20" ht="11.25" customHeight="1">
      <c r="A626" s="599"/>
      <c r="B626" s="599"/>
      <c r="C626" s="599"/>
      <c r="D626" s="599"/>
      <c r="E626" s="599"/>
      <c r="F626" s="599"/>
      <c r="G626" s="600"/>
      <c r="H626" s="599"/>
      <c r="I626" s="599"/>
      <c r="J626" s="599"/>
      <c r="K626" s="599"/>
      <c r="L626" s="599"/>
      <c r="M626" s="599"/>
      <c r="N626" s="599"/>
      <c r="O626" s="599"/>
      <c r="P626" s="599"/>
      <c r="Q626" s="599"/>
      <c r="R626" s="599"/>
      <c r="S626" s="599"/>
      <c r="T626" s="599"/>
    </row>
    <row r="627" spans="1:20" ht="11.25" customHeight="1">
      <c r="A627" s="599"/>
      <c r="B627" s="599"/>
      <c r="C627" s="599"/>
      <c r="D627" s="599"/>
      <c r="E627" s="599"/>
      <c r="F627" s="599"/>
      <c r="G627" s="600"/>
      <c r="H627" s="599"/>
      <c r="I627" s="599"/>
      <c r="J627" s="599"/>
      <c r="K627" s="599"/>
      <c r="L627" s="599"/>
      <c r="M627" s="599"/>
      <c r="N627" s="599"/>
      <c r="O627" s="599"/>
      <c r="P627" s="599"/>
      <c r="Q627" s="599"/>
      <c r="R627" s="599"/>
      <c r="S627" s="599"/>
      <c r="T627" s="599"/>
    </row>
    <row r="628" spans="1:20" ht="11.25" customHeight="1">
      <c r="A628" s="599"/>
      <c r="B628" s="599"/>
      <c r="C628" s="599"/>
      <c r="D628" s="599"/>
      <c r="E628" s="599"/>
      <c r="F628" s="599"/>
      <c r="G628" s="600"/>
      <c r="H628" s="599"/>
      <c r="I628" s="599"/>
      <c r="J628" s="599"/>
      <c r="K628" s="599"/>
      <c r="L628" s="599"/>
      <c r="M628" s="599"/>
      <c r="N628" s="599"/>
      <c r="O628" s="599"/>
      <c r="P628" s="599"/>
      <c r="Q628" s="599"/>
      <c r="R628" s="599"/>
      <c r="S628" s="599"/>
      <c r="T628" s="599"/>
    </row>
    <row r="629" spans="1:20" ht="11.25" customHeight="1">
      <c r="A629" s="599"/>
      <c r="B629" s="599"/>
      <c r="C629" s="599"/>
      <c r="D629" s="599"/>
      <c r="E629" s="599"/>
      <c r="F629" s="599"/>
      <c r="G629" s="600"/>
      <c r="H629" s="599"/>
      <c r="I629" s="599"/>
      <c r="J629" s="599"/>
      <c r="K629" s="599"/>
      <c r="L629" s="599"/>
      <c r="M629" s="599"/>
      <c r="N629" s="599"/>
      <c r="O629" s="599"/>
      <c r="P629" s="599"/>
      <c r="Q629" s="599"/>
      <c r="R629" s="599"/>
      <c r="S629" s="599"/>
      <c r="T629" s="599"/>
    </row>
    <row r="630" spans="1:20" ht="11.25" customHeight="1">
      <c r="A630" s="599"/>
      <c r="B630" s="599"/>
      <c r="C630" s="599"/>
      <c r="D630" s="599"/>
      <c r="E630" s="599"/>
      <c r="F630" s="599"/>
      <c r="G630" s="600"/>
      <c r="H630" s="599"/>
      <c r="I630" s="599"/>
      <c r="J630" s="599"/>
      <c r="K630" s="599"/>
      <c r="L630" s="599"/>
      <c r="M630" s="599"/>
      <c r="N630" s="599"/>
      <c r="O630" s="599"/>
      <c r="P630" s="599"/>
      <c r="Q630" s="599"/>
      <c r="R630" s="599"/>
      <c r="S630" s="599"/>
      <c r="T630" s="599"/>
    </row>
    <row r="631" spans="1:20" ht="11.25" customHeight="1">
      <c r="A631" s="599"/>
      <c r="B631" s="599"/>
      <c r="C631" s="599"/>
      <c r="D631" s="599"/>
      <c r="E631" s="599"/>
      <c r="F631" s="599"/>
      <c r="G631" s="600"/>
      <c r="H631" s="599"/>
      <c r="I631" s="599"/>
      <c r="J631" s="599"/>
      <c r="K631" s="599"/>
      <c r="L631" s="599"/>
      <c r="M631" s="599"/>
      <c r="N631" s="599"/>
      <c r="O631" s="599"/>
      <c r="P631" s="599"/>
      <c r="Q631" s="599"/>
      <c r="R631" s="599"/>
      <c r="S631" s="599"/>
      <c r="T631" s="599"/>
    </row>
    <row r="632" spans="1:20" ht="11.25" customHeight="1">
      <c r="A632" s="599"/>
      <c r="B632" s="599"/>
      <c r="C632" s="599"/>
      <c r="D632" s="599"/>
      <c r="E632" s="599"/>
      <c r="F632" s="599"/>
      <c r="G632" s="600"/>
      <c r="H632" s="599"/>
      <c r="I632" s="599"/>
      <c r="J632" s="599"/>
      <c r="K632" s="599"/>
      <c r="L632" s="599"/>
      <c r="M632" s="599"/>
      <c r="N632" s="599"/>
      <c r="O632" s="599"/>
      <c r="P632" s="599"/>
      <c r="Q632" s="599"/>
      <c r="R632" s="599"/>
      <c r="S632" s="599"/>
      <c r="T632" s="599"/>
    </row>
    <row r="633" spans="1:20" ht="11.25" customHeight="1">
      <c r="A633" s="599"/>
      <c r="B633" s="599"/>
      <c r="C633" s="599"/>
      <c r="D633" s="599"/>
      <c r="E633" s="599"/>
      <c r="F633" s="599"/>
      <c r="G633" s="600"/>
      <c r="H633" s="599"/>
      <c r="I633" s="599"/>
      <c r="J633" s="599"/>
      <c r="K633" s="599"/>
      <c r="L633" s="599"/>
      <c r="M633" s="599"/>
      <c r="N633" s="599"/>
      <c r="O633" s="599"/>
      <c r="P633" s="599"/>
      <c r="Q633" s="599"/>
      <c r="R633" s="599"/>
      <c r="S633" s="599"/>
      <c r="T633" s="599"/>
    </row>
    <row r="634" spans="1:20" ht="11.25" customHeight="1">
      <c r="A634" s="599"/>
      <c r="B634" s="599"/>
      <c r="C634" s="599"/>
      <c r="D634" s="599"/>
      <c r="E634" s="599"/>
      <c r="F634" s="599"/>
      <c r="G634" s="600"/>
      <c r="H634" s="599"/>
      <c r="I634" s="599"/>
      <c r="J634" s="599"/>
      <c r="K634" s="599"/>
      <c r="L634" s="599"/>
      <c r="M634" s="599"/>
      <c r="N634" s="599"/>
      <c r="O634" s="599"/>
      <c r="P634" s="599"/>
      <c r="Q634" s="599"/>
      <c r="R634" s="599"/>
      <c r="S634" s="599"/>
      <c r="T634" s="599"/>
    </row>
    <row r="635" spans="1:20" ht="11.25" customHeight="1">
      <c r="A635" s="599"/>
      <c r="B635" s="599"/>
      <c r="C635" s="599"/>
      <c r="D635" s="599"/>
      <c r="E635" s="599"/>
      <c r="F635" s="599"/>
      <c r="G635" s="600"/>
      <c r="H635" s="599"/>
      <c r="I635" s="599"/>
      <c r="J635" s="599"/>
      <c r="K635" s="599"/>
      <c r="L635" s="599"/>
      <c r="M635" s="599"/>
      <c r="N635" s="599"/>
      <c r="O635" s="599"/>
      <c r="P635" s="599"/>
      <c r="Q635" s="599"/>
      <c r="R635" s="599"/>
      <c r="S635" s="599"/>
      <c r="T635" s="599"/>
    </row>
    <row r="636" spans="1:20" ht="11.25" customHeight="1">
      <c r="A636" s="599"/>
      <c r="B636" s="599"/>
      <c r="C636" s="599"/>
      <c r="D636" s="599"/>
      <c r="E636" s="599"/>
      <c r="F636" s="599"/>
      <c r="G636" s="600"/>
      <c r="H636" s="599"/>
      <c r="I636" s="599"/>
      <c r="J636" s="599"/>
      <c r="K636" s="599"/>
      <c r="L636" s="599"/>
      <c r="M636" s="599"/>
      <c r="N636" s="599"/>
      <c r="O636" s="599"/>
      <c r="P636" s="599"/>
      <c r="Q636" s="599"/>
      <c r="R636" s="599"/>
      <c r="S636" s="599"/>
      <c r="T636" s="599"/>
    </row>
    <row r="637" spans="1:20" ht="11.25" customHeight="1">
      <c r="A637" s="599"/>
      <c r="B637" s="599"/>
      <c r="C637" s="599"/>
      <c r="D637" s="599"/>
      <c r="E637" s="599"/>
      <c r="F637" s="599"/>
      <c r="G637" s="600"/>
      <c r="H637" s="599"/>
      <c r="I637" s="599"/>
      <c r="J637" s="599"/>
      <c r="K637" s="599"/>
      <c r="L637" s="599"/>
      <c r="M637" s="599"/>
      <c r="N637" s="599"/>
      <c r="O637" s="599"/>
      <c r="P637" s="599"/>
      <c r="Q637" s="599"/>
      <c r="R637" s="599"/>
      <c r="S637" s="599"/>
      <c r="T637" s="599"/>
    </row>
    <row r="638" spans="1:20" ht="11.25" customHeight="1">
      <c r="A638" s="599"/>
      <c r="B638" s="599"/>
      <c r="C638" s="599"/>
      <c r="D638" s="599"/>
      <c r="E638" s="599"/>
      <c r="F638" s="599"/>
      <c r="G638" s="600"/>
      <c r="H638" s="599"/>
      <c r="I638" s="599"/>
      <c r="J638" s="599"/>
      <c r="K638" s="599"/>
      <c r="L638" s="599"/>
      <c r="M638" s="599"/>
      <c r="N638" s="599"/>
      <c r="O638" s="599"/>
      <c r="P638" s="599"/>
      <c r="Q638" s="599"/>
      <c r="R638" s="599"/>
      <c r="S638" s="599"/>
      <c r="T638" s="599"/>
    </row>
    <row r="639" spans="1:20" ht="11.25" customHeight="1">
      <c r="A639" s="599"/>
      <c r="B639" s="599"/>
      <c r="C639" s="599"/>
      <c r="D639" s="599"/>
      <c r="E639" s="599"/>
      <c r="F639" s="599"/>
      <c r="G639" s="600"/>
      <c r="H639" s="599"/>
      <c r="I639" s="599"/>
      <c r="J639" s="599"/>
      <c r="K639" s="599"/>
      <c r="L639" s="599"/>
      <c r="M639" s="599"/>
      <c r="N639" s="599"/>
      <c r="O639" s="599"/>
      <c r="P639" s="599"/>
      <c r="Q639" s="599"/>
      <c r="R639" s="599"/>
      <c r="S639" s="599"/>
      <c r="T639" s="599"/>
    </row>
    <row r="640" spans="1:20" ht="11.25" customHeight="1">
      <c r="A640" s="599"/>
      <c r="B640" s="599"/>
      <c r="C640" s="599"/>
      <c r="D640" s="599"/>
      <c r="E640" s="599"/>
      <c r="F640" s="599"/>
      <c r="G640" s="600"/>
      <c r="H640" s="599"/>
      <c r="I640" s="599"/>
      <c r="J640" s="599"/>
      <c r="K640" s="599"/>
      <c r="L640" s="599"/>
      <c r="M640" s="599"/>
      <c r="N640" s="599"/>
      <c r="O640" s="599"/>
      <c r="P640" s="599"/>
      <c r="Q640" s="599"/>
      <c r="R640" s="599"/>
      <c r="S640" s="599"/>
      <c r="T640" s="599"/>
    </row>
    <row r="641" spans="1:20" ht="11.25" customHeight="1">
      <c r="A641" s="599"/>
      <c r="B641" s="599"/>
      <c r="C641" s="599"/>
      <c r="D641" s="599"/>
      <c r="E641" s="599"/>
      <c r="F641" s="599"/>
      <c r="G641" s="600"/>
      <c r="H641" s="599"/>
      <c r="I641" s="599"/>
      <c r="J641" s="599"/>
      <c r="K641" s="599"/>
      <c r="L641" s="599"/>
      <c r="M641" s="599"/>
      <c r="N641" s="599"/>
      <c r="O641" s="599"/>
      <c r="P641" s="599"/>
      <c r="Q641" s="599"/>
      <c r="R641" s="599"/>
      <c r="S641" s="599"/>
      <c r="T641" s="599"/>
    </row>
    <row r="642" spans="1:20" ht="11.25" customHeight="1">
      <c r="A642" s="599"/>
      <c r="B642" s="599"/>
      <c r="C642" s="599"/>
      <c r="D642" s="599"/>
      <c r="E642" s="599"/>
      <c r="F642" s="599"/>
      <c r="G642" s="600"/>
      <c r="H642" s="599"/>
      <c r="I642" s="599"/>
      <c r="J642" s="599"/>
      <c r="K642" s="599"/>
      <c r="L642" s="599"/>
      <c r="M642" s="599"/>
      <c r="N642" s="599"/>
      <c r="O642" s="599"/>
      <c r="P642" s="599"/>
      <c r="Q642" s="599"/>
      <c r="R642" s="599"/>
      <c r="S642" s="599"/>
      <c r="T642" s="599"/>
    </row>
    <row r="643" spans="1:20" ht="11.25" customHeight="1">
      <c r="A643" s="599"/>
      <c r="B643" s="599"/>
      <c r="C643" s="599"/>
      <c r="D643" s="599"/>
      <c r="E643" s="599"/>
      <c r="F643" s="599"/>
      <c r="G643" s="600"/>
      <c r="H643" s="599"/>
      <c r="I643" s="599"/>
      <c r="J643" s="599"/>
      <c r="K643" s="599"/>
      <c r="L643" s="599"/>
      <c r="M643" s="599"/>
      <c r="N643" s="599"/>
      <c r="O643" s="599"/>
      <c r="P643" s="599"/>
      <c r="Q643" s="599"/>
      <c r="R643" s="599"/>
      <c r="S643" s="599"/>
      <c r="T643" s="599"/>
    </row>
    <row r="644" spans="1:20" ht="11.25" customHeight="1">
      <c r="A644" s="599"/>
      <c r="B644" s="599"/>
      <c r="C644" s="599"/>
      <c r="D644" s="599"/>
      <c r="E644" s="599"/>
      <c r="F644" s="599"/>
      <c r="G644" s="600"/>
      <c r="H644" s="599"/>
      <c r="I644" s="599"/>
      <c r="J644" s="599"/>
      <c r="K644" s="599"/>
      <c r="L644" s="599"/>
      <c r="M644" s="599"/>
      <c r="N644" s="599"/>
      <c r="O644" s="599"/>
      <c r="P644" s="599"/>
      <c r="Q644" s="599"/>
      <c r="R644" s="599"/>
      <c r="S644" s="599"/>
      <c r="T644" s="599"/>
    </row>
    <row r="645" spans="1:20" ht="11.25" customHeight="1">
      <c r="A645" s="599"/>
      <c r="B645" s="599"/>
      <c r="C645" s="599"/>
      <c r="D645" s="599"/>
      <c r="E645" s="599"/>
      <c r="F645" s="599"/>
      <c r="G645" s="600"/>
      <c r="H645" s="599"/>
      <c r="I645" s="599"/>
      <c r="J645" s="599"/>
      <c r="K645" s="599"/>
      <c r="L645" s="599"/>
      <c r="M645" s="599"/>
      <c r="N645" s="599"/>
      <c r="O645" s="599"/>
      <c r="P645" s="599"/>
      <c r="Q645" s="599"/>
      <c r="R645" s="599"/>
      <c r="S645" s="599"/>
      <c r="T645" s="599"/>
    </row>
    <row r="646" spans="1:20" ht="11.25" customHeight="1">
      <c r="A646" s="599"/>
      <c r="B646" s="599"/>
      <c r="C646" s="599"/>
      <c r="D646" s="599"/>
      <c r="E646" s="599"/>
      <c r="F646" s="599"/>
      <c r="G646" s="600"/>
      <c r="H646" s="599"/>
      <c r="I646" s="599"/>
      <c r="J646" s="599"/>
      <c r="K646" s="599"/>
      <c r="L646" s="599"/>
      <c r="M646" s="599"/>
      <c r="N646" s="599"/>
      <c r="O646" s="599"/>
      <c r="P646" s="599"/>
      <c r="Q646" s="599"/>
      <c r="R646" s="599"/>
      <c r="S646" s="599"/>
      <c r="T646" s="599"/>
    </row>
    <row r="647" spans="1:20" ht="11.25" customHeight="1">
      <c r="A647" s="599"/>
      <c r="B647" s="599"/>
      <c r="C647" s="599"/>
      <c r="D647" s="599"/>
      <c r="E647" s="599"/>
      <c r="F647" s="599"/>
      <c r="G647" s="600"/>
      <c r="H647" s="599"/>
      <c r="I647" s="599"/>
      <c r="J647" s="599"/>
      <c r="K647" s="599"/>
      <c r="L647" s="599"/>
      <c r="M647" s="599"/>
      <c r="N647" s="599"/>
      <c r="O647" s="599"/>
      <c r="P647" s="599"/>
      <c r="Q647" s="599"/>
      <c r="R647" s="599"/>
      <c r="S647" s="599"/>
      <c r="T647" s="599"/>
    </row>
    <row r="648" spans="1:20" ht="11.25" customHeight="1">
      <c r="A648" s="599"/>
      <c r="B648" s="599"/>
      <c r="C648" s="599"/>
      <c r="D648" s="599"/>
      <c r="E648" s="599"/>
      <c r="F648" s="599"/>
      <c r="G648" s="600"/>
      <c r="H648" s="599"/>
      <c r="I648" s="599"/>
      <c r="J648" s="599"/>
      <c r="K648" s="599"/>
      <c r="L648" s="599"/>
      <c r="M648" s="599"/>
      <c r="N648" s="599"/>
      <c r="O648" s="599"/>
      <c r="P648" s="599"/>
      <c r="Q648" s="599"/>
      <c r="R648" s="599"/>
      <c r="S648" s="599"/>
      <c r="T648" s="599"/>
    </row>
    <row r="649" spans="1:20" ht="11.25" customHeight="1">
      <c r="A649" s="599"/>
      <c r="B649" s="599"/>
      <c r="C649" s="599"/>
      <c r="D649" s="599"/>
      <c r="E649" s="599"/>
      <c r="F649" s="599"/>
      <c r="G649" s="600"/>
      <c r="H649" s="599"/>
      <c r="I649" s="599"/>
      <c r="J649" s="599"/>
      <c r="K649" s="599"/>
      <c r="L649" s="599"/>
      <c r="M649" s="599"/>
      <c r="N649" s="599"/>
      <c r="O649" s="599"/>
      <c r="P649" s="599"/>
      <c r="Q649" s="599"/>
      <c r="R649" s="599"/>
      <c r="S649" s="599"/>
      <c r="T649" s="599"/>
    </row>
    <row r="650" spans="1:20" ht="11.25" customHeight="1">
      <c r="A650" s="599"/>
      <c r="B650" s="599"/>
      <c r="C650" s="599"/>
      <c r="D650" s="599"/>
      <c r="E650" s="599"/>
      <c r="F650" s="599"/>
      <c r="G650" s="600"/>
      <c r="H650" s="599"/>
      <c r="I650" s="599"/>
      <c r="J650" s="599"/>
      <c r="K650" s="599"/>
      <c r="L650" s="599"/>
      <c r="M650" s="599"/>
      <c r="N650" s="599"/>
      <c r="O650" s="599"/>
      <c r="P650" s="599"/>
      <c r="Q650" s="599"/>
      <c r="R650" s="599"/>
      <c r="S650" s="599"/>
      <c r="T650" s="599"/>
    </row>
    <row r="651" spans="1:20" ht="11.25" customHeight="1">
      <c r="A651" s="599"/>
      <c r="B651" s="599"/>
      <c r="C651" s="599"/>
      <c r="D651" s="599"/>
      <c r="E651" s="599"/>
      <c r="F651" s="599"/>
      <c r="G651" s="600"/>
      <c r="H651" s="599"/>
      <c r="I651" s="599"/>
      <c r="J651" s="599"/>
      <c r="K651" s="599"/>
      <c r="L651" s="599"/>
      <c r="M651" s="599"/>
      <c r="N651" s="599"/>
      <c r="O651" s="599"/>
      <c r="P651" s="599"/>
      <c r="Q651" s="599"/>
      <c r="R651" s="599"/>
      <c r="S651" s="599"/>
      <c r="T651" s="599"/>
    </row>
    <row r="652" spans="1:20" ht="11.25" customHeight="1">
      <c r="A652" s="599"/>
      <c r="B652" s="599"/>
      <c r="C652" s="599"/>
      <c r="D652" s="599"/>
      <c r="E652" s="599"/>
      <c r="F652" s="599"/>
      <c r="G652" s="600"/>
      <c r="H652" s="599"/>
      <c r="I652" s="599"/>
      <c r="J652" s="599"/>
      <c r="K652" s="599"/>
      <c r="L652" s="599"/>
      <c r="M652" s="599"/>
      <c r="N652" s="599"/>
      <c r="O652" s="599"/>
      <c r="P652" s="599"/>
      <c r="Q652" s="599"/>
      <c r="R652" s="599"/>
      <c r="S652" s="599"/>
      <c r="T652" s="599"/>
    </row>
    <row r="653" spans="1:20" ht="11.25" customHeight="1">
      <c r="A653" s="599"/>
      <c r="B653" s="599"/>
      <c r="C653" s="599"/>
      <c r="D653" s="599"/>
      <c r="E653" s="599"/>
      <c r="F653" s="599"/>
      <c r="G653" s="600"/>
      <c r="H653" s="599"/>
      <c r="I653" s="599"/>
      <c r="J653" s="599"/>
      <c r="K653" s="599"/>
      <c r="L653" s="599"/>
      <c r="M653" s="599"/>
      <c r="N653" s="599"/>
      <c r="O653" s="599"/>
      <c r="P653" s="599"/>
      <c r="Q653" s="599"/>
      <c r="R653" s="599"/>
      <c r="S653" s="599"/>
      <c r="T653" s="599"/>
    </row>
    <row r="654" spans="1:20" ht="11.25" customHeight="1">
      <c r="A654" s="599"/>
      <c r="B654" s="599"/>
      <c r="C654" s="599"/>
      <c r="D654" s="599"/>
      <c r="E654" s="599"/>
      <c r="F654" s="599"/>
      <c r="G654" s="600"/>
      <c r="H654" s="599"/>
      <c r="I654" s="599"/>
      <c r="J654" s="599"/>
      <c r="K654" s="599"/>
      <c r="L654" s="599"/>
      <c r="M654" s="599"/>
      <c r="N654" s="599"/>
      <c r="O654" s="599"/>
      <c r="P654" s="599"/>
      <c r="Q654" s="599"/>
      <c r="R654" s="599"/>
      <c r="S654" s="599"/>
      <c r="T654" s="599"/>
    </row>
    <row r="655" spans="1:20" ht="11.25" customHeight="1">
      <c r="A655" s="599"/>
      <c r="B655" s="599"/>
      <c r="C655" s="599"/>
      <c r="D655" s="599"/>
      <c r="E655" s="599"/>
      <c r="F655" s="599"/>
      <c r="G655" s="600"/>
      <c r="H655" s="599"/>
      <c r="I655" s="599"/>
      <c r="J655" s="599"/>
      <c r="K655" s="599"/>
      <c r="L655" s="599"/>
      <c r="M655" s="599"/>
      <c r="N655" s="599"/>
      <c r="O655" s="599"/>
      <c r="P655" s="599"/>
      <c r="Q655" s="599"/>
      <c r="R655" s="599"/>
      <c r="S655" s="599"/>
      <c r="T655" s="599"/>
    </row>
    <row r="656" spans="1:20" ht="11.25" customHeight="1">
      <c r="A656" s="599"/>
      <c r="B656" s="599"/>
      <c r="C656" s="599"/>
      <c r="D656" s="599"/>
      <c r="E656" s="599"/>
      <c r="F656" s="599"/>
      <c r="G656" s="600"/>
      <c r="H656" s="599"/>
      <c r="I656" s="599"/>
      <c r="J656" s="599"/>
      <c r="K656" s="599"/>
      <c r="L656" s="599"/>
      <c r="M656" s="599"/>
      <c r="N656" s="599"/>
      <c r="O656" s="599"/>
      <c r="P656" s="599"/>
      <c r="Q656" s="599"/>
      <c r="R656" s="599"/>
      <c r="S656" s="599"/>
      <c r="T656" s="599"/>
    </row>
    <row r="657" spans="1:20" ht="11.25" customHeight="1">
      <c r="A657" s="599"/>
      <c r="B657" s="599"/>
      <c r="C657" s="599"/>
      <c r="D657" s="599"/>
      <c r="E657" s="599"/>
      <c r="F657" s="599"/>
      <c r="G657" s="600"/>
      <c r="H657" s="599"/>
      <c r="I657" s="599"/>
      <c r="J657" s="599"/>
      <c r="K657" s="599"/>
      <c r="L657" s="599"/>
      <c r="M657" s="599"/>
      <c r="N657" s="599"/>
      <c r="O657" s="599"/>
      <c r="P657" s="599"/>
      <c r="Q657" s="599"/>
      <c r="R657" s="599"/>
      <c r="S657" s="599"/>
      <c r="T657" s="599"/>
    </row>
    <row r="658" spans="1:20" ht="11.25" customHeight="1">
      <c r="A658" s="599"/>
      <c r="B658" s="599"/>
      <c r="C658" s="599"/>
      <c r="D658" s="599"/>
      <c r="E658" s="599"/>
      <c r="F658" s="599"/>
      <c r="G658" s="600"/>
      <c r="H658" s="599"/>
      <c r="I658" s="599"/>
      <c r="J658" s="599"/>
      <c r="K658" s="599"/>
      <c r="L658" s="599"/>
      <c r="M658" s="599"/>
      <c r="N658" s="599"/>
      <c r="O658" s="599"/>
      <c r="P658" s="599"/>
      <c r="Q658" s="599"/>
      <c r="R658" s="599"/>
      <c r="S658" s="599"/>
      <c r="T658" s="599"/>
    </row>
    <row r="659" spans="1:20" ht="11.25" customHeight="1">
      <c r="A659" s="599"/>
      <c r="B659" s="599"/>
      <c r="C659" s="599"/>
      <c r="D659" s="599"/>
      <c r="E659" s="599"/>
      <c r="F659" s="599"/>
      <c r="G659" s="600"/>
      <c r="H659" s="599"/>
      <c r="I659" s="599"/>
      <c r="J659" s="599"/>
      <c r="K659" s="599"/>
      <c r="L659" s="599"/>
      <c r="M659" s="599"/>
      <c r="N659" s="599"/>
      <c r="O659" s="599"/>
      <c r="P659" s="599"/>
      <c r="Q659" s="599"/>
      <c r="R659" s="599"/>
      <c r="S659" s="599"/>
      <c r="T659" s="599"/>
    </row>
    <row r="660" spans="1:20" ht="11.25" customHeight="1">
      <c r="A660" s="599"/>
      <c r="B660" s="599"/>
      <c r="C660" s="599"/>
      <c r="D660" s="599"/>
      <c r="E660" s="599"/>
      <c r="F660" s="599"/>
      <c r="G660" s="600"/>
      <c r="H660" s="599"/>
      <c r="I660" s="599"/>
      <c r="J660" s="599"/>
      <c r="K660" s="599"/>
      <c r="L660" s="599"/>
      <c r="M660" s="599"/>
      <c r="N660" s="599"/>
      <c r="O660" s="599"/>
      <c r="P660" s="599"/>
      <c r="Q660" s="599"/>
      <c r="R660" s="599"/>
      <c r="S660" s="599"/>
      <c r="T660" s="599"/>
    </row>
    <row r="661" spans="1:20" ht="11.25" customHeight="1">
      <c r="A661" s="599"/>
      <c r="B661" s="599"/>
      <c r="C661" s="599"/>
      <c r="D661" s="599"/>
      <c r="E661" s="599"/>
      <c r="F661" s="599"/>
      <c r="G661" s="600"/>
      <c r="H661" s="599"/>
      <c r="I661" s="599"/>
      <c r="J661" s="599"/>
      <c r="K661" s="599"/>
      <c r="L661" s="599"/>
      <c r="M661" s="599"/>
      <c r="N661" s="599"/>
      <c r="O661" s="599"/>
      <c r="P661" s="599"/>
      <c r="Q661" s="599"/>
      <c r="R661" s="599"/>
      <c r="S661" s="599"/>
      <c r="T661" s="599"/>
    </row>
    <row r="662" spans="1:20" ht="11.25" customHeight="1">
      <c r="A662" s="599"/>
      <c r="B662" s="599"/>
      <c r="C662" s="599"/>
      <c r="D662" s="599"/>
      <c r="E662" s="599"/>
      <c r="F662" s="599"/>
      <c r="G662" s="600"/>
      <c r="H662" s="599"/>
      <c r="I662" s="599"/>
      <c r="J662" s="599"/>
      <c r="K662" s="599"/>
      <c r="L662" s="599"/>
      <c r="M662" s="599"/>
      <c r="N662" s="599"/>
      <c r="O662" s="599"/>
      <c r="P662" s="599"/>
      <c r="Q662" s="599"/>
      <c r="R662" s="599"/>
      <c r="S662" s="599"/>
      <c r="T662" s="599"/>
    </row>
    <row r="663" spans="1:20" ht="11.25" customHeight="1">
      <c r="A663" s="599"/>
      <c r="B663" s="599"/>
      <c r="C663" s="599"/>
      <c r="D663" s="599"/>
      <c r="E663" s="599"/>
      <c r="F663" s="599"/>
      <c r="G663" s="600"/>
      <c r="H663" s="599"/>
      <c r="I663" s="599"/>
      <c r="J663" s="599"/>
      <c r="K663" s="599"/>
      <c r="L663" s="599"/>
      <c r="M663" s="599"/>
      <c r="N663" s="599"/>
      <c r="O663" s="599"/>
      <c r="P663" s="599"/>
      <c r="Q663" s="599"/>
      <c r="R663" s="599"/>
      <c r="S663" s="599"/>
      <c r="T663" s="599"/>
    </row>
    <row r="664" spans="1:20" ht="11.25" customHeight="1">
      <c r="A664" s="599"/>
      <c r="B664" s="599"/>
      <c r="C664" s="599"/>
      <c r="D664" s="599"/>
      <c r="E664" s="599"/>
      <c r="F664" s="599"/>
      <c r="G664" s="600"/>
      <c r="H664" s="599"/>
      <c r="I664" s="599"/>
      <c r="J664" s="599"/>
      <c r="K664" s="599"/>
      <c r="L664" s="599"/>
      <c r="M664" s="599"/>
      <c r="N664" s="599"/>
      <c r="O664" s="599"/>
      <c r="P664" s="599"/>
      <c r="Q664" s="599"/>
      <c r="R664" s="599"/>
      <c r="S664" s="599"/>
      <c r="T664" s="599"/>
    </row>
    <row r="665" spans="1:20" ht="11.25" customHeight="1">
      <c r="A665" s="599"/>
      <c r="B665" s="599"/>
      <c r="C665" s="599"/>
      <c r="D665" s="599"/>
      <c r="E665" s="599"/>
      <c r="F665" s="599"/>
      <c r="G665" s="600"/>
      <c r="H665" s="599"/>
      <c r="I665" s="599"/>
      <c r="J665" s="599"/>
      <c r="K665" s="599"/>
      <c r="L665" s="599"/>
      <c r="M665" s="599"/>
      <c r="N665" s="599"/>
      <c r="O665" s="599"/>
      <c r="P665" s="599"/>
      <c r="Q665" s="599"/>
      <c r="R665" s="599"/>
      <c r="S665" s="599"/>
      <c r="T665" s="599"/>
    </row>
    <row r="666" spans="1:20" ht="11.25" customHeight="1">
      <c r="A666" s="599"/>
      <c r="B666" s="599"/>
      <c r="C666" s="599"/>
      <c r="D666" s="599"/>
      <c r="E666" s="599"/>
      <c r="F666" s="599"/>
      <c r="G666" s="600"/>
      <c r="H666" s="599"/>
      <c r="I666" s="599"/>
      <c r="J666" s="599"/>
      <c r="K666" s="599"/>
      <c r="L666" s="599"/>
      <c r="M666" s="599"/>
      <c r="N666" s="599"/>
      <c r="O666" s="599"/>
      <c r="P666" s="599"/>
      <c r="Q666" s="599"/>
      <c r="R666" s="599"/>
      <c r="S666" s="599"/>
      <c r="T666" s="599"/>
    </row>
    <row r="667" spans="1:20" ht="11.25" customHeight="1">
      <c r="A667" s="599"/>
      <c r="B667" s="599"/>
      <c r="C667" s="599"/>
      <c r="D667" s="599"/>
      <c r="E667" s="599"/>
      <c r="F667" s="599"/>
      <c r="G667" s="600"/>
      <c r="H667" s="599"/>
      <c r="I667" s="599"/>
      <c r="J667" s="599"/>
      <c r="K667" s="599"/>
      <c r="L667" s="599"/>
      <c r="M667" s="599"/>
      <c r="N667" s="599"/>
      <c r="O667" s="599"/>
      <c r="P667" s="599"/>
      <c r="Q667" s="599"/>
      <c r="R667" s="599"/>
      <c r="S667" s="599"/>
      <c r="T667" s="599"/>
    </row>
    <row r="668" spans="1:20" ht="11.25" customHeight="1">
      <c r="A668" s="599"/>
      <c r="B668" s="599"/>
      <c r="C668" s="599"/>
      <c r="D668" s="599"/>
      <c r="E668" s="599"/>
      <c r="F668" s="599"/>
      <c r="G668" s="600"/>
      <c r="H668" s="599"/>
      <c r="I668" s="599"/>
      <c r="J668" s="599"/>
      <c r="K668" s="599"/>
      <c r="L668" s="599"/>
      <c r="M668" s="599"/>
      <c r="N668" s="599"/>
      <c r="O668" s="599"/>
      <c r="P668" s="599"/>
      <c r="Q668" s="599"/>
      <c r="R668" s="599"/>
      <c r="S668" s="599"/>
      <c r="T668" s="599"/>
    </row>
    <row r="669" spans="1:20" ht="11.25" customHeight="1">
      <c r="A669" s="599"/>
      <c r="B669" s="599"/>
      <c r="C669" s="599"/>
      <c r="D669" s="599"/>
      <c r="E669" s="599"/>
      <c r="F669" s="599"/>
      <c r="G669" s="600"/>
      <c r="H669" s="599"/>
      <c r="I669" s="599"/>
      <c r="J669" s="599"/>
      <c r="K669" s="599"/>
      <c r="L669" s="599"/>
      <c r="M669" s="599"/>
      <c r="N669" s="599"/>
      <c r="O669" s="599"/>
      <c r="P669" s="599"/>
      <c r="Q669" s="599"/>
      <c r="R669" s="599"/>
      <c r="S669" s="599"/>
      <c r="T669" s="599"/>
    </row>
    <row r="670" spans="1:20" ht="11.25" customHeight="1">
      <c r="A670" s="599"/>
      <c r="B670" s="599"/>
      <c r="C670" s="599"/>
      <c r="D670" s="599"/>
      <c r="E670" s="599"/>
      <c r="F670" s="599"/>
      <c r="G670" s="600"/>
      <c r="H670" s="599"/>
      <c r="I670" s="599"/>
      <c r="J670" s="599"/>
      <c r="K670" s="599"/>
      <c r="L670" s="599"/>
      <c r="M670" s="599"/>
      <c r="N670" s="599"/>
      <c r="O670" s="599"/>
      <c r="P670" s="599"/>
      <c r="Q670" s="599"/>
      <c r="R670" s="599"/>
      <c r="S670" s="599"/>
      <c r="T670" s="599"/>
    </row>
    <row r="671" spans="1:20" ht="11.25" customHeight="1">
      <c r="A671" s="599"/>
      <c r="B671" s="599"/>
      <c r="C671" s="599"/>
      <c r="D671" s="599"/>
      <c r="E671" s="599"/>
      <c r="F671" s="599"/>
      <c r="G671" s="600"/>
      <c r="H671" s="599"/>
      <c r="I671" s="599"/>
      <c r="J671" s="599"/>
      <c r="K671" s="599"/>
      <c r="L671" s="599"/>
      <c r="M671" s="599"/>
      <c r="N671" s="599"/>
      <c r="O671" s="599"/>
      <c r="P671" s="599"/>
      <c r="Q671" s="599"/>
      <c r="R671" s="599"/>
      <c r="S671" s="599"/>
      <c r="T671" s="599"/>
    </row>
    <row r="672" spans="1:20" ht="11.25" customHeight="1">
      <c r="A672" s="599"/>
      <c r="B672" s="599"/>
      <c r="C672" s="599"/>
      <c r="D672" s="599"/>
      <c r="E672" s="599"/>
      <c r="F672" s="599"/>
      <c r="G672" s="600"/>
      <c r="H672" s="599"/>
      <c r="I672" s="599"/>
      <c r="J672" s="599"/>
      <c r="K672" s="599"/>
      <c r="L672" s="599"/>
      <c r="M672" s="599"/>
      <c r="N672" s="599"/>
      <c r="O672" s="599"/>
      <c r="P672" s="599"/>
      <c r="Q672" s="599"/>
      <c r="R672" s="599"/>
      <c r="S672" s="599"/>
      <c r="T672" s="599"/>
    </row>
    <row r="673" spans="1:20" ht="11.25" customHeight="1">
      <c r="A673" s="599"/>
      <c r="B673" s="599"/>
      <c r="C673" s="599"/>
      <c r="D673" s="599"/>
      <c r="E673" s="599"/>
      <c r="F673" s="599"/>
      <c r="G673" s="600"/>
      <c r="H673" s="599"/>
      <c r="I673" s="599"/>
      <c r="J673" s="599"/>
      <c r="K673" s="599"/>
      <c r="L673" s="599"/>
      <c r="M673" s="599"/>
      <c r="N673" s="599"/>
      <c r="O673" s="599"/>
      <c r="P673" s="599"/>
      <c r="Q673" s="599"/>
      <c r="R673" s="599"/>
      <c r="S673" s="599"/>
      <c r="T673" s="599"/>
    </row>
    <row r="674" spans="1:20" ht="11.25" customHeight="1">
      <c r="A674" s="599"/>
      <c r="B674" s="599"/>
      <c r="C674" s="599"/>
      <c r="D674" s="599"/>
      <c r="E674" s="599"/>
      <c r="F674" s="599"/>
      <c r="G674" s="600"/>
      <c r="H674" s="599"/>
      <c r="I674" s="599"/>
      <c r="J674" s="599"/>
      <c r="K674" s="599"/>
      <c r="L674" s="599"/>
      <c r="M674" s="599"/>
      <c r="N674" s="599"/>
      <c r="O674" s="599"/>
      <c r="P674" s="599"/>
      <c r="Q674" s="599"/>
      <c r="R674" s="599"/>
      <c r="S674" s="599"/>
      <c r="T674" s="599"/>
    </row>
    <row r="675" spans="1:20" ht="11.25" customHeight="1">
      <c r="A675" s="599"/>
      <c r="B675" s="599"/>
      <c r="C675" s="599"/>
      <c r="D675" s="599"/>
      <c r="E675" s="599"/>
      <c r="F675" s="599"/>
      <c r="G675" s="600"/>
      <c r="H675" s="599"/>
      <c r="I675" s="599"/>
      <c r="J675" s="599"/>
      <c r="K675" s="599"/>
      <c r="L675" s="599"/>
      <c r="M675" s="599"/>
      <c r="N675" s="599"/>
      <c r="O675" s="599"/>
      <c r="P675" s="599"/>
      <c r="Q675" s="599"/>
      <c r="R675" s="599"/>
      <c r="S675" s="599"/>
      <c r="T675" s="599"/>
    </row>
    <row r="676" spans="1:20" ht="11.25" customHeight="1">
      <c r="A676" s="599"/>
      <c r="B676" s="599"/>
      <c r="C676" s="599"/>
      <c r="D676" s="599"/>
      <c r="E676" s="599"/>
      <c r="F676" s="599"/>
      <c r="G676" s="600"/>
      <c r="H676" s="599"/>
      <c r="I676" s="599"/>
      <c r="J676" s="599"/>
      <c r="K676" s="599"/>
      <c r="L676" s="599"/>
      <c r="M676" s="599"/>
      <c r="N676" s="599"/>
      <c r="O676" s="599"/>
      <c r="P676" s="599"/>
      <c r="Q676" s="599"/>
      <c r="R676" s="599"/>
      <c r="S676" s="599"/>
      <c r="T676" s="599"/>
    </row>
    <row r="677" spans="1:20" ht="11.25" customHeight="1">
      <c r="A677" s="599"/>
      <c r="B677" s="599"/>
      <c r="C677" s="599"/>
      <c r="D677" s="599"/>
      <c r="E677" s="599"/>
      <c r="F677" s="599"/>
      <c r="G677" s="600"/>
      <c r="H677" s="599"/>
      <c r="I677" s="599"/>
      <c r="J677" s="599"/>
      <c r="K677" s="599"/>
      <c r="L677" s="599"/>
      <c r="M677" s="599"/>
      <c r="N677" s="599"/>
      <c r="O677" s="599"/>
      <c r="P677" s="599"/>
      <c r="Q677" s="599"/>
      <c r="R677" s="599"/>
      <c r="S677" s="599"/>
      <c r="T677" s="599"/>
    </row>
    <row r="678" spans="1:20" ht="11.25" customHeight="1">
      <c r="A678" s="599"/>
      <c r="B678" s="599"/>
      <c r="C678" s="599"/>
      <c r="D678" s="599"/>
      <c r="E678" s="599"/>
      <c r="F678" s="599"/>
      <c r="G678" s="600"/>
      <c r="H678" s="599"/>
      <c r="I678" s="599"/>
      <c r="J678" s="599"/>
      <c r="K678" s="599"/>
      <c r="L678" s="599"/>
      <c r="M678" s="599"/>
      <c r="N678" s="599"/>
      <c r="O678" s="599"/>
      <c r="P678" s="599"/>
      <c r="Q678" s="599"/>
      <c r="R678" s="599"/>
      <c r="S678" s="599"/>
      <c r="T678" s="599"/>
    </row>
    <row r="679" spans="1:20" ht="11.25" customHeight="1">
      <c r="A679" s="599"/>
      <c r="B679" s="599"/>
      <c r="C679" s="599"/>
      <c r="D679" s="599"/>
      <c r="E679" s="599"/>
      <c r="F679" s="599"/>
      <c r="G679" s="600"/>
      <c r="H679" s="599"/>
      <c r="I679" s="599"/>
      <c r="J679" s="599"/>
      <c r="K679" s="599"/>
      <c r="L679" s="599"/>
      <c r="M679" s="599"/>
      <c r="N679" s="599"/>
      <c r="O679" s="599"/>
      <c r="P679" s="599"/>
      <c r="Q679" s="599"/>
      <c r="R679" s="599"/>
      <c r="S679" s="599"/>
      <c r="T679" s="599"/>
    </row>
    <row r="680" spans="1:20" ht="11.25" customHeight="1">
      <c r="A680" s="599"/>
      <c r="B680" s="599"/>
      <c r="C680" s="599"/>
      <c r="D680" s="599"/>
      <c r="E680" s="599"/>
      <c r="F680" s="599"/>
      <c r="G680" s="600"/>
      <c r="H680" s="599"/>
      <c r="I680" s="599"/>
      <c r="J680" s="599"/>
      <c r="K680" s="599"/>
      <c r="L680" s="599"/>
      <c r="M680" s="599"/>
      <c r="N680" s="599"/>
      <c r="O680" s="599"/>
      <c r="P680" s="599"/>
      <c r="Q680" s="599"/>
      <c r="R680" s="599"/>
      <c r="S680" s="599"/>
      <c r="T680" s="599"/>
    </row>
    <row r="681" spans="1:20" ht="11.25" customHeight="1">
      <c r="A681" s="599"/>
      <c r="B681" s="599"/>
      <c r="C681" s="599"/>
      <c r="D681" s="599"/>
      <c r="E681" s="599"/>
      <c r="F681" s="599"/>
      <c r="G681" s="600"/>
      <c r="H681" s="599"/>
      <c r="I681" s="599"/>
      <c r="J681" s="599"/>
      <c r="K681" s="599"/>
      <c r="L681" s="599"/>
      <c r="M681" s="599"/>
      <c r="N681" s="599"/>
      <c r="O681" s="599"/>
      <c r="P681" s="599"/>
      <c r="Q681" s="599"/>
      <c r="R681" s="599"/>
      <c r="S681" s="599"/>
      <c r="T681" s="599"/>
    </row>
    <row r="682" spans="1:20" ht="11.25" customHeight="1">
      <c r="A682" s="599"/>
      <c r="B682" s="599"/>
      <c r="C682" s="599"/>
      <c r="D682" s="599"/>
      <c r="E682" s="599"/>
      <c r="F682" s="599"/>
      <c r="G682" s="600"/>
      <c r="H682" s="599"/>
      <c r="I682" s="599"/>
      <c r="J682" s="599"/>
      <c r="K682" s="599"/>
      <c r="L682" s="599"/>
      <c r="M682" s="599"/>
      <c r="N682" s="599"/>
      <c r="O682" s="599"/>
      <c r="P682" s="599"/>
      <c r="Q682" s="599"/>
      <c r="R682" s="599"/>
      <c r="S682" s="599"/>
      <c r="T682" s="599"/>
    </row>
    <row r="683" spans="1:20" ht="11.25" customHeight="1">
      <c r="A683" s="599"/>
      <c r="B683" s="599"/>
      <c r="C683" s="599"/>
      <c r="D683" s="599"/>
      <c r="E683" s="599"/>
      <c r="F683" s="599"/>
      <c r="G683" s="600"/>
      <c r="H683" s="599"/>
      <c r="I683" s="599"/>
      <c r="J683" s="599"/>
      <c r="K683" s="599"/>
      <c r="L683" s="599"/>
      <c r="M683" s="599"/>
      <c r="N683" s="599"/>
      <c r="O683" s="599"/>
      <c r="P683" s="599"/>
      <c r="Q683" s="599"/>
      <c r="R683" s="599"/>
      <c r="S683" s="599"/>
      <c r="T683" s="599"/>
    </row>
    <row r="684" spans="1:20" ht="11.25" customHeight="1">
      <c r="A684" s="599"/>
      <c r="B684" s="599"/>
      <c r="C684" s="599"/>
      <c r="D684" s="599"/>
      <c r="E684" s="599"/>
      <c r="F684" s="599"/>
      <c r="G684" s="600"/>
      <c r="H684" s="599"/>
      <c r="I684" s="599"/>
      <c r="J684" s="599"/>
      <c r="K684" s="599"/>
      <c r="L684" s="599"/>
      <c r="M684" s="599"/>
      <c r="N684" s="599"/>
      <c r="O684" s="599"/>
      <c r="P684" s="599"/>
      <c r="Q684" s="599"/>
      <c r="R684" s="599"/>
      <c r="S684" s="599"/>
      <c r="T684" s="599"/>
    </row>
    <row r="685" spans="1:20" ht="11.25" customHeight="1">
      <c r="A685" s="599"/>
      <c r="B685" s="599"/>
      <c r="C685" s="599"/>
      <c r="D685" s="599"/>
      <c r="E685" s="599"/>
      <c r="F685" s="599"/>
      <c r="G685" s="600"/>
      <c r="H685" s="599"/>
      <c r="I685" s="599"/>
      <c r="J685" s="599"/>
      <c r="K685" s="599"/>
      <c r="L685" s="599"/>
      <c r="M685" s="599"/>
      <c r="N685" s="599"/>
      <c r="O685" s="599"/>
      <c r="P685" s="599"/>
      <c r="Q685" s="599"/>
      <c r="R685" s="599"/>
      <c r="S685" s="599"/>
      <c r="T685" s="599"/>
    </row>
    <row r="686" spans="1:20" ht="11.25" customHeight="1">
      <c r="A686" s="599"/>
      <c r="B686" s="599"/>
      <c r="C686" s="599"/>
      <c r="D686" s="599"/>
      <c r="E686" s="599"/>
      <c r="F686" s="599"/>
      <c r="G686" s="600"/>
      <c r="H686" s="599"/>
      <c r="I686" s="599"/>
      <c r="J686" s="599"/>
      <c r="K686" s="599"/>
      <c r="L686" s="599"/>
      <c r="M686" s="599"/>
      <c r="N686" s="599"/>
      <c r="O686" s="599"/>
      <c r="P686" s="599"/>
      <c r="Q686" s="599"/>
      <c r="R686" s="599"/>
      <c r="S686" s="599"/>
      <c r="T686" s="599"/>
    </row>
    <row r="687" spans="1:20" ht="11.25" customHeight="1">
      <c r="A687" s="599"/>
      <c r="B687" s="599"/>
      <c r="C687" s="599"/>
      <c r="D687" s="599"/>
      <c r="E687" s="599"/>
      <c r="F687" s="599"/>
      <c r="G687" s="600"/>
      <c r="H687" s="599"/>
      <c r="I687" s="599"/>
      <c r="J687" s="599"/>
      <c r="K687" s="599"/>
      <c r="L687" s="599"/>
      <c r="M687" s="599"/>
      <c r="N687" s="599"/>
      <c r="O687" s="599"/>
      <c r="P687" s="599"/>
      <c r="Q687" s="599"/>
      <c r="R687" s="599"/>
      <c r="S687" s="599"/>
      <c r="T687" s="599"/>
    </row>
    <row r="688" spans="1:20" ht="11.25" customHeight="1">
      <c r="A688" s="599"/>
      <c r="B688" s="599"/>
      <c r="C688" s="599"/>
      <c r="D688" s="599"/>
      <c r="E688" s="599"/>
      <c r="F688" s="599"/>
      <c r="G688" s="600"/>
      <c r="H688" s="599"/>
      <c r="I688" s="599"/>
      <c r="J688" s="599"/>
      <c r="K688" s="599"/>
      <c r="L688" s="599"/>
      <c r="M688" s="599"/>
      <c r="N688" s="599"/>
      <c r="O688" s="599"/>
      <c r="P688" s="599"/>
      <c r="Q688" s="599"/>
      <c r="R688" s="599"/>
      <c r="S688" s="599"/>
      <c r="T688" s="599"/>
    </row>
    <row r="689" spans="1:20" ht="11.25" customHeight="1">
      <c r="A689" s="599"/>
      <c r="B689" s="599"/>
      <c r="C689" s="599"/>
      <c r="D689" s="599"/>
      <c r="E689" s="599"/>
      <c r="F689" s="599"/>
      <c r="G689" s="600"/>
      <c r="H689" s="599"/>
      <c r="I689" s="599"/>
      <c r="J689" s="599"/>
      <c r="K689" s="599"/>
      <c r="L689" s="599"/>
      <c r="M689" s="599"/>
      <c r="N689" s="599"/>
      <c r="O689" s="599"/>
      <c r="P689" s="599"/>
      <c r="Q689" s="599"/>
      <c r="R689" s="599"/>
      <c r="S689" s="599"/>
      <c r="T689" s="599"/>
    </row>
    <row r="690" spans="1:20" ht="11.25" customHeight="1">
      <c r="A690" s="599"/>
      <c r="B690" s="599"/>
      <c r="C690" s="599"/>
      <c r="D690" s="599"/>
      <c r="E690" s="599"/>
      <c r="F690" s="599"/>
      <c r="G690" s="600"/>
      <c r="H690" s="599"/>
      <c r="I690" s="599"/>
      <c r="J690" s="599"/>
      <c r="K690" s="599"/>
      <c r="L690" s="599"/>
      <c r="M690" s="599"/>
      <c r="N690" s="599"/>
      <c r="O690" s="599"/>
      <c r="P690" s="599"/>
      <c r="Q690" s="599"/>
      <c r="R690" s="599"/>
      <c r="S690" s="599"/>
      <c r="T690" s="599"/>
    </row>
    <row r="691" spans="1:20" ht="11.25" customHeight="1">
      <c r="A691" s="599"/>
      <c r="B691" s="599"/>
      <c r="C691" s="599"/>
      <c r="D691" s="599"/>
      <c r="E691" s="599"/>
      <c r="F691" s="599"/>
      <c r="G691" s="600"/>
      <c r="H691" s="599"/>
      <c r="I691" s="599"/>
      <c r="J691" s="599"/>
      <c r="K691" s="599"/>
      <c r="L691" s="599"/>
      <c r="M691" s="599"/>
      <c r="N691" s="599"/>
      <c r="O691" s="599"/>
      <c r="P691" s="599"/>
      <c r="Q691" s="599"/>
      <c r="R691" s="599"/>
      <c r="S691" s="599"/>
      <c r="T691" s="599"/>
    </row>
    <row r="692" spans="1:20" ht="11.25" customHeight="1">
      <c r="A692" s="599"/>
      <c r="B692" s="599"/>
      <c r="C692" s="599"/>
      <c r="D692" s="599"/>
      <c r="E692" s="599"/>
      <c r="F692" s="599"/>
      <c r="G692" s="600"/>
      <c r="H692" s="599"/>
      <c r="I692" s="599"/>
      <c r="J692" s="599"/>
      <c r="K692" s="599"/>
      <c r="L692" s="599"/>
      <c r="M692" s="599"/>
      <c r="N692" s="599"/>
      <c r="O692" s="599"/>
      <c r="P692" s="599"/>
      <c r="Q692" s="599"/>
      <c r="R692" s="599"/>
      <c r="S692" s="599"/>
      <c r="T692" s="599"/>
    </row>
    <row r="693" spans="1:20" ht="11.25" customHeight="1">
      <c r="A693" s="599"/>
      <c r="B693" s="599"/>
      <c r="C693" s="599"/>
      <c r="D693" s="599"/>
      <c r="E693" s="599"/>
      <c r="F693" s="599"/>
      <c r="G693" s="600"/>
      <c r="H693" s="599"/>
      <c r="I693" s="599"/>
      <c r="J693" s="599"/>
      <c r="K693" s="599"/>
      <c r="L693" s="599"/>
      <c r="M693" s="599"/>
      <c r="N693" s="599"/>
      <c r="O693" s="599"/>
      <c r="P693" s="599"/>
      <c r="Q693" s="599"/>
      <c r="R693" s="599"/>
      <c r="S693" s="599"/>
      <c r="T693" s="599"/>
    </row>
    <row r="694" spans="1:20" ht="11.25" customHeight="1">
      <c r="A694" s="599"/>
      <c r="B694" s="599"/>
      <c r="C694" s="599"/>
      <c r="D694" s="599"/>
      <c r="E694" s="599"/>
      <c r="F694" s="599"/>
      <c r="G694" s="600"/>
      <c r="H694" s="599"/>
      <c r="I694" s="599"/>
      <c r="J694" s="599"/>
      <c r="K694" s="599"/>
      <c r="L694" s="599"/>
      <c r="M694" s="599"/>
      <c r="N694" s="599"/>
      <c r="O694" s="599"/>
      <c r="P694" s="599"/>
      <c r="Q694" s="599"/>
      <c r="R694" s="599"/>
      <c r="S694" s="599"/>
      <c r="T694" s="599"/>
    </row>
    <row r="695" spans="1:20" ht="11.25" customHeight="1">
      <c r="A695" s="599"/>
      <c r="B695" s="599"/>
      <c r="C695" s="599"/>
      <c r="D695" s="599"/>
      <c r="E695" s="599"/>
      <c r="F695" s="599"/>
      <c r="G695" s="600"/>
      <c r="H695" s="599"/>
      <c r="I695" s="599"/>
      <c r="J695" s="599"/>
      <c r="K695" s="599"/>
      <c r="L695" s="599"/>
      <c r="M695" s="599"/>
      <c r="N695" s="599"/>
      <c r="O695" s="599"/>
      <c r="P695" s="599"/>
      <c r="Q695" s="599"/>
      <c r="R695" s="599"/>
      <c r="S695" s="599"/>
      <c r="T695" s="599"/>
    </row>
    <row r="696" spans="1:20" ht="11.25" customHeight="1">
      <c r="A696" s="599"/>
      <c r="B696" s="599"/>
      <c r="C696" s="599"/>
      <c r="D696" s="599"/>
      <c r="E696" s="599"/>
      <c r="F696" s="599"/>
      <c r="G696" s="600"/>
      <c r="H696" s="599"/>
      <c r="I696" s="599"/>
      <c r="J696" s="599"/>
      <c r="K696" s="599"/>
      <c r="L696" s="599"/>
      <c r="M696" s="599"/>
      <c r="N696" s="599"/>
      <c r="O696" s="599"/>
      <c r="P696" s="599"/>
      <c r="Q696" s="599"/>
      <c r="R696" s="599"/>
      <c r="S696" s="599"/>
      <c r="T696" s="599"/>
    </row>
    <row r="697" spans="1:20" ht="11.25" customHeight="1">
      <c r="A697" s="599"/>
      <c r="B697" s="599"/>
      <c r="C697" s="599"/>
      <c r="D697" s="599"/>
      <c r="E697" s="599"/>
      <c r="F697" s="599"/>
      <c r="G697" s="600"/>
      <c r="H697" s="599"/>
      <c r="I697" s="599"/>
      <c r="J697" s="599"/>
      <c r="K697" s="599"/>
      <c r="L697" s="599"/>
      <c r="M697" s="599"/>
      <c r="N697" s="599"/>
      <c r="O697" s="599"/>
      <c r="P697" s="599"/>
      <c r="Q697" s="599"/>
      <c r="R697" s="599"/>
      <c r="S697" s="599"/>
      <c r="T697" s="599"/>
    </row>
    <row r="698" spans="1:20" ht="11.25" customHeight="1">
      <c r="A698" s="599"/>
      <c r="B698" s="599"/>
      <c r="C698" s="599"/>
      <c r="D698" s="599"/>
      <c r="E698" s="599"/>
      <c r="F698" s="599"/>
      <c r="G698" s="600"/>
      <c r="H698" s="599"/>
      <c r="I698" s="599"/>
      <c r="J698" s="599"/>
      <c r="K698" s="599"/>
      <c r="L698" s="599"/>
      <c r="M698" s="599"/>
      <c r="N698" s="599"/>
      <c r="O698" s="599"/>
      <c r="P698" s="599"/>
      <c r="Q698" s="599"/>
      <c r="R698" s="599"/>
      <c r="S698" s="599"/>
      <c r="T698" s="599"/>
    </row>
    <row r="699" spans="1:20" ht="11.25" customHeight="1">
      <c r="A699" s="599"/>
      <c r="B699" s="599"/>
      <c r="C699" s="599"/>
      <c r="D699" s="599"/>
      <c r="E699" s="599"/>
      <c r="F699" s="599"/>
      <c r="G699" s="600"/>
      <c r="H699" s="599"/>
      <c r="I699" s="599"/>
      <c r="J699" s="599"/>
      <c r="K699" s="599"/>
      <c r="L699" s="599"/>
      <c r="M699" s="599"/>
      <c r="N699" s="599"/>
      <c r="O699" s="599"/>
      <c r="P699" s="599"/>
      <c r="Q699" s="599"/>
      <c r="R699" s="599"/>
      <c r="S699" s="599"/>
      <c r="T699" s="599"/>
    </row>
    <row r="700" spans="1:20" ht="11.25" customHeight="1">
      <c r="A700" s="599"/>
      <c r="B700" s="599"/>
      <c r="C700" s="599"/>
      <c r="D700" s="599"/>
      <c r="E700" s="599"/>
      <c r="F700" s="599"/>
      <c r="G700" s="600"/>
      <c r="H700" s="599"/>
      <c r="I700" s="599"/>
      <c r="J700" s="599"/>
      <c r="K700" s="599"/>
      <c r="L700" s="599"/>
      <c r="M700" s="599"/>
      <c r="N700" s="599"/>
      <c r="O700" s="599"/>
      <c r="P700" s="599"/>
      <c r="Q700" s="599"/>
      <c r="R700" s="599"/>
      <c r="S700" s="599"/>
      <c r="T700" s="599"/>
    </row>
    <row r="701" spans="1:20" ht="11.25" customHeight="1">
      <c r="A701" s="599"/>
      <c r="B701" s="599"/>
      <c r="C701" s="599"/>
      <c r="D701" s="599"/>
      <c r="E701" s="599"/>
      <c r="F701" s="599"/>
      <c r="G701" s="600"/>
      <c r="H701" s="599"/>
      <c r="I701" s="599"/>
      <c r="J701" s="599"/>
      <c r="K701" s="599"/>
      <c r="L701" s="599"/>
      <c r="M701" s="599"/>
      <c r="N701" s="599"/>
      <c r="O701" s="599"/>
      <c r="P701" s="599"/>
      <c r="Q701" s="599"/>
      <c r="R701" s="599"/>
      <c r="S701" s="599"/>
      <c r="T701" s="599"/>
    </row>
    <row r="702" spans="1:20" ht="11.25" customHeight="1">
      <c r="A702" s="599"/>
      <c r="B702" s="599"/>
      <c r="C702" s="599"/>
      <c r="D702" s="599"/>
      <c r="E702" s="599"/>
      <c r="F702" s="599"/>
      <c r="G702" s="600"/>
      <c r="H702" s="599"/>
      <c r="I702" s="599"/>
      <c r="J702" s="599"/>
      <c r="K702" s="599"/>
      <c r="L702" s="599"/>
      <c r="M702" s="599"/>
      <c r="N702" s="599"/>
      <c r="O702" s="599"/>
      <c r="P702" s="599"/>
      <c r="Q702" s="599"/>
      <c r="R702" s="599"/>
      <c r="S702" s="599"/>
      <c r="T702" s="599"/>
    </row>
    <row r="703" spans="1:20" ht="11.25" customHeight="1">
      <c r="A703" s="599"/>
      <c r="B703" s="599"/>
      <c r="C703" s="599"/>
      <c r="D703" s="599"/>
      <c r="E703" s="599"/>
      <c r="F703" s="599"/>
      <c r="G703" s="600"/>
      <c r="H703" s="599"/>
      <c r="I703" s="599"/>
      <c r="J703" s="599"/>
      <c r="K703" s="599"/>
      <c r="L703" s="599"/>
      <c r="M703" s="599"/>
      <c r="N703" s="599"/>
      <c r="O703" s="599"/>
      <c r="P703" s="599"/>
      <c r="Q703" s="599"/>
      <c r="R703" s="599"/>
      <c r="S703" s="599"/>
      <c r="T703" s="599"/>
    </row>
    <row r="704" spans="1:20" ht="11.25" customHeight="1">
      <c r="A704" s="599"/>
      <c r="B704" s="599"/>
      <c r="C704" s="599"/>
      <c r="D704" s="599"/>
      <c r="E704" s="599"/>
      <c r="F704" s="599"/>
      <c r="G704" s="600"/>
      <c r="H704" s="599"/>
      <c r="I704" s="599"/>
      <c r="J704" s="599"/>
      <c r="K704" s="599"/>
      <c r="L704" s="599"/>
      <c r="M704" s="599"/>
      <c r="N704" s="599"/>
      <c r="O704" s="599"/>
      <c r="P704" s="599"/>
      <c r="Q704" s="599"/>
      <c r="R704" s="599"/>
      <c r="S704" s="599"/>
      <c r="T704" s="599"/>
    </row>
    <row r="705" spans="1:20" ht="11.25" customHeight="1">
      <c r="A705" s="599"/>
      <c r="B705" s="599"/>
      <c r="C705" s="599"/>
      <c r="D705" s="599"/>
      <c r="E705" s="599"/>
      <c r="F705" s="599"/>
      <c r="G705" s="600"/>
      <c r="H705" s="599"/>
      <c r="I705" s="599"/>
      <c r="J705" s="599"/>
      <c r="K705" s="599"/>
      <c r="L705" s="599"/>
      <c r="M705" s="599"/>
      <c r="N705" s="599"/>
      <c r="O705" s="599"/>
      <c r="P705" s="599"/>
      <c r="Q705" s="599"/>
      <c r="R705" s="599"/>
      <c r="S705" s="599"/>
      <c r="T705" s="599"/>
    </row>
    <row r="706" spans="1:20" ht="11.25" customHeight="1">
      <c r="A706" s="599"/>
      <c r="B706" s="599"/>
      <c r="C706" s="599"/>
      <c r="D706" s="599"/>
      <c r="E706" s="599"/>
      <c r="F706" s="599"/>
      <c r="G706" s="600"/>
      <c r="H706" s="599"/>
      <c r="I706" s="599"/>
      <c r="J706" s="599"/>
      <c r="K706" s="599"/>
      <c r="L706" s="599"/>
      <c r="M706" s="599"/>
      <c r="N706" s="599"/>
      <c r="O706" s="599"/>
      <c r="P706" s="599"/>
      <c r="Q706" s="599"/>
      <c r="R706" s="599"/>
      <c r="S706" s="599"/>
      <c r="T706" s="599"/>
    </row>
    <row r="707" spans="1:20" ht="11.25" customHeight="1">
      <c r="A707" s="599"/>
      <c r="B707" s="599"/>
      <c r="C707" s="599"/>
      <c r="D707" s="599"/>
      <c r="E707" s="599"/>
      <c r="F707" s="599"/>
      <c r="G707" s="600"/>
      <c r="H707" s="599"/>
      <c r="I707" s="599"/>
      <c r="J707" s="599"/>
      <c r="K707" s="599"/>
      <c r="L707" s="599"/>
      <c r="M707" s="599"/>
      <c r="N707" s="599"/>
      <c r="O707" s="599"/>
      <c r="P707" s="599"/>
      <c r="Q707" s="599"/>
      <c r="R707" s="599"/>
      <c r="S707" s="599"/>
      <c r="T707" s="599"/>
    </row>
    <row r="708" spans="1:20" ht="11.25" customHeight="1">
      <c r="A708" s="599"/>
      <c r="B708" s="599"/>
      <c r="C708" s="599"/>
      <c r="D708" s="599"/>
      <c r="E708" s="599"/>
      <c r="F708" s="599"/>
      <c r="G708" s="600"/>
      <c r="H708" s="599"/>
      <c r="I708" s="599"/>
      <c r="J708" s="599"/>
      <c r="K708" s="599"/>
      <c r="L708" s="599"/>
      <c r="M708" s="599"/>
      <c r="N708" s="599"/>
      <c r="O708" s="599"/>
      <c r="P708" s="599"/>
      <c r="Q708" s="599"/>
      <c r="R708" s="599"/>
      <c r="S708" s="599"/>
      <c r="T708" s="599"/>
    </row>
    <row r="709" spans="1:20" ht="11.25" customHeight="1">
      <c r="A709" s="599"/>
      <c r="B709" s="599"/>
      <c r="C709" s="599"/>
      <c r="D709" s="599"/>
      <c r="E709" s="599"/>
      <c r="F709" s="599"/>
      <c r="G709" s="600"/>
      <c r="H709" s="599"/>
      <c r="I709" s="599"/>
      <c r="J709" s="599"/>
      <c r="K709" s="599"/>
      <c r="L709" s="599"/>
      <c r="M709" s="599"/>
      <c r="N709" s="599"/>
      <c r="O709" s="599"/>
      <c r="P709" s="599"/>
      <c r="Q709" s="599"/>
      <c r="R709" s="599"/>
      <c r="S709" s="599"/>
      <c r="T709" s="599"/>
    </row>
    <row r="710" spans="1:20" ht="11.25" customHeight="1">
      <c r="A710" s="599"/>
      <c r="B710" s="599"/>
      <c r="C710" s="599"/>
      <c r="D710" s="599"/>
      <c r="E710" s="599"/>
      <c r="F710" s="599"/>
      <c r="G710" s="600"/>
      <c r="H710" s="599"/>
      <c r="I710" s="599"/>
      <c r="J710" s="599"/>
      <c r="K710" s="599"/>
      <c r="L710" s="599"/>
      <c r="M710" s="599"/>
      <c r="N710" s="599"/>
      <c r="O710" s="599"/>
      <c r="P710" s="599"/>
      <c r="Q710" s="599"/>
      <c r="R710" s="599"/>
      <c r="S710" s="599"/>
      <c r="T710" s="599"/>
    </row>
    <row r="711" spans="1:20" ht="11.25" customHeight="1">
      <c r="A711" s="599"/>
      <c r="B711" s="599"/>
      <c r="C711" s="599"/>
      <c r="D711" s="599"/>
      <c r="E711" s="599"/>
      <c r="F711" s="599"/>
      <c r="G711" s="600"/>
      <c r="H711" s="599"/>
      <c r="I711" s="599"/>
      <c r="J711" s="599"/>
      <c r="K711" s="599"/>
      <c r="L711" s="599"/>
      <c r="M711" s="599"/>
      <c r="N711" s="599"/>
      <c r="O711" s="599"/>
      <c r="P711" s="599"/>
      <c r="Q711" s="599"/>
      <c r="R711" s="599"/>
      <c r="S711" s="599"/>
      <c r="T711" s="599"/>
    </row>
    <row r="712" spans="1:20" ht="11.25" customHeight="1">
      <c r="A712" s="599"/>
      <c r="B712" s="599"/>
      <c r="C712" s="599"/>
      <c r="D712" s="599"/>
      <c r="E712" s="599"/>
      <c r="F712" s="599"/>
      <c r="G712" s="600"/>
      <c r="H712" s="599"/>
      <c r="I712" s="599"/>
      <c r="J712" s="599"/>
      <c r="K712" s="599"/>
      <c r="L712" s="599"/>
      <c r="M712" s="599"/>
      <c r="N712" s="599"/>
      <c r="O712" s="599"/>
      <c r="P712" s="599"/>
      <c r="Q712" s="599"/>
      <c r="R712" s="599"/>
      <c r="S712" s="599"/>
      <c r="T712" s="599"/>
    </row>
    <row r="713" spans="1:20" ht="11.25" customHeight="1">
      <c r="A713" s="599"/>
      <c r="B713" s="599"/>
      <c r="C713" s="599"/>
      <c r="D713" s="599"/>
      <c r="E713" s="599"/>
      <c r="F713" s="599"/>
      <c r="G713" s="600"/>
      <c r="H713" s="599"/>
      <c r="I713" s="599"/>
      <c r="J713" s="599"/>
      <c r="K713" s="599"/>
      <c r="L713" s="599"/>
      <c r="M713" s="599"/>
      <c r="N713" s="599"/>
      <c r="O713" s="599"/>
      <c r="P713" s="599"/>
      <c r="Q713" s="599"/>
      <c r="R713" s="599"/>
      <c r="S713" s="599"/>
      <c r="T713" s="599"/>
    </row>
    <row r="714" spans="1:20" ht="11.25" customHeight="1">
      <c r="A714" s="599"/>
      <c r="B714" s="599"/>
      <c r="C714" s="599"/>
      <c r="D714" s="599"/>
      <c r="E714" s="599"/>
      <c r="F714" s="599"/>
      <c r="G714" s="600"/>
      <c r="H714" s="599"/>
      <c r="I714" s="599"/>
      <c r="J714" s="599"/>
      <c r="K714" s="599"/>
      <c r="L714" s="599"/>
      <c r="M714" s="599"/>
      <c r="N714" s="599"/>
      <c r="O714" s="599"/>
      <c r="P714" s="599"/>
      <c r="Q714" s="599"/>
      <c r="R714" s="599"/>
      <c r="S714" s="599"/>
      <c r="T714" s="599"/>
    </row>
    <row r="715" spans="1:20" ht="11.25" customHeight="1">
      <c r="A715" s="599"/>
      <c r="B715" s="599"/>
      <c r="C715" s="599"/>
      <c r="D715" s="599"/>
      <c r="E715" s="599"/>
      <c r="F715" s="599"/>
      <c r="G715" s="600"/>
      <c r="H715" s="599"/>
      <c r="I715" s="599"/>
      <c r="J715" s="599"/>
      <c r="K715" s="599"/>
      <c r="L715" s="599"/>
      <c r="M715" s="599"/>
      <c r="N715" s="599"/>
      <c r="O715" s="599"/>
      <c r="P715" s="599"/>
      <c r="Q715" s="599"/>
      <c r="R715" s="599"/>
      <c r="S715" s="599"/>
      <c r="T715" s="599"/>
    </row>
    <row r="716" spans="1:20" ht="11.25" customHeight="1">
      <c r="A716" s="599"/>
      <c r="B716" s="599"/>
      <c r="C716" s="599"/>
      <c r="D716" s="599"/>
      <c r="E716" s="599"/>
      <c r="F716" s="599"/>
      <c r="G716" s="600"/>
      <c r="H716" s="599"/>
      <c r="I716" s="599"/>
      <c r="J716" s="599"/>
      <c r="K716" s="599"/>
      <c r="L716" s="599"/>
      <c r="M716" s="599"/>
      <c r="N716" s="599"/>
      <c r="O716" s="599"/>
      <c r="P716" s="599"/>
      <c r="Q716" s="599"/>
      <c r="R716" s="599"/>
      <c r="S716" s="599"/>
      <c r="T716" s="599"/>
    </row>
    <row r="717" spans="1:20" ht="11.25" customHeight="1">
      <c r="A717" s="599"/>
      <c r="B717" s="599"/>
      <c r="C717" s="599"/>
      <c r="D717" s="599"/>
      <c r="E717" s="599"/>
      <c r="F717" s="599"/>
      <c r="G717" s="600"/>
      <c r="H717" s="599"/>
      <c r="I717" s="599"/>
      <c r="J717" s="599"/>
      <c r="K717" s="599"/>
      <c r="L717" s="599"/>
      <c r="M717" s="599"/>
      <c r="N717" s="599"/>
      <c r="O717" s="599"/>
      <c r="P717" s="599"/>
      <c r="Q717" s="599"/>
      <c r="R717" s="599"/>
      <c r="S717" s="599"/>
      <c r="T717" s="599"/>
    </row>
    <row r="718" spans="1:20" ht="11.25" customHeight="1">
      <c r="A718" s="599"/>
      <c r="B718" s="599"/>
      <c r="C718" s="599"/>
      <c r="D718" s="599"/>
      <c r="E718" s="599"/>
      <c r="F718" s="599"/>
      <c r="G718" s="600"/>
      <c r="H718" s="599"/>
      <c r="I718" s="599"/>
      <c r="J718" s="599"/>
      <c r="K718" s="599"/>
      <c r="L718" s="599"/>
      <c r="M718" s="599"/>
      <c r="N718" s="599"/>
      <c r="O718" s="599"/>
      <c r="P718" s="599"/>
      <c r="Q718" s="599"/>
      <c r="R718" s="599"/>
      <c r="S718" s="599"/>
      <c r="T718" s="599"/>
    </row>
    <row r="719" spans="1:20" ht="11.25" customHeight="1">
      <c r="A719" s="599"/>
      <c r="B719" s="599"/>
      <c r="C719" s="599"/>
      <c r="D719" s="599"/>
      <c r="E719" s="599"/>
      <c r="F719" s="599"/>
      <c r="G719" s="600"/>
      <c r="H719" s="599"/>
      <c r="I719" s="599"/>
      <c r="J719" s="599"/>
      <c r="K719" s="599"/>
      <c r="L719" s="599"/>
      <c r="M719" s="599"/>
      <c r="N719" s="599"/>
      <c r="O719" s="599"/>
      <c r="P719" s="599"/>
      <c r="Q719" s="599"/>
      <c r="R719" s="599"/>
      <c r="S719" s="599"/>
      <c r="T719" s="599"/>
    </row>
    <row r="720" spans="1:20" ht="11.25" customHeight="1">
      <c r="A720" s="599"/>
      <c r="B720" s="599"/>
      <c r="C720" s="599"/>
      <c r="D720" s="599"/>
      <c r="E720" s="599"/>
      <c r="F720" s="599"/>
      <c r="G720" s="600"/>
      <c r="H720" s="599"/>
      <c r="I720" s="599"/>
      <c r="J720" s="599"/>
      <c r="K720" s="599"/>
      <c r="L720" s="599"/>
      <c r="M720" s="599"/>
      <c r="N720" s="599"/>
      <c r="O720" s="599"/>
      <c r="P720" s="599"/>
      <c r="Q720" s="599"/>
      <c r="R720" s="599"/>
      <c r="S720" s="599"/>
      <c r="T720" s="599"/>
    </row>
    <row r="721" spans="1:20" ht="11.25" customHeight="1">
      <c r="A721" s="599"/>
      <c r="B721" s="599"/>
      <c r="C721" s="599"/>
      <c r="D721" s="599"/>
      <c r="E721" s="599"/>
      <c r="F721" s="599"/>
      <c r="G721" s="600"/>
      <c r="H721" s="599"/>
      <c r="I721" s="599"/>
      <c r="J721" s="599"/>
      <c r="K721" s="599"/>
      <c r="L721" s="599"/>
      <c r="M721" s="599"/>
      <c r="N721" s="599"/>
      <c r="O721" s="599"/>
      <c r="P721" s="599"/>
      <c r="Q721" s="599"/>
      <c r="R721" s="599"/>
      <c r="S721" s="599"/>
      <c r="T721" s="599"/>
    </row>
    <row r="722" spans="1:20" ht="11.25" customHeight="1">
      <c r="A722" s="599"/>
      <c r="B722" s="599"/>
      <c r="C722" s="599"/>
      <c r="D722" s="599"/>
      <c r="E722" s="599"/>
      <c r="F722" s="599"/>
      <c r="G722" s="600"/>
      <c r="H722" s="599"/>
      <c r="I722" s="599"/>
      <c r="J722" s="599"/>
      <c r="K722" s="599"/>
      <c r="L722" s="599"/>
      <c r="M722" s="599"/>
      <c r="N722" s="599"/>
      <c r="O722" s="599"/>
      <c r="P722" s="599"/>
      <c r="Q722" s="599"/>
      <c r="R722" s="599"/>
      <c r="S722" s="599"/>
      <c r="T722" s="599"/>
    </row>
    <row r="723" spans="1:20" ht="11.25" customHeight="1">
      <c r="A723" s="599"/>
      <c r="B723" s="599"/>
      <c r="C723" s="599"/>
      <c r="D723" s="599"/>
      <c r="E723" s="599"/>
      <c r="F723" s="599"/>
      <c r="G723" s="600"/>
      <c r="H723" s="599"/>
      <c r="I723" s="599"/>
      <c r="J723" s="599"/>
      <c r="K723" s="599"/>
      <c r="L723" s="599"/>
      <c r="M723" s="599"/>
      <c r="N723" s="599"/>
      <c r="O723" s="599"/>
      <c r="P723" s="599"/>
      <c r="Q723" s="599"/>
      <c r="R723" s="599"/>
      <c r="S723" s="599"/>
      <c r="T723" s="599"/>
    </row>
    <row r="724" spans="1:20" ht="11.25" customHeight="1">
      <c r="A724" s="599"/>
      <c r="B724" s="599"/>
      <c r="C724" s="599"/>
      <c r="D724" s="599"/>
      <c r="E724" s="599"/>
      <c r="F724" s="599"/>
      <c r="G724" s="600"/>
      <c r="H724" s="599"/>
      <c r="I724" s="599"/>
      <c r="J724" s="599"/>
      <c r="K724" s="599"/>
      <c r="L724" s="599"/>
      <c r="M724" s="599"/>
      <c r="N724" s="599"/>
      <c r="O724" s="599"/>
      <c r="P724" s="599"/>
      <c r="Q724" s="599"/>
      <c r="R724" s="599"/>
      <c r="S724" s="599"/>
      <c r="T724" s="599"/>
    </row>
    <row r="725" spans="1:20" ht="11.25" customHeight="1">
      <c r="A725" s="599"/>
      <c r="B725" s="599"/>
      <c r="C725" s="599"/>
      <c r="D725" s="599"/>
      <c r="E725" s="599"/>
      <c r="F725" s="599"/>
      <c r="G725" s="600"/>
      <c r="H725" s="599"/>
      <c r="I725" s="599"/>
      <c r="J725" s="599"/>
      <c r="K725" s="599"/>
      <c r="L725" s="599"/>
      <c r="M725" s="599"/>
      <c r="N725" s="599"/>
      <c r="O725" s="599"/>
      <c r="P725" s="599"/>
      <c r="Q725" s="599"/>
      <c r="R725" s="599"/>
      <c r="S725" s="599"/>
      <c r="T725" s="599"/>
    </row>
    <row r="726" spans="1:20" ht="11.25" customHeight="1">
      <c r="A726" s="599"/>
      <c r="B726" s="599"/>
      <c r="C726" s="599"/>
      <c r="D726" s="599"/>
      <c r="E726" s="599"/>
      <c r="F726" s="599"/>
      <c r="G726" s="600"/>
      <c r="H726" s="599"/>
      <c r="I726" s="599"/>
      <c r="J726" s="599"/>
      <c r="K726" s="599"/>
      <c r="L726" s="599"/>
      <c r="M726" s="599"/>
      <c r="N726" s="599"/>
      <c r="O726" s="599"/>
      <c r="P726" s="599"/>
      <c r="Q726" s="599"/>
      <c r="R726" s="599"/>
      <c r="S726" s="599"/>
      <c r="T726" s="599"/>
    </row>
    <row r="727" spans="1:20" ht="11.25" customHeight="1">
      <c r="A727" s="599"/>
      <c r="B727" s="599"/>
      <c r="C727" s="599"/>
      <c r="D727" s="599"/>
      <c r="E727" s="599"/>
      <c r="F727" s="599"/>
      <c r="G727" s="600"/>
      <c r="H727" s="599"/>
      <c r="I727" s="599"/>
      <c r="J727" s="599"/>
      <c r="K727" s="599"/>
      <c r="L727" s="599"/>
      <c r="M727" s="599"/>
      <c r="N727" s="599"/>
      <c r="O727" s="599"/>
      <c r="P727" s="599"/>
      <c r="Q727" s="599"/>
      <c r="R727" s="599"/>
      <c r="S727" s="599"/>
      <c r="T727" s="599"/>
    </row>
    <row r="728" spans="1:20" ht="11.25" customHeight="1">
      <c r="A728" s="599"/>
      <c r="B728" s="599"/>
      <c r="C728" s="599"/>
      <c r="D728" s="599"/>
      <c r="E728" s="599"/>
      <c r="F728" s="599"/>
      <c r="G728" s="600"/>
      <c r="H728" s="599"/>
      <c r="I728" s="599"/>
      <c r="J728" s="599"/>
      <c r="K728" s="599"/>
      <c r="L728" s="599"/>
      <c r="M728" s="599"/>
      <c r="N728" s="599"/>
      <c r="O728" s="599"/>
      <c r="P728" s="599"/>
      <c r="Q728" s="599"/>
      <c r="R728" s="599"/>
      <c r="S728" s="599"/>
      <c r="T728" s="599"/>
    </row>
    <row r="729" spans="1:20" ht="11.25" customHeight="1">
      <c r="A729" s="599"/>
      <c r="B729" s="599"/>
      <c r="C729" s="599"/>
      <c r="D729" s="599"/>
      <c r="E729" s="599"/>
      <c r="F729" s="599"/>
      <c r="G729" s="600"/>
      <c r="H729" s="599"/>
      <c r="I729" s="599"/>
      <c r="J729" s="599"/>
      <c r="K729" s="599"/>
      <c r="L729" s="599"/>
      <c r="M729" s="599"/>
      <c r="N729" s="599"/>
      <c r="O729" s="599"/>
      <c r="P729" s="599"/>
      <c r="Q729" s="599"/>
      <c r="R729" s="599"/>
      <c r="S729" s="599"/>
      <c r="T729" s="599"/>
    </row>
    <row r="730" spans="1:20" ht="11.25" customHeight="1">
      <c r="A730" s="599"/>
      <c r="B730" s="599"/>
      <c r="C730" s="599"/>
      <c r="D730" s="599"/>
      <c r="E730" s="599"/>
      <c r="F730" s="599"/>
      <c r="G730" s="600"/>
      <c r="H730" s="599"/>
      <c r="I730" s="599"/>
      <c r="J730" s="599"/>
      <c r="K730" s="599"/>
      <c r="L730" s="599"/>
      <c r="M730" s="599"/>
      <c r="N730" s="599"/>
      <c r="O730" s="599"/>
      <c r="P730" s="599"/>
      <c r="Q730" s="599"/>
      <c r="R730" s="599"/>
      <c r="S730" s="599"/>
      <c r="T730" s="599"/>
    </row>
    <row r="731" spans="1:20" ht="11.25" customHeight="1">
      <c r="A731" s="599"/>
      <c r="B731" s="599"/>
      <c r="C731" s="599"/>
      <c r="D731" s="599"/>
      <c r="E731" s="599"/>
      <c r="F731" s="599"/>
      <c r="G731" s="600"/>
      <c r="H731" s="599"/>
      <c r="I731" s="599"/>
      <c r="J731" s="599"/>
      <c r="K731" s="599"/>
      <c r="L731" s="599"/>
      <c r="M731" s="599"/>
      <c r="N731" s="599"/>
      <c r="O731" s="599"/>
      <c r="P731" s="599"/>
      <c r="Q731" s="599"/>
      <c r="R731" s="599"/>
      <c r="S731" s="599"/>
      <c r="T731" s="599"/>
    </row>
    <row r="732" spans="1:20" ht="11.25" customHeight="1">
      <c r="A732" s="599"/>
      <c r="B732" s="599"/>
      <c r="C732" s="599"/>
      <c r="D732" s="599"/>
      <c r="E732" s="599"/>
      <c r="F732" s="599"/>
      <c r="G732" s="600"/>
      <c r="H732" s="599"/>
      <c r="I732" s="599"/>
      <c r="J732" s="599"/>
      <c r="K732" s="599"/>
      <c r="L732" s="599"/>
      <c r="M732" s="599"/>
      <c r="N732" s="599"/>
      <c r="O732" s="599"/>
      <c r="P732" s="599"/>
      <c r="Q732" s="599"/>
      <c r="R732" s="599"/>
      <c r="S732" s="599"/>
      <c r="T732" s="599"/>
    </row>
    <row r="733" spans="1:20" ht="11.25" customHeight="1">
      <c r="A733" s="599"/>
      <c r="B733" s="599"/>
      <c r="C733" s="599"/>
      <c r="D733" s="599"/>
      <c r="E733" s="599"/>
      <c r="F733" s="599"/>
      <c r="G733" s="600"/>
      <c r="H733" s="599"/>
      <c r="I733" s="599"/>
      <c r="J733" s="599"/>
      <c r="K733" s="599"/>
      <c r="L733" s="599"/>
      <c r="M733" s="599"/>
      <c r="N733" s="599"/>
      <c r="O733" s="599"/>
      <c r="P733" s="599"/>
      <c r="Q733" s="599"/>
      <c r="R733" s="599"/>
      <c r="S733" s="599"/>
      <c r="T733" s="599"/>
    </row>
    <row r="734" spans="1:20" ht="11.25" customHeight="1">
      <c r="A734" s="599"/>
      <c r="B734" s="599"/>
      <c r="C734" s="599"/>
      <c r="D734" s="599"/>
      <c r="E734" s="599"/>
      <c r="F734" s="599"/>
      <c r="G734" s="600"/>
      <c r="H734" s="599"/>
      <c r="I734" s="599"/>
      <c r="J734" s="599"/>
      <c r="K734" s="599"/>
      <c r="L734" s="599"/>
      <c r="M734" s="599"/>
      <c r="N734" s="599"/>
      <c r="O734" s="599"/>
      <c r="P734" s="599"/>
      <c r="Q734" s="599"/>
      <c r="R734" s="599"/>
      <c r="S734" s="599"/>
      <c r="T734" s="599"/>
    </row>
    <row r="735" spans="1:20" ht="11.25" customHeight="1">
      <c r="A735" s="599"/>
      <c r="B735" s="599"/>
      <c r="C735" s="599"/>
      <c r="D735" s="599"/>
      <c r="E735" s="599"/>
      <c r="F735" s="599"/>
      <c r="G735" s="600"/>
      <c r="H735" s="599"/>
      <c r="I735" s="599"/>
      <c r="J735" s="599"/>
      <c r="K735" s="599"/>
      <c r="L735" s="599"/>
      <c r="M735" s="599"/>
      <c r="N735" s="599"/>
      <c r="O735" s="599"/>
      <c r="P735" s="599"/>
      <c r="Q735" s="599"/>
      <c r="R735" s="599"/>
      <c r="S735" s="599"/>
      <c r="T735" s="599"/>
    </row>
    <row r="736" spans="1:20" ht="11.25" customHeight="1">
      <c r="A736" s="599"/>
      <c r="B736" s="599"/>
      <c r="C736" s="599"/>
      <c r="D736" s="599"/>
      <c r="E736" s="599"/>
      <c r="F736" s="599"/>
      <c r="G736" s="600"/>
      <c r="H736" s="599"/>
      <c r="I736" s="599"/>
      <c r="J736" s="599"/>
      <c r="K736" s="599"/>
      <c r="L736" s="599"/>
      <c r="M736" s="599"/>
      <c r="N736" s="599"/>
      <c r="O736" s="599"/>
      <c r="P736" s="599"/>
      <c r="Q736" s="599"/>
      <c r="R736" s="599"/>
      <c r="S736" s="599"/>
      <c r="T736" s="599"/>
    </row>
    <row r="737" spans="1:20" ht="11.25" customHeight="1">
      <c r="A737" s="599"/>
      <c r="B737" s="599"/>
      <c r="C737" s="599"/>
      <c r="D737" s="599"/>
      <c r="E737" s="599"/>
      <c r="F737" s="599"/>
      <c r="G737" s="600"/>
      <c r="H737" s="599"/>
      <c r="I737" s="599"/>
      <c r="J737" s="599"/>
      <c r="K737" s="599"/>
      <c r="L737" s="599"/>
      <c r="M737" s="599"/>
      <c r="N737" s="599"/>
      <c r="O737" s="599"/>
      <c r="P737" s="599"/>
      <c r="Q737" s="599"/>
      <c r="R737" s="599"/>
      <c r="S737" s="599"/>
      <c r="T737" s="599"/>
    </row>
    <row r="738" spans="1:20" ht="11.25" customHeight="1">
      <c r="A738" s="599"/>
      <c r="B738" s="599"/>
      <c r="C738" s="599"/>
      <c r="D738" s="599"/>
      <c r="E738" s="599"/>
      <c r="F738" s="599"/>
      <c r="G738" s="600"/>
      <c r="H738" s="599"/>
      <c r="I738" s="599"/>
      <c r="J738" s="599"/>
      <c r="K738" s="599"/>
      <c r="L738" s="599"/>
      <c r="M738" s="599"/>
      <c r="N738" s="599"/>
      <c r="O738" s="599"/>
      <c r="P738" s="599"/>
      <c r="Q738" s="599"/>
      <c r="R738" s="599"/>
      <c r="S738" s="599"/>
      <c r="T738" s="599"/>
    </row>
    <row r="739" spans="1:20" ht="11.25" customHeight="1">
      <c r="A739" s="599"/>
      <c r="B739" s="599"/>
      <c r="C739" s="599"/>
      <c r="D739" s="599"/>
      <c r="E739" s="599"/>
      <c r="F739" s="599"/>
      <c r="G739" s="600"/>
      <c r="H739" s="599"/>
      <c r="I739" s="599"/>
      <c r="J739" s="599"/>
      <c r="K739" s="599"/>
      <c r="L739" s="599"/>
      <c r="M739" s="599"/>
      <c r="N739" s="599"/>
      <c r="O739" s="599"/>
      <c r="P739" s="599"/>
      <c r="Q739" s="599"/>
      <c r="R739" s="599"/>
      <c r="S739" s="599"/>
      <c r="T739" s="599"/>
    </row>
    <row r="740" spans="1:20" ht="11.25" customHeight="1">
      <c r="A740" s="599"/>
      <c r="B740" s="599"/>
      <c r="C740" s="599"/>
      <c r="D740" s="599"/>
      <c r="E740" s="599"/>
      <c r="F740" s="599"/>
      <c r="G740" s="600"/>
      <c r="H740" s="599"/>
      <c r="I740" s="599"/>
      <c r="J740" s="599"/>
      <c r="K740" s="599"/>
      <c r="L740" s="599"/>
      <c r="M740" s="599"/>
      <c r="N740" s="599"/>
      <c r="O740" s="599"/>
      <c r="P740" s="599"/>
      <c r="Q740" s="599"/>
      <c r="R740" s="599"/>
      <c r="S740" s="599"/>
      <c r="T740" s="599"/>
    </row>
    <row r="741" spans="1:20" ht="11.25" customHeight="1">
      <c r="A741" s="599"/>
      <c r="B741" s="599"/>
      <c r="C741" s="599"/>
      <c r="D741" s="599"/>
      <c r="E741" s="599"/>
      <c r="F741" s="599"/>
      <c r="G741" s="600"/>
      <c r="H741" s="599"/>
      <c r="I741" s="599"/>
      <c r="J741" s="599"/>
      <c r="K741" s="599"/>
      <c r="L741" s="599"/>
      <c r="M741" s="599"/>
      <c r="N741" s="599"/>
      <c r="O741" s="599"/>
      <c r="P741" s="599"/>
      <c r="Q741" s="599"/>
      <c r="R741" s="599"/>
      <c r="S741" s="599"/>
      <c r="T741" s="599"/>
    </row>
    <row r="742" spans="1:20" ht="11.25" customHeight="1">
      <c r="A742" s="599"/>
      <c r="B742" s="599"/>
      <c r="C742" s="599"/>
      <c r="D742" s="599"/>
      <c r="E742" s="599"/>
      <c r="F742" s="599"/>
      <c r="G742" s="600"/>
      <c r="H742" s="599"/>
      <c r="I742" s="599"/>
      <c r="J742" s="599"/>
      <c r="K742" s="599"/>
      <c r="L742" s="599"/>
      <c r="M742" s="599"/>
      <c r="N742" s="599"/>
      <c r="O742" s="599"/>
      <c r="P742" s="599"/>
      <c r="Q742" s="599"/>
      <c r="R742" s="599"/>
      <c r="S742" s="599"/>
      <c r="T742" s="599"/>
    </row>
    <row r="743" spans="1:20" ht="11.25" customHeight="1">
      <c r="A743" s="599"/>
      <c r="B743" s="599"/>
      <c r="C743" s="599"/>
      <c r="D743" s="599"/>
      <c r="E743" s="599"/>
      <c r="F743" s="599"/>
      <c r="G743" s="600"/>
      <c r="H743" s="599"/>
      <c r="I743" s="599"/>
      <c r="J743" s="599"/>
      <c r="K743" s="599"/>
      <c r="L743" s="599"/>
      <c r="M743" s="599"/>
      <c r="N743" s="599"/>
      <c r="O743" s="599"/>
      <c r="P743" s="599"/>
      <c r="Q743" s="599"/>
      <c r="R743" s="599"/>
      <c r="S743" s="599"/>
      <c r="T743" s="599"/>
    </row>
    <row r="744" spans="1:20" ht="11.25" customHeight="1">
      <c r="A744" s="599"/>
      <c r="B744" s="599"/>
      <c r="C744" s="599"/>
      <c r="D744" s="599"/>
      <c r="E744" s="599"/>
      <c r="F744" s="599"/>
      <c r="G744" s="600"/>
      <c r="H744" s="599"/>
      <c r="I744" s="599"/>
      <c r="J744" s="599"/>
      <c r="K744" s="599"/>
      <c r="L744" s="599"/>
      <c r="M744" s="599"/>
      <c r="N744" s="599"/>
      <c r="O744" s="599"/>
      <c r="P744" s="599"/>
      <c r="Q744" s="599"/>
      <c r="R744" s="599"/>
      <c r="S744" s="599"/>
      <c r="T744" s="599"/>
    </row>
    <row r="745" spans="1:20" ht="11.25" customHeight="1">
      <c r="A745" s="599"/>
      <c r="B745" s="599"/>
      <c r="C745" s="599"/>
      <c r="D745" s="599"/>
      <c r="E745" s="599"/>
      <c r="F745" s="599"/>
      <c r="G745" s="600"/>
      <c r="H745" s="599"/>
      <c r="I745" s="599"/>
      <c r="J745" s="599"/>
      <c r="K745" s="599"/>
      <c r="L745" s="599"/>
      <c r="M745" s="599"/>
      <c r="N745" s="599"/>
      <c r="O745" s="599"/>
      <c r="P745" s="599"/>
      <c r="Q745" s="599"/>
      <c r="R745" s="599"/>
      <c r="S745" s="599"/>
      <c r="T745" s="599"/>
    </row>
    <row r="746" spans="1:20" ht="11.25" customHeight="1">
      <c r="A746" s="599"/>
      <c r="B746" s="599"/>
      <c r="C746" s="599"/>
      <c r="D746" s="599"/>
      <c r="E746" s="599"/>
      <c r="F746" s="599"/>
      <c r="G746" s="600"/>
      <c r="H746" s="599"/>
      <c r="I746" s="599"/>
      <c r="J746" s="599"/>
      <c r="K746" s="599"/>
      <c r="L746" s="599"/>
      <c r="M746" s="599"/>
      <c r="N746" s="599"/>
      <c r="O746" s="599"/>
      <c r="P746" s="599"/>
      <c r="Q746" s="599"/>
      <c r="R746" s="599"/>
      <c r="S746" s="599"/>
      <c r="T746" s="599"/>
    </row>
    <row r="747" spans="1:20" ht="11.25" customHeight="1">
      <c r="A747" s="599"/>
      <c r="B747" s="599"/>
      <c r="C747" s="599"/>
      <c r="D747" s="599"/>
      <c r="E747" s="599"/>
      <c r="F747" s="599"/>
      <c r="G747" s="600"/>
      <c r="H747" s="599"/>
      <c r="I747" s="599"/>
      <c r="J747" s="599"/>
      <c r="K747" s="599"/>
      <c r="L747" s="599"/>
      <c r="M747" s="599"/>
      <c r="N747" s="599"/>
      <c r="O747" s="599"/>
      <c r="P747" s="599"/>
      <c r="Q747" s="599"/>
      <c r="R747" s="599"/>
      <c r="S747" s="599"/>
      <c r="T747" s="599"/>
    </row>
    <row r="748" spans="1:20" ht="11.25" customHeight="1">
      <c r="A748" s="599"/>
      <c r="B748" s="599"/>
      <c r="C748" s="599"/>
      <c r="D748" s="599"/>
      <c r="E748" s="599"/>
      <c r="F748" s="599"/>
      <c r="G748" s="600"/>
      <c r="H748" s="599"/>
      <c r="I748" s="599"/>
      <c r="J748" s="599"/>
      <c r="K748" s="599"/>
      <c r="L748" s="599"/>
      <c r="M748" s="599"/>
      <c r="N748" s="599"/>
      <c r="O748" s="599"/>
      <c r="P748" s="599"/>
      <c r="Q748" s="599"/>
      <c r="R748" s="599"/>
      <c r="S748" s="599"/>
      <c r="T748" s="599"/>
    </row>
    <row r="749" spans="1:20" ht="11.25" customHeight="1">
      <c r="A749" s="599"/>
      <c r="B749" s="599"/>
      <c r="C749" s="599"/>
      <c r="D749" s="599"/>
      <c r="E749" s="599"/>
      <c r="F749" s="599"/>
      <c r="G749" s="600"/>
      <c r="H749" s="599"/>
      <c r="I749" s="599"/>
      <c r="J749" s="599"/>
      <c r="K749" s="599"/>
      <c r="L749" s="599"/>
      <c r="M749" s="599"/>
      <c r="N749" s="599"/>
      <c r="O749" s="599"/>
      <c r="P749" s="599"/>
      <c r="Q749" s="599"/>
      <c r="R749" s="599"/>
      <c r="S749" s="599"/>
      <c r="T749" s="599"/>
    </row>
    <row r="750" spans="1:20" ht="11.25" customHeight="1">
      <c r="A750" s="599"/>
      <c r="B750" s="599"/>
      <c r="C750" s="599"/>
      <c r="D750" s="599"/>
      <c r="E750" s="599"/>
      <c r="F750" s="599"/>
      <c r="G750" s="600"/>
      <c r="H750" s="599"/>
      <c r="I750" s="599"/>
      <c r="J750" s="599"/>
      <c r="K750" s="599"/>
      <c r="L750" s="599"/>
      <c r="M750" s="599"/>
      <c r="N750" s="599"/>
      <c r="O750" s="599"/>
      <c r="P750" s="599"/>
      <c r="Q750" s="599"/>
      <c r="R750" s="599"/>
      <c r="S750" s="599"/>
      <c r="T750" s="599"/>
    </row>
    <row r="751" spans="1:20" ht="11.25" customHeight="1">
      <c r="A751" s="599"/>
      <c r="B751" s="599"/>
      <c r="C751" s="599"/>
      <c r="D751" s="599"/>
      <c r="E751" s="599"/>
      <c r="F751" s="599"/>
      <c r="G751" s="600"/>
      <c r="H751" s="599"/>
      <c r="I751" s="599"/>
      <c r="J751" s="599"/>
      <c r="K751" s="599"/>
      <c r="L751" s="599"/>
      <c r="M751" s="599"/>
      <c r="N751" s="599"/>
      <c r="O751" s="599"/>
      <c r="P751" s="599"/>
      <c r="Q751" s="599"/>
      <c r="R751" s="599"/>
      <c r="S751" s="599"/>
      <c r="T751" s="599"/>
    </row>
    <row r="752" spans="1:20" ht="11.25" customHeight="1">
      <c r="A752" s="599"/>
      <c r="B752" s="599"/>
      <c r="C752" s="599"/>
      <c r="D752" s="599"/>
      <c r="E752" s="599"/>
      <c r="F752" s="599"/>
      <c r="G752" s="600"/>
      <c r="H752" s="599"/>
      <c r="I752" s="599"/>
      <c r="J752" s="599"/>
      <c r="K752" s="599"/>
      <c r="L752" s="599"/>
      <c r="M752" s="599"/>
      <c r="N752" s="599"/>
      <c r="O752" s="599"/>
      <c r="P752" s="599"/>
      <c r="Q752" s="599"/>
      <c r="R752" s="599"/>
      <c r="S752" s="599"/>
      <c r="T752" s="599"/>
    </row>
    <row r="753" spans="1:20" ht="11.25" customHeight="1">
      <c r="A753" s="599"/>
      <c r="B753" s="599"/>
      <c r="C753" s="599"/>
      <c r="D753" s="599"/>
      <c r="E753" s="599"/>
      <c r="F753" s="599"/>
      <c r="G753" s="600"/>
      <c r="H753" s="599"/>
      <c r="I753" s="599"/>
      <c r="J753" s="599"/>
      <c r="K753" s="599"/>
      <c r="L753" s="599"/>
      <c r="M753" s="599"/>
      <c r="N753" s="599"/>
      <c r="O753" s="599"/>
      <c r="P753" s="599"/>
      <c r="Q753" s="599"/>
      <c r="R753" s="599"/>
      <c r="S753" s="599"/>
      <c r="T753" s="599"/>
    </row>
    <row r="754" spans="1:20" ht="11.25" customHeight="1">
      <c r="A754" s="599"/>
      <c r="B754" s="599"/>
      <c r="C754" s="599"/>
      <c r="D754" s="599"/>
      <c r="E754" s="599"/>
      <c r="F754" s="599"/>
      <c r="G754" s="600"/>
      <c r="H754" s="599"/>
      <c r="I754" s="599"/>
      <c r="J754" s="599"/>
      <c r="K754" s="599"/>
      <c r="L754" s="599"/>
      <c r="M754" s="599"/>
      <c r="N754" s="599"/>
      <c r="O754" s="599"/>
      <c r="P754" s="599"/>
      <c r="Q754" s="599"/>
      <c r="R754" s="599"/>
      <c r="S754" s="599"/>
      <c r="T754" s="599"/>
    </row>
    <row r="755" spans="1:20" ht="11.25" customHeight="1">
      <c r="A755" s="599"/>
      <c r="B755" s="599"/>
      <c r="C755" s="599"/>
      <c r="D755" s="599"/>
      <c r="E755" s="599"/>
      <c r="F755" s="599"/>
      <c r="G755" s="600"/>
      <c r="H755" s="599"/>
      <c r="I755" s="599"/>
      <c r="J755" s="599"/>
      <c r="K755" s="599"/>
      <c r="L755" s="599"/>
      <c r="M755" s="599"/>
      <c r="N755" s="599"/>
      <c r="O755" s="599"/>
      <c r="P755" s="599"/>
      <c r="Q755" s="599"/>
      <c r="R755" s="599"/>
      <c r="S755" s="599"/>
      <c r="T755" s="599"/>
    </row>
    <row r="756" spans="1:20" ht="11.25" customHeight="1">
      <c r="A756" s="599"/>
      <c r="B756" s="599"/>
      <c r="C756" s="599"/>
      <c r="D756" s="599"/>
      <c r="E756" s="599"/>
      <c r="F756" s="599"/>
      <c r="G756" s="600"/>
      <c r="H756" s="599"/>
      <c r="I756" s="599"/>
      <c r="J756" s="599"/>
      <c r="K756" s="599"/>
      <c r="L756" s="599"/>
      <c r="M756" s="599"/>
      <c r="N756" s="599"/>
      <c r="O756" s="599"/>
      <c r="P756" s="599"/>
      <c r="Q756" s="599"/>
      <c r="R756" s="599"/>
      <c r="S756" s="599"/>
      <c r="T756" s="599"/>
    </row>
    <row r="757" spans="1:20" ht="11.25" customHeight="1">
      <c r="A757" s="599"/>
      <c r="B757" s="599"/>
      <c r="C757" s="599"/>
      <c r="D757" s="599"/>
      <c r="E757" s="599"/>
      <c r="F757" s="599"/>
      <c r="G757" s="600"/>
      <c r="H757" s="599"/>
      <c r="I757" s="599"/>
      <c r="J757" s="599"/>
      <c r="K757" s="599"/>
      <c r="L757" s="599"/>
      <c r="M757" s="599"/>
      <c r="N757" s="599"/>
      <c r="O757" s="599"/>
      <c r="P757" s="599"/>
      <c r="Q757" s="599"/>
      <c r="R757" s="599"/>
      <c r="S757" s="599"/>
      <c r="T757" s="599"/>
    </row>
    <row r="758" spans="1:20" ht="11.25" customHeight="1">
      <c r="A758" s="599"/>
      <c r="B758" s="599"/>
      <c r="C758" s="599"/>
      <c r="D758" s="599"/>
      <c r="E758" s="599"/>
      <c r="F758" s="599"/>
      <c r="G758" s="600"/>
      <c r="H758" s="599"/>
      <c r="I758" s="599"/>
      <c r="J758" s="599"/>
      <c r="K758" s="599"/>
      <c r="L758" s="599"/>
      <c r="M758" s="599"/>
      <c r="N758" s="599"/>
      <c r="O758" s="599"/>
      <c r="P758" s="599"/>
      <c r="Q758" s="599"/>
      <c r="R758" s="599"/>
      <c r="S758" s="599"/>
      <c r="T758" s="599"/>
    </row>
    <row r="759" spans="1:20" ht="11.25" customHeight="1">
      <c r="A759" s="599"/>
      <c r="B759" s="599"/>
      <c r="C759" s="599"/>
      <c r="D759" s="599"/>
      <c r="E759" s="599"/>
      <c r="F759" s="599"/>
      <c r="G759" s="600"/>
      <c r="H759" s="599"/>
      <c r="I759" s="599"/>
      <c r="J759" s="599"/>
      <c r="K759" s="599"/>
      <c r="L759" s="599"/>
      <c r="M759" s="599"/>
      <c r="N759" s="599"/>
      <c r="O759" s="599"/>
      <c r="P759" s="599"/>
      <c r="Q759" s="599"/>
      <c r="R759" s="599"/>
      <c r="S759" s="599"/>
      <c r="T759" s="599"/>
    </row>
    <row r="760" spans="1:20" ht="11.25" customHeight="1">
      <c r="A760" s="599"/>
      <c r="B760" s="599"/>
      <c r="C760" s="599"/>
      <c r="D760" s="599"/>
      <c r="E760" s="599"/>
      <c r="F760" s="599"/>
      <c r="G760" s="600"/>
      <c r="H760" s="599"/>
      <c r="I760" s="599"/>
      <c r="J760" s="599"/>
      <c r="K760" s="599"/>
      <c r="L760" s="599"/>
      <c r="M760" s="599"/>
      <c r="N760" s="599"/>
      <c r="O760" s="599"/>
      <c r="P760" s="599"/>
      <c r="Q760" s="599"/>
      <c r="R760" s="599"/>
      <c r="S760" s="599"/>
      <c r="T760" s="599"/>
    </row>
    <row r="761" spans="1:20" ht="11.25" customHeight="1">
      <c r="A761" s="599"/>
      <c r="B761" s="599"/>
      <c r="C761" s="599"/>
      <c r="D761" s="599"/>
      <c r="E761" s="599"/>
      <c r="F761" s="599"/>
      <c r="G761" s="600"/>
      <c r="H761" s="599"/>
      <c r="I761" s="599"/>
      <c r="J761" s="599"/>
      <c r="K761" s="599"/>
      <c r="L761" s="599"/>
      <c r="M761" s="599"/>
      <c r="N761" s="599"/>
      <c r="O761" s="599"/>
      <c r="P761" s="599"/>
      <c r="Q761" s="599"/>
      <c r="R761" s="599"/>
      <c r="S761" s="599"/>
      <c r="T761" s="599"/>
    </row>
    <row r="762" spans="1:20" ht="11.25" customHeight="1">
      <c r="A762" s="599"/>
      <c r="B762" s="599"/>
      <c r="C762" s="599"/>
      <c r="D762" s="599"/>
      <c r="E762" s="599"/>
      <c r="F762" s="599"/>
      <c r="G762" s="600"/>
      <c r="H762" s="599"/>
      <c r="I762" s="599"/>
      <c r="J762" s="599"/>
      <c r="K762" s="599"/>
      <c r="L762" s="599"/>
      <c r="M762" s="599"/>
      <c r="N762" s="599"/>
      <c r="O762" s="599"/>
      <c r="P762" s="599"/>
      <c r="Q762" s="599"/>
      <c r="R762" s="599"/>
      <c r="S762" s="599"/>
      <c r="T762" s="599"/>
    </row>
    <row r="763" spans="1:20" ht="11.25" customHeight="1">
      <c r="A763" s="599"/>
      <c r="B763" s="599"/>
      <c r="C763" s="599"/>
      <c r="D763" s="599"/>
      <c r="E763" s="599"/>
      <c r="F763" s="599"/>
      <c r="G763" s="600"/>
      <c r="H763" s="599"/>
      <c r="I763" s="599"/>
      <c r="J763" s="599"/>
      <c r="K763" s="599"/>
      <c r="L763" s="599"/>
      <c r="M763" s="599"/>
      <c r="N763" s="599"/>
      <c r="O763" s="599"/>
      <c r="P763" s="599"/>
      <c r="Q763" s="599"/>
      <c r="R763" s="599"/>
      <c r="S763" s="599"/>
      <c r="T763" s="599"/>
    </row>
    <row r="764" spans="1:20" ht="11.25" customHeight="1">
      <c r="A764" s="599"/>
      <c r="B764" s="599"/>
      <c r="C764" s="599"/>
      <c r="D764" s="599"/>
      <c r="E764" s="599"/>
      <c r="F764" s="599"/>
      <c r="G764" s="600"/>
      <c r="H764" s="599"/>
      <c r="I764" s="599"/>
      <c r="J764" s="599"/>
      <c r="K764" s="599"/>
      <c r="L764" s="599"/>
      <c r="M764" s="599"/>
      <c r="N764" s="599"/>
      <c r="O764" s="599"/>
      <c r="P764" s="599"/>
      <c r="Q764" s="599"/>
      <c r="R764" s="599"/>
      <c r="S764" s="599"/>
      <c r="T764" s="599"/>
    </row>
    <row r="765" spans="1:20" ht="11.25" customHeight="1">
      <c r="A765" s="599"/>
      <c r="B765" s="599"/>
      <c r="C765" s="599"/>
      <c r="D765" s="599"/>
      <c r="E765" s="599"/>
      <c r="F765" s="599"/>
      <c r="G765" s="600"/>
      <c r="H765" s="599"/>
      <c r="I765" s="599"/>
      <c r="J765" s="599"/>
      <c r="K765" s="599"/>
      <c r="L765" s="599"/>
      <c r="M765" s="599"/>
      <c r="N765" s="599"/>
      <c r="O765" s="599"/>
      <c r="P765" s="599"/>
      <c r="Q765" s="599"/>
      <c r="R765" s="599"/>
      <c r="S765" s="599"/>
      <c r="T765" s="599"/>
    </row>
    <row r="766" spans="1:20" ht="11.25" customHeight="1">
      <c r="A766" s="599"/>
      <c r="B766" s="599"/>
      <c r="C766" s="599"/>
      <c r="D766" s="599"/>
      <c r="E766" s="599"/>
      <c r="F766" s="599"/>
      <c r="G766" s="600"/>
      <c r="H766" s="599"/>
      <c r="I766" s="599"/>
      <c r="J766" s="599"/>
      <c r="K766" s="599"/>
      <c r="L766" s="599"/>
      <c r="M766" s="599"/>
      <c r="N766" s="599"/>
      <c r="O766" s="599"/>
      <c r="P766" s="599"/>
      <c r="Q766" s="599"/>
      <c r="R766" s="599"/>
      <c r="S766" s="599"/>
      <c r="T766" s="599"/>
    </row>
    <row r="767" spans="1:20" ht="11.25" customHeight="1">
      <c r="A767" s="599"/>
      <c r="B767" s="599"/>
      <c r="C767" s="599"/>
      <c r="D767" s="599"/>
      <c r="E767" s="599"/>
      <c r="F767" s="599"/>
      <c r="G767" s="600"/>
      <c r="H767" s="599"/>
      <c r="I767" s="599"/>
      <c r="J767" s="599"/>
      <c r="K767" s="599"/>
      <c r="L767" s="599"/>
      <c r="M767" s="599"/>
      <c r="N767" s="599"/>
      <c r="O767" s="599"/>
      <c r="P767" s="599"/>
      <c r="Q767" s="599"/>
      <c r="R767" s="599"/>
      <c r="S767" s="599"/>
      <c r="T767" s="599"/>
    </row>
    <row r="768" spans="1:20" ht="11.25" customHeight="1">
      <c r="A768" s="599"/>
      <c r="B768" s="599"/>
      <c r="C768" s="599"/>
      <c r="D768" s="599"/>
      <c r="E768" s="599"/>
      <c r="F768" s="599"/>
      <c r="G768" s="600"/>
      <c r="H768" s="599"/>
      <c r="I768" s="599"/>
      <c r="J768" s="599"/>
      <c r="K768" s="599"/>
      <c r="L768" s="599"/>
      <c r="M768" s="599"/>
      <c r="N768" s="599"/>
      <c r="O768" s="599"/>
      <c r="P768" s="599"/>
      <c r="Q768" s="599"/>
      <c r="R768" s="599"/>
      <c r="S768" s="599"/>
      <c r="T768" s="599"/>
    </row>
    <row r="769" spans="1:20" ht="11.25" customHeight="1">
      <c r="A769" s="599"/>
      <c r="B769" s="599"/>
      <c r="C769" s="599"/>
      <c r="D769" s="599"/>
      <c r="E769" s="599"/>
      <c r="F769" s="599"/>
      <c r="G769" s="600"/>
      <c r="H769" s="599"/>
      <c r="I769" s="599"/>
      <c r="J769" s="599"/>
      <c r="K769" s="599"/>
      <c r="L769" s="599"/>
      <c r="M769" s="599"/>
      <c r="N769" s="599"/>
      <c r="O769" s="599"/>
      <c r="P769" s="599"/>
      <c r="Q769" s="599"/>
      <c r="R769" s="599"/>
      <c r="S769" s="599"/>
      <c r="T769" s="599"/>
    </row>
    <row r="770" spans="1:20" ht="11.25" customHeight="1">
      <c r="A770" s="599"/>
      <c r="B770" s="599"/>
      <c r="C770" s="599"/>
      <c r="D770" s="599"/>
      <c r="E770" s="599"/>
      <c r="F770" s="599"/>
      <c r="G770" s="600"/>
      <c r="H770" s="599"/>
      <c r="I770" s="599"/>
      <c r="J770" s="599"/>
      <c r="K770" s="599"/>
      <c r="L770" s="599"/>
      <c r="M770" s="599"/>
      <c r="N770" s="599"/>
      <c r="O770" s="599"/>
      <c r="P770" s="599"/>
      <c r="Q770" s="599"/>
      <c r="R770" s="599"/>
      <c r="S770" s="599"/>
      <c r="T770" s="599"/>
    </row>
    <row r="771" spans="1:20" ht="11.25" customHeight="1">
      <c r="A771" s="599"/>
      <c r="B771" s="599"/>
      <c r="C771" s="599"/>
      <c r="D771" s="599"/>
      <c r="E771" s="599"/>
      <c r="F771" s="599"/>
      <c r="G771" s="600"/>
      <c r="H771" s="599"/>
      <c r="I771" s="599"/>
      <c r="J771" s="599"/>
      <c r="K771" s="599"/>
      <c r="L771" s="599"/>
      <c r="M771" s="599"/>
      <c r="N771" s="599"/>
      <c r="O771" s="599"/>
      <c r="P771" s="599"/>
      <c r="Q771" s="599"/>
      <c r="R771" s="599"/>
      <c r="S771" s="599"/>
      <c r="T771" s="599"/>
    </row>
    <row r="772" spans="1:20" ht="11.25" customHeight="1">
      <c r="A772" s="599"/>
      <c r="B772" s="599"/>
      <c r="C772" s="599"/>
      <c r="D772" s="599"/>
      <c r="E772" s="599"/>
      <c r="F772" s="599"/>
      <c r="G772" s="600"/>
      <c r="H772" s="599"/>
      <c r="I772" s="599"/>
      <c r="J772" s="599"/>
      <c r="K772" s="599"/>
      <c r="L772" s="599"/>
      <c r="M772" s="599"/>
      <c r="N772" s="599"/>
      <c r="O772" s="599"/>
      <c r="P772" s="599"/>
      <c r="Q772" s="599"/>
      <c r="R772" s="599"/>
      <c r="S772" s="599"/>
      <c r="T772" s="599"/>
    </row>
    <row r="773" spans="1:20" ht="11.25" customHeight="1">
      <c r="A773" s="599"/>
      <c r="B773" s="599"/>
      <c r="C773" s="599"/>
      <c r="D773" s="599"/>
      <c r="E773" s="599"/>
      <c r="F773" s="599"/>
      <c r="G773" s="600"/>
      <c r="H773" s="599"/>
      <c r="I773" s="599"/>
      <c r="J773" s="599"/>
      <c r="K773" s="599"/>
      <c r="L773" s="599"/>
      <c r="M773" s="599"/>
      <c r="N773" s="599"/>
      <c r="O773" s="599"/>
      <c r="P773" s="599"/>
      <c r="Q773" s="599"/>
      <c r="R773" s="599"/>
      <c r="S773" s="599"/>
      <c r="T773" s="599"/>
    </row>
    <row r="774" spans="1:20" ht="11.25" customHeight="1">
      <c r="A774" s="599"/>
      <c r="B774" s="599"/>
      <c r="C774" s="599"/>
      <c r="D774" s="599"/>
      <c r="E774" s="599"/>
      <c r="F774" s="599"/>
      <c r="G774" s="600"/>
      <c r="H774" s="599"/>
      <c r="I774" s="599"/>
      <c r="J774" s="599"/>
      <c r="K774" s="599"/>
      <c r="L774" s="599"/>
      <c r="M774" s="599"/>
      <c r="N774" s="599"/>
      <c r="O774" s="599"/>
      <c r="P774" s="599"/>
      <c r="Q774" s="599"/>
      <c r="R774" s="599"/>
      <c r="S774" s="599"/>
      <c r="T774" s="599"/>
    </row>
    <row r="775" spans="1:20" ht="11.25" customHeight="1">
      <c r="A775" s="599"/>
      <c r="B775" s="599"/>
      <c r="C775" s="599"/>
      <c r="D775" s="599"/>
      <c r="E775" s="599"/>
      <c r="F775" s="599"/>
      <c r="G775" s="600"/>
      <c r="H775" s="599"/>
      <c r="I775" s="599"/>
      <c r="J775" s="599"/>
      <c r="K775" s="599"/>
      <c r="L775" s="599"/>
      <c r="M775" s="599"/>
      <c r="N775" s="599"/>
      <c r="O775" s="599"/>
      <c r="P775" s="599"/>
      <c r="Q775" s="599"/>
      <c r="R775" s="599"/>
      <c r="S775" s="599"/>
      <c r="T775" s="599"/>
    </row>
    <row r="776" spans="1:20" ht="11.25" customHeight="1">
      <c r="A776" s="599"/>
      <c r="B776" s="599"/>
      <c r="C776" s="599"/>
      <c r="D776" s="599"/>
      <c r="E776" s="599"/>
      <c r="F776" s="599"/>
      <c r="G776" s="600"/>
      <c r="H776" s="599"/>
      <c r="I776" s="599"/>
      <c r="J776" s="599"/>
      <c r="K776" s="599"/>
      <c r="L776" s="599"/>
      <c r="M776" s="599"/>
      <c r="N776" s="599"/>
      <c r="O776" s="599"/>
      <c r="P776" s="599"/>
      <c r="Q776" s="599"/>
      <c r="R776" s="599"/>
      <c r="S776" s="599"/>
      <c r="T776" s="599"/>
    </row>
    <row r="777" spans="1:20" ht="11.25" customHeight="1">
      <c r="A777" s="599"/>
      <c r="B777" s="599"/>
      <c r="C777" s="599"/>
      <c r="D777" s="599"/>
      <c r="E777" s="599"/>
      <c r="F777" s="599"/>
      <c r="G777" s="600"/>
      <c r="H777" s="599"/>
      <c r="I777" s="599"/>
      <c r="J777" s="599"/>
      <c r="K777" s="599"/>
      <c r="L777" s="599"/>
      <c r="M777" s="599"/>
      <c r="N777" s="599"/>
      <c r="O777" s="599"/>
      <c r="P777" s="599"/>
      <c r="Q777" s="599"/>
      <c r="R777" s="599"/>
      <c r="S777" s="599"/>
      <c r="T777" s="599"/>
    </row>
    <row r="778" spans="1:20" ht="11.25" customHeight="1">
      <c r="A778" s="599"/>
      <c r="B778" s="599"/>
      <c r="C778" s="599"/>
      <c r="D778" s="599"/>
      <c r="E778" s="599"/>
      <c r="F778" s="599"/>
      <c r="G778" s="600"/>
      <c r="H778" s="599"/>
      <c r="I778" s="599"/>
      <c r="J778" s="599"/>
      <c r="K778" s="599"/>
      <c r="L778" s="599"/>
      <c r="M778" s="599"/>
      <c r="N778" s="599"/>
      <c r="O778" s="599"/>
      <c r="P778" s="599"/>
      <c r="Q778" s="599"/>
      <c r="R778" s="599"/>
      <c r="S778" s="599"/>
      <c r="T778" s="599"/>
    </row>
    <row r="779" spans="1:20" ht="11.25" customHeight="1">
      <c r="A779" s="599"/>
      <c r="B779" s="599"/>
      <c r="C779" s="599"/>
      <c r="D779" s="599"/>
      <c r="E779" s="599"/>
      <c r="F779" s="599"/>
      <c r="G779" s="600"/>
      <c r="H779" s="599"/>
      <c r="I779" s="599"/>
      <c r="J779" s="599"/>
      <c r="K779" s="599"/>
      <c r="L779" s="599"/>
      <c r="M779" s="599"/>
      <c r="N779" s="599"/>
      <c r="O779" s="599"/>
      <c r="P779" s="599"/>
      <c r="Q779" s="599"/>
      <c r="R779" s="599"/>
      <c r="S779" s="599"/>
      <c r="T779" s="599"/>
    </row>
    <row r="780" spans="1:20" ht="11.25" customHeight="1">
      <c r="A780" s="599"/>
      <c r="B780" s="599"/>
      <c r="C780" s="599"/>
      <c r="D780" s="599"/>
      <c r="E780" s="599"/>
      <c r="F780" s="599"/>
      <c r="G780" s="600"/>
      <c r="H780" s="599"/>
      <c r="I780" s="599"/>
      <c r="J780" s="599"/>
      <c r="K780" s="599"/>
      <c r="L780" s="599"/>
      <c r="M780" s="599"/>
      <c r="N780" s="599"/>
      <c r="O780" s="599"/>
      <c r="P780" s="599"/>
      <c r="Q780" s="599"/>
      <c r="R780" s="599"/>
      <c r="S780" s="599"/>
      <c r="T780" s="599"/>
    </row>
    <row r="781" spans="1:20" ht="11.25" customHeight="1">
      <c r="A781" s="599"/>
      <c r="B781" s="599"/>
      <c r="C781" s="599"/>
      <c r="D781" s="599"/>
      <c r="E781" s="599"/>
      <c r="F781" s="599"/>
      <c r="G781" s="600"/>
      <c r="H781" s="599"/>
      <c r="I781" s="599"/>
      <c r="J781" s="599"/>
      <c r="K781" s="599"/>
      <c r="L781" s="599"/>
      <c r="M781" s="599"/>
      <c r="N781" s="599"/>
      <c r="O781" s="599"/>
      <c r="P781" s="599"/>
      <c r="Q781" s="599"/>
      <c r="R781" s="599"/>
      <c r="S781" s="599"/>
      <c r="T781" s="599"/>
    </row>
    <row r="782" spans="1:20" ht="11.25" customHeight="1">
      <c r="A782" s="599"/>
      <c r="B782" s="599"/>
      <c r="C782" s="599"/>
      <c r="D782" s="599"/>
      <c r="E782" s="599"/>
      <c r="F782" s="599"/>
      <c r="G782" s="600"/>
      <c r="H782" s="599"/>
      <c r="I782" s="599"/>
      <c r="J782" s="599"/>
      <c r="K782" s="599"/>
      <c r="L782" s="599"/>
      <c r="M782" s="599"/>
      <c r="N782" s="599"/>
      <c r="O782" s="599"/>
      <c r="P782" s="599"/>
      <c r="Q782" s="599"/>
      <c r="R782" s="599"/>
      <c r="S782" s="599"/>
      <c r="T782" s="599"/>
    </row>
    <row r="783" spans="1:20" ht="11.25" customHeight="1">
      <c r="A783" s="599"/>
      <c r="B783" s="599"/>
      <c r="C783" s="599"/>
      <c r="D783" s="599"/>
      <c r="E783" s="599"/>
      <c r="F783" s="599"/>
      <c r="G783" s="600"/>
      <c r="H783" s="599"/>
      <c r="I783" s="599"/>
      <c r="J783" s="599"/>
      <c r="K783" s="599"/>
      <c r="L783" s="599"/>
      <c r="M783" s="599"/>
      <c r="N783" s="599"/>
      <c r="O783" s="599"/>
      <c r="P783" s="599"/>
      <c r="Q783" s="599"/>
      <c r="R783" s="599"/>
      <c r="S783" s="599"/>
      <c r="T783" s="599"/>
    </row>
    <row r="784" spans="1:20" ht="11.25" customHeight="1">
      <c r="A784" s="599"/>
      <c r="B784" s="599"/>
      <c r="C784" s="599"/>
      <c r="D784" s="599"/>
      <c r="E784" s="599"/>
      <c r="F784" s="599"/>
      <c r="G784" s="600"/>
      <c r="H784" s="599"/>
      <c r="I784" s="599"/>
      <c r="J784" s="599"/>
      <c r="K784" s="599"/>
      <c r="L784" s="599"/>
      <c r="M784" s="599"/>
      <c r="N784" s="599"/>
      <c r="O784" s="599"/>
      <c r="P784" s="599"/>
      <c r="Q784" s="599"/>
      <c r="R784" s="599"/>
      <c r="S784" s="599"/>
      <c r="T784" s="599"/>
    </row>
    <row r="785" spans="1:20" ht="11.25" customHeight="1">
      <c r="A785" s="599"/>
      <c r="B785" s="599"/>
      <c r="C785" s="599"/>
      <c r="D785" s="599"/>
      <c r="E785" s="599"/>
      <c r="F785" s="599"/>
      <c r="G785" s="600"/>
      <c r="H785" s="599"/>
      <c r="I785" s="599"/>
      <c r="J785" s="599"/>
      <c r="K785" s="599"/>
      <c r="L785" s="599"/>
      <c r="M785" s="599"/>
      <c r="N785" s="599"/>
      <c r="O785" s="599"/>
      <c r="P785" s="599"/>
      <c r="Q785" s="599"/>
      <c r="R785" s="599"/>
      <c r="S785" s="599"/>
      <c r="T785" s="599"/>
    </row>
    <row r="786" spans="1:20" ht="11.25" customHeight="1">
      <c r="A786" s="599"/>
      <c r="B786" s="599"/>
      <c r="C786" s="599"/>
      <c r="D786" s="599"/>
      <c r="E786" s="599"/>
      <c r="F786" s="599"/>
      <c r="G786" s="600"/>
      <c r="H786" s="599"/>
      <c r="I786" s="599"/>
      <c r="J786" s="599"/>
      <c r="K786" s="599"/>
      <c r="L786" s="599"/>
      <c r="M786" s="599"/>
      <c r="N786" s="599"/>
      <c r="O786" s="599"/>
      <c r="P786" s="599"/>
      <c r="Q786" s="599"/>
      <c r="R786" s="599"/>
      <c r="S786" s="599"/>
      <c r="T786" s="599"/>
    </row>
    <row r="787" spans="1:20" ht="11.25" customHeight="1">
      <c r="A787" s="599"/>
      <c r="B787" s="599"/>
      <c r="C787" s="599"/>
      <c r="D787" s="599"/>
      <c r="E787" s="599"/>
      <c r="F787" s="599"/>
      <c r="G787" s="600"/>
      <c r="H787" s="599"/>
      <c r="I787" s="599"/>
      <c r="J787" s="599"/>
      <c r="K787" s="599"/>
      <c r="L787" s="599"/>
      <c r="M787" s="599"/>
      <c r="N787" s="599"/>
      <c r="O787" s="599"/>
      <c r="P787" s="599"/>
      <c r="Q787" s="599"/>
      <c r="R787" s="599"/>
      <c r="S787" s="599"/>
      <c r="T787" s="599"/>
    </row>
    <row r="788" spans="1:20" ht="11.25" customHeight="1">
      <c r="A788" s="599"/>
      <c r="B788" s="599"/>
      <c r="C788" s="599"/>
      <c r="D788" s="599"/>
      <c r="E788" s="599"/>
      <c r="F788" s="599"/>
      <c r="G788" s="600"/>
      <c r="H788" s="599"/>
      <c r="I788" s="599"/>
      <c r="J788" s="599"/>
      <c r="K788" s="599"/>
      <c r="L788" s="599"/>
      <c r="M788" s="599"/>
      <c r="N788" s="599"/>
      <c r="O788" s="599"/>
      <c r="P788" s="599"/>
      <c r="Q788" s="599"/>
      <c r="R788" s="599"/>
      <c r="S788" s="599"/>
      <c r="T788" s="599"/>
    </row>
    <row r="789" spans="1:20" ht="11.25" customHeight="1">
      <c r="A789" s="599"/>
      <c r="B789" s="599"/>
      <c r="C789" s="599"/>
      <c r="D789" s="599"/>
      <c r="E789" s="599"/>
      <c r="F789" s="599"/>
      <c r="G789" s="600"/>
      <c r="H789" s="599"/>
      <c r="I789" s="599"/>
      <c r="J789" s="599"/>
      <c r="K789" s="599"/>
      <c r="L789" s="599"/>
      <c r="M789" s="599"/>
      <c r="N789" s="599"/>
      <c r="O789" s="599"/>
      <c r="P789" s="599"/>
      <c r="Q789" s="599"/>
      <c r="R789" s="599"/>
      <c r="S789" s="599"/>
      <c r="T789" s="599"/>
    </row>
    <row r="790" spans="1:20" ht="11.25" customHeight="1">
      <c r="A790" s="599"/>
      <c r="B790" s="599"/>
      <c r="C790" s="599"/>
      <c r="D790" s="599"/>
      <c r="E790" s="599"/>
      <c r="F790" s="599"/>
      <c r="G790" s="600"/>
      <c r="H790" s="599"/>
      <c r="I790" s="599"/>
      <c r="J790" s="599"/>
      <c r="K790" s="599"/>
      <c r="L790" s="599"/>
      <c r="M790" s="599"/>
      <c r="N790" s="599"/>
      <c r="O790" s="599"/>
      <c r="P790" s="599"/>
      <c r="Q790" s="599"/>
      <c r="R790" s="599"/>
      <c r="S790" s="599"/>
      <c r="T790" s="599"/>
    </row>
    <row r="791" spans="1:20" ht="11.25" customHeight="1">
      <c r="A791" s="599"/>
      <c r="B791" s="599"/>
      <c r="C791" s="599"/>
      <c r="D791" s="599"/>
      <c r="E791" s="599"/>
      <c r="F791" s="599"/>
      <c r="G791" s="600"/>
      <c r="H791" s="599"/>
      <c r="I791" s="599"/>
      <c r="J791" s="599"/>
      <c r="K791" s="599"/>
      <c r="L791" s="599"/>
      <c r="M791" s="599"/>
      <c r="N791" s="599"/>
      <c r="O791" s="599"/>
      <c r="P791" s="599"/>
      <c r="Q791" s="599"/>
      <c r="R791" s="599"/>
      <c r="S791" s="599"/>
      <c r="T791" s="599"/>
    </row>
    <row r="792" spans="1:20" ht="11.25" customHeight="1">
      <c r="A792" s="599"/>
      <c r="B792" s="599"/>
      <c r="C792" s="599"/>
      <c r="D792" s="599"/>
      <c r="E792" s="599"/>
      <c r="F792" s="599"/>
      <c r="G792" s="600"/>
      <c r="H792" s="599"/>
      <c r="I792" s="599"/>
      <c r="J792" s="599"/>
      <c r="K792" s="599"/>
      <c r="L792" s="599"/>
      <c r="M792" s="599"/>
      <c r="N792" s="599"/>
      <c r="O792" s="599"/>
      <c r="P792" s="599"/>
      <c r="Q792" s="599"/>
      <c r="R792" s="599"/>
      <c r="S792" s="599"/>
      <c r="T792" s="599"/>
    </row>
    <row r="793" spans="1:20" ht="11.25" customHeight="1">
      <c r="A793" s="599"/>
      <c r="B793" s="599"/>
      <c r="C793" s="599"/>
      <c r="D793" s="599"/>
      <c r="E793" s="599"/>
      <c r="F793" s="599"/>
      <c r="G793" s="600"/>
      <c r="H793" s="599"/>
      <c r="I793" s="599"/>
      <c r="J793" s="599"/>
      <c r="K793" s="599"/>
      <c r="L793" s="599"/>
      <c r="M793" s="599"/>
      <c r="N793" s="599"/>
      <c r="O793" s="599"/>
      <c r="P793" s="599"/>
      <c r="Q793" s="599"/>
      <c r="R793" s="599"/>
      <c r="S793" s="599"/>
      <c r="T793" s="599"/>
    </row>
    <row r="794" spans="1:20" ht="11.25" customHeight="1">
      <c r="A794" s="599"/>
      <c r="B794" s="599"/>
      <c r="C794" s="599"/>
      <c r="D794" s="599"/>
      <c r="E794" s="599"/>
      <c r="F794" s="599"/>
      <c r="G794" s="600"/>
      <c r="H794" s="599"/>
      <c r="I794" s="599"/>
      <c r="J794" s="599"/>
      <c r="K794" s="599"/>
      <c r="L794" s="599"/>
      <c r="M794" s="599"/>
      <c r="N794" s="599"/>
      <c r="O794" s="599"/>
      <c r="P794" s="599"/>
      <c r="Q794" s="599"/>
      <c r="R794" s="599"/>
      <c r="S794" s="599"/>
      <c r="T794" s="599"/>
    </row>
    <row r="795" spans="1:20" ht="11.25" customHeight="1">
      <c r="A795" s="599"/>
      <c r="B795" s="599"/>
      <c r="C795" s="599"/>
      <c r="D795" s="599"/>
      <c r="E795" s="599"/>
      <c r="F795" s="599"/>
      <c r="G795" s="600"/>
      <c r="H795" s="599"/>
      <c r="I795" s="599"/>
      <c r="J795" s="599"/>
      <c r="K795" s="599"/>
      <c r="L795" s="599"/>
      <c r="M795" s="599"/>
      <c r="N795" s="599"/>
      <c r="O795" s="599"/>
      <c r="P795" s="599"/>
      <c r="Q795" s="599"/>
      <c r="R795" s="599"/>
      <c r="S795" s="599"/>
      <c r="T795" s="599"/>
    </row>
    <row r="796" spans="1:20" ht="11.25" customHeight="1">
      <c r="A796" s="599"/>
      <c r="B796" s="599"/>
      <c r="C796" s="599"/>
      <c r="D796" s="599"/>
      <c r="E796" s="599"/>
      <c r="F796" s="599"/>
      <c r="G796" s="600"/>
      <c r="H796" s="599"/>
      <c r="I796" s="599"/>
      <c r="J796" s="599"/>
      <c r="K796" s="599"/>
      <c r="L796" s="599"/>
      <c r="M796" s="599"/>
      <c r="N796" s="599"/>
      <c r="O796" s="599"/>
      <c r="P796" s="599"/>
      <c r="Q796" s="599"/>
      <c r="R796" s="599"/>
      <c r="S796" s="599"/>
      <c r="T796" s="599"/>
    </row>
    <row r="797" spans="1:20" ht="11.25" customHeight="1">
      <c r="A797" s="599"/>
      <c r="B797" s="599"/>
      <c r="C797" s="599"/>
      <c r="D797" s="599"/>
      <c r="E797" s="599"/>
      <c r="F797" s="599"/>
      <c r="G797" s="600"/>
      <c r="H797" s="599"/>
      <c r="I797" s="599"/>
      <c r="J797" s="599"/>
      <c r="K797" s="599"/>
      <c r="L797" s="599"/>
      <c r="M797" s="599"/>
      <c r="N797" s="599"/>
      <c r="O797" s="599"/>
      <c r="P797" s="599"/>
      <c r="Q797" s="599"/>
      <c r="R797" s="599"/>
      <c r="S797" s="599"/>
      <c r="T797" s="599"/>
    </row>
    <row r="798" spans="1:20" ht="11.25" customHeight="1">
      <c r="A798" s="599"/>
      <c r="B798" s="599"/>
      <c r="C798" s="599"/>
      <c r="D798" s="599"/>
      <c r="E798" s="599"/>
      <c r="F798" s="599"/>
      <c r="G798" s="600"/>
      <c r="H798" s="599"/>
      <c r="I798" s="599"/>
      <c r="J798" s="599"/>
      <c r="K798" s="599"/>
      <c r="L798" s="599"/>
      <c r="M798" s="599"/>
      <c r="N798" s="599"/>
      <c r="O798" s="599"/>
      <c r="P798" s="599"/>
      <c r="Q798" s="599"/>
      <c r="R798" s="599"/>
      <c r="S798" s="599"/>
      <c r="T798" s="599"/>
    </row>
    <row r="799" spans="1:20" ht="11.25" customHeight="1">
      <c r="A799" s="599"/>
      <c r="B799" s="599"/>
      <c r="C799" s="599"/>
      <c r="D799" s="599"/>
      <c r="E799" s="599"/>
      <c r="F799" s="599"/>
      <c r="G799" s="600"/>
      <c r="H799" s="599"/>
      <c r="I799" s="599"/>
      <c r="J799" s="599"/>
      <c r="K799" s="599"/>
      <c r="L799" s="599"/>
      <c r="M799" s="599"/>
      <c r="N799" s="599"/>
      <c r="O799" s="599"/>
      <c r="P799" s="599"/>
      <c r="Q799" s="599"/>
      <c r="R799" s="599"/>
      <c r="S799" s="599"/>
      <c r="T799" s="599"/>
    </row>
    <row r="800" spans="1:20" ht="11.25" customHeight="1">
      <c r="A800" s="599"/>
      <c r="B800" s="599"/>
      <c r="C800" s="599"/>
      <c r="D800" s="599"/>
      <c r="E800" s="599"/>
      <c r="F800" s="599"/>
      <c r="G800" s="600"/>
      <c r="H800" s="599"/>
      <c r="I800" s="599"/>
      <c r="J800" s="599"/>
      <c r="K800" s="599"/>
      <c r="L800" s="599"/>
      <c r="M800" s="599"/>
      <c r="N800" s="599"/>
      <c r="O800" s="599"/>
      <c r="P800" s="599"/>
      <c r="Q800" s="599"/>
      <c r="R800" s="599"/>
      <c r="S800" s="599"/>
      <c r="T800" s="599"/>
    </row>
    <row r="801" spans="1:20" ht="11.25" customHeight="1">
      <c r="A801" s="599"/>
      <c r="B801" s="599"/>
      <c r="C801" s="599"/>
      <c r="D801" s="599"/>
      <c r="E801" s="599"/>
      <c r="F801" s="599"/>
      <c r="G801" s="600"/>
      <c r="H801" s="599"/>
      <c r="I801" s="599"/>
      <c r="J801" s="599"/>
      <c r="K801" s="599"/>
      <c r="L801" s="599"/>
      <c r="M801" s="599"/>
      <c r="N801" s="599"/>
      <c r="O801" s="599"/>
      <c r="P801" s="599"/>
      <c r="Q801" s="599"/>
      <c r="R801" s="599"/>
      <c r="S801" s="599"/>
      <c r="T801" s="599"/>
    </row>
    <row r="802" spans="1:20" ht="11.25" customHeight="1">
      <c r="A802" s="599"/>
      <c r="B802" s="599"/>
      <c r="C802" s="599"/>
      <c r="D802" s="599"/>
      <c r="E802" s="599"/>
      <c r="F802" s="599"/>
      <c r="G802" s="600"/>
      <c r="H802" s="599"/>
      <c r="I802" s="599"/>
      <c r="J802" s="599"/>
      <c r="K802" s="599"/>
      <c r="L802" s="599"/>
      <c r="M802" s="599"/>
      <c r="N802" s="599"/>
      <c r="O802" s="599"/>
      <c r="P802" s="599"/>
      <c r="Q802" s="599"/>
      <c r="R802" s="599"/>
      <c r="S802" s="599"/>
      <c r="T802" s="599"/>
    </row>
    <row r="803" spans="1:20" ht="11.25" customHeight="1">
      <c r="A803" s="599"/>
      <c r="B803" s="599"/>
      <c r="C803" s="599"/>
      <c r="D803" s="599"/>
      <c r="E803" s="599"/>
      <c r="F803" s="599"/>
      <c r="G803" s="600"/>
      <c r="H803" s="599"/>
      <c r="I803" s="599"/>
      <c r="J803" s="599"/>
      <c r="K803" s="599"/>
      <c r="L803" s="599"/>
      <c r="M803" s="599"/>
      <c r="N803" s="599"/>
      <c r="O803" s="599"/>
      <c r="P803" s="599"/>
      <c r="Q803" s="599"/>
      <c r="R803" s="599"/>
      <c r="S803" s="599"/>
      <c r="T803" s="599"/>
    </row>
    <row r="804" spans="1:20" ht="11.25" customHeight="1">
      <c r="A804" s="599"/>
      <c r="B804" s="599"/>
      <c r="C804" s="599"/>
      <c r="D804" s="599"/>
      <c r="E804" s="599"/>
      <c r="F804" s="599"/>
      <c r="G804" s="600"/>
      <c r="H804" s="599"/>
      <c r="I804" s="599"/>
      <c r="J804" s="599"/>
      <c r="K804" s="599"/>
      <c r="L804" s="599"/>
      <c r="M804" s="599"/>
      <c r="N804" s="599"/>
      <c r="O804" s="599"/>
      <c r="P804" s="599"/>
      <c r="Q804" s="599"/>
      <c r="R804" s="599"/>
      <c r="S804" s="599"/>
      <c r="T804" s="599"/>
    </row>
    <row r="805" spans="1:20" ht="11.25" customHeight="1">
      <c r="A805" s="599"/>
      <c r="B805" s="599"/>
      <c r="C805" s="599"/>
      <c r="D805" s="599"/>
      <c r="E805" s="599"/>
      <c r="F805" s="599"/>
      <c r="G805" s="600"/>
      <c r="H805" s="599"/>
      <c r="I805" s="599"/>
      <c r="J805" s="599"/>
      <c r="K805" s="599"/>
      <c r="L805" s="599"/>
      <c r="M805" s="599"/>
      <c r="N805" s="599"/>
      <c r="O805" s="599"/>
      <c r="P805" s="599"/>
      <c r="Q805" s="599"/>
      <c r="R805" s="599"/>
      <c r="S805" s="599"/>
      <c r="T805" s="599"/>
    </row>
    <row r="806" spans="1:20" ht="11.25" customHeight="1">
      <c r="A806" s="599"/>
      <c r="B806" s="599"/>
      <c r="C806" s="599"/>
      <c r="D806" s="599"/>
      <c r="E806" s="599"/>
      <c r="F806" s="599"/>
      <c r="G806" s="600"/>
      <c r="H806" s="599"/>
      <c r="I806" s="599"/>
      <c r="J806" s="599"/>
      <c r="K806" s="599"/>
      <c r="L806" s="599"/>
      <c r="M806" s="599"/>
      <c r="N806" s="599"/>
      <c r="O806" s="599"/>
      <c r="P806" s="599"/>
      <c r="Q806" s="599"/>
      <c r="R806" s="599"/>
      <c r="S806" s="599"/>
      <c r="T806" s="599"/>
    </row>
    <row r="807" spans="1:20" ht="11.25" customHeight="1">
      <c r="A807" s="599"/>
      <c r="B807" s="599"/>
      <c r="C807" s="599"/>
      <c r="D807" s="599"/>
      <c r="E807" s="599"/>
      <c r="F807" s="599"/>
      <c r="G807" s="600"/>
      <c r="H807" s="599"/>
      <c r="I807" s="599"/>
      <c r="J807" s="599"/>
      <c r="K807" s="599"/>
      <c r="L807" s="599"/>
      <c r="M807" s="599"/>
      <c r="N807" s="599"/>
      <c r="O807" s="599"/>
      <c r="P807" s="599"/>
      <c r="Q807" s="599"/>
      <c r="R807" s="599"/>
      <c r="S807" s="599"/>
      <c r="T807" s="599"/>
    </row>
    <row r="808" spans="1:20" ht="11.25" customHeight="1">
      <c r="A808" s="599"/>
      <c r="B808" s="599"/>
      <c r="C808" s="599"/>
      <c r="D808" s="599"/>
      <c r="E808" s="599"/>
      <c r="F808" s="599"/>
      <c r="G808" s="600"/>
      <c r="H808" s="599"/>
      <c r="I808" s="599"/>
      <c r="J808" s="599"/>
      <c r="K808" s="599"/>
      <c r="L808" s="599"/>
      <c r="M808" s="599"/>
      <c r="N808" s="599"/>
      <c r="O808" s="599"/>
      <c r="P808" s="599"/>
      <c r="Q808" s="599"/>
      <c r="R808" s="599"/>
      <c r="S808" s="599"/>
      <c r="T808" s="599"/>
    </row>
    <row r="809" spans="1:20" ht="11.25" customHeight="1">
      <c r="A809" s="599"/>
      <c r="B809" s="599"/>
      <c r="C809" s="599"/>
      <c r="D809" s="599"/>
      <c r="E809" s="599"/>
      <c r="F809" s="599"/>
      <c r="G809" s="600"/>
      <c r="H809" s="599"/>
      <c r="I809" s="599"/>
      <c r="J809" s="599"/>
      <c r="K809" s="599"/>
      <c r="L809" s="599"/>
      <c r="M809" s="599"/>
      <c r="N809" s="599"/>
      <c r="O809" s="599"/>
      <c r="P809" s="599"/>
      <c r="Q809" s="599"/>
      <c r="R809" s="599"/>
      <c r="S809" s="599"/>
      <c r="T809" s="599"/>
    </row>
    <row r="810" spans="1:20" ht="11.25" customHeight="1">
      <c r="A810" s="599"/>
      <c r="B810" s="599"/>
      <c r="C810" s="599"/>
      <c r="D810" s="599"/>
      <c r="E810" s="599"/>
      <c r="F810" s="599"/>
      <c r="G810" s="600"/>
      <c r="H810" s="599"/>
      <c r="I810" s="599"/>
      <c r="J810" s="599"/>
      <c r="K810" s="599"/>
      <c r="L810" s="599"/>
      <c r="M810" s="599"/>
      <c r="N810" s="599"/>
      <c r="O810" s="599"/>
      <c r="P810" s="599"/>
      <c r="Q810" s="599"/>
      <c r="R810" s="599"/>
      <c r="S810" s="599"/>
      <c r="T810" s="599"/>
    </row>
    <row r="811" spans="1:20" ht="11.25" customHeight="1">
      <c r="A811" s="599"/>
      <c r="B811" s="599"/>
      <c r="C811" s="599"/>
      <c r="D811" s="599"/>
      <c r="E811" s="599"/>
      <c r="F811" s="599"/>
      <c r="G811" s="600"/>
      <c r="H811" s="599"/>
      <c r="I811" s="599"/>
      <c r="J811" s="599"/>
      <c r="K811" s="599"/>
      <c r="L811" s="599"/>
      <c r="M811" s="599"/>
      <c r="N811" s="599"/>
      <c r="O811" s="599"/>
      <c r="P811" s="599"/>
      <c r="Q811" s="599"/>
      <c r="R811" s="599"/>
      <c r="S811" s="599"/>
      <c r="T811" s="599"/>
    </row>
    <row r="812" spans="1:20" ht="11.25" customHeight="1">
      <c r="A812" s="599"/>
      <c r="B812" s="599"/>
      <c r="C812" s="599"/>
      <c r="D812" s="599"/>
      <c r="E812" s="599"/>
      <c r="F812" s="599"/>
      <c r="G812" s="600"/>
      <c r="H812" s="599"/>
      <c r="I812" s="599"/>
      <c r="J812" s="599"/>
      <c r="K812" s="599"/>
      <c r="L812" s="599"/>
      <c r="M812" s="599"/>
      <c r="N812" s="599"/>
      <c r="O812" s="599"/>
      <c r="P812" s="599"/>
      <c r="Q812" s="599"/>
      <c r="R812" s="599"/>
      <c r="S812" s="599"/>
      <c r="T812" s="599"/>
    </row>
    <row r="813" spans="1:20" ht="11.25" customHeight="1">
      <c r="A813" s="599"/>
      <c r="B813" s="599"/>
      <c r="C813" s="599"/>
      <c r="D813" s="599"/>
      <c r="E813" s="599"/>
      <c r="F813" s="599"/>
      <c r="G813" s="600"/>
      <c r="H813" s="599"/>
      <c r="I813" s="599"/>
      <c r="J813" s="599"/>
      <c r="K813" s="599"/>
      <c r="L813" s="599"/>
      <c r="M813" s="599"/>
      <c r="N813" s="599"/>
      <c r="O813" s="599"/>
      <c r="P813" s="599"/>
      <c r="Q813" s="599"/>
      <c r="R813" s="599"/>
      <c r="S813" s="599"/>
      <c r="T813" s="599"/>
    </row>
    <row r="814" spans="1:20" ht="11.25" customHeight="1">
      <c r="A814" s="599"/>
      <c r="B814" s="599"/>
      <c r="C814" s="599"/>
      <c r="D814" s="599"/>
      <c r="E814" s="599"/>
      <c r="F814" s="599"/>
      <c r="G814" s="600"/>
      <c r="H814" s="599"/>
      <c r="I814" s="599"/>
      <c r="J814" s="599"/>
      <c r="K814" s="599"/>
      <c r="L814" s="599"/>
      <c r="M814" s="599"/>
      <c r="N814" s="599"/>
      <c r="O814" s="599"/>
      <c r="P814" s="599"/>
      <c r="Q814" s="599"/>
      <c r="R814" s="599"/>
      <c r="S814" s="599"/>
      <c r="T814" s="599"/>
    </row>
    <row r="815" spans="1:20" ht="11.25" customHeight="1">
      <c r="A815" s="599"/>
      <c r="B815" s="599"/>
      <c r="C815" s="599"/>
      <c r="D815" s="599"/>
      <c r="E815" s="599"/>
      <c r="F815" s="599"/>
      <c r="G815" s="600"/>
      <c r="H815" s="599"/>
      <c r="I815" s="599"/>
      <c r="J815" s="599"/>
      <c r="K815" s="599"/>
      <c r="L815" s="599"/>
      <c r="M815" s="599"/>
      <c r="N815" s="599"/>
      <c r="O815" s="599"/>
      <c r="P815" s="599"/>
      <c r="Q815" s="599"/>
      <c r="R815" s="599"/>
      <c r="S815" s="599"/>
      <c r="T815" s="599"/>
    </row>
    <row r="816" spans="1:20" ht="11.25" customHeight="1">
      <c r="A816" s="599"/>
      <c r="B816" s="599"/>
      <c r="C816" s="599"/>
      <c r="D816" s="599"/>
      <c r="E816" s="599"/>
      <c r="F816" s="599"/>
      <c r="G816" s="600"/>
      <c r="H816" s="599"/>
      <c r="I816" s="599"/>
      <c r="J816" s="599"/>
      <c r="K816" s="599"/>
      <c r="L816" s="599"/>
      <c r="M816" s="599"/>
      <c r="N816" s="599"/>
      <c r="O816" s="599"/>
      <c r="P816" s="599"/>
      <c r="Q816" s="599"/>
      <c r="R816" s="599"/>
      <c r="S816" s="599"/>
      <c r="T816" s="599"/>
    </row>
    <row r="817" spans="1:20" ht="11.25" customHeight="1">
      <c r="A817" s="599"/>
      <c r="B817" s="599"/>
      <c r="C817" s="599"/>
      <c r="D817" s="599"/>
      <c r="E817" s="599"/>
      <c r="F817" s="599"/>
      <c r="G817" s="600"/>
      <c r="H817" s="599"/>
      <c r="I817" s="599"/>
      <c r="J817" s="599"/>
      <c r="K817" s="599"/>
      <c r="L817" s="599"/>
      <c r="M817" s="599"/>
      <c r="N817" s="599"/>
      <c r="O817" s="599"/>
      <c r="P817" s="599"/>
      <c r="Q817" s="599"/>
      <c r="R817" s="599"/>
      <c r="S817" s="599"/>
      <c r="T817" s="599"/>
    </row>
    <row r="818" spans="1:20" ht="11.25" customHeight="1">
      <c r="A818" s="599"/>
      <c r="B818" s="599"/>
      <c r="C818" s="599"/>
      <c r="D818" s="599"/>
      <c r="E818" s="599"/>
      <c r="F818" s="599"/>
      <c r="G818" s="600"/>
      <c r="H818" s="599"/>
      <c r="I818" s="599"/>
      <c r="J818" s="599"/>
      <c r="K818" s="599"/>
      <c r="L818" s="599"/>
      <c r="M818" s="599"/>
      <c r="N818" s="599"/>
      <c r="O818" s="599"/>
      <c r="P818" s="599"/>
      <c r="Q818" s="599"/>
      <c r="R818" s="599"/>
      <c r="S818" s="599"/>
      <c r="T818" s="599"/>
    </row>
    <row r="819" spans="1:20" ht="11.25" customHeight="1">
      <c r="A819" s="599"/>
      <c r="B819" s="599"/>
      <c r="C819" s="599"/>
      <c r="D819" s="599"/>
      <c r="E819" s="599"/>
      <c r="F819" s="599"/>
      <c r="G819" s="600"/>
      <c r="H819" s="599"/>
      <c r="I819" s="599"/>
      <c r="J819" s="599"/>
      <c r="K819" s="599"/>
      <c r="L819" s="599"/>
      <c r="M819" s="599"/>
      <c r="N819" s="599"/>
      <c r="O819" s="599"/>
      <c r="P819" s="599"/>
      <c r="Q819" s="599"/>
      <c r="R819" s="599"/>
      <c r="S819" s="599"/>
      <c r="T819" s="599"/>
    </row>
    <row r="820" spans="1:20" ht="11.25" customHeight="1">
      <c r="A820" s="599"/>
      <c r="B820" s="599"/>
      <c r="C820" s="599"/>
      <c r="D820" s="599"/>
      <c r="E820" s="599"/>
      <c r="F820" s="599"/>
      <c r="G820" s="600"/>
      <c r="H820" s="599"/>
      <c r="I820" s="599"/>
      <c r="J820" s="599"/>
      <c r="K820" s="599"/>
      <c r="L820" s="599"/>
      <c r="M820" s="599"/>
      <c r="N820" s="599"/>
      <c r="O820" s="599"/>
      <c r="P820" s="599"/>
      <c r="Q820" s="599"/>
      <c r="R820" s="599"/>
      <c r="S820" s="599"/>
      <c r="T820" s="599"/>
    </row>
    <row r="821" spans="1:20" ht="11.25" customHeight="1">
      <c r="A821" s="599"/>
      <c r="B821" s="599"/>
      <c r="C821" s="599"/>
      <c r="D821" s="599"/>
      <c r="E821" s="599"/>
      <c r="F821" s="599"/>
      <c r="G821" s="600"/>
      <c r="H821" s="599"/>
      <c r="I821" s="599"/>
      <c r="J821" s="599"/>
      <c r="K821" s="599"/>
      <c r="L821" s="599"/>
      <c r="M821" s="599"/>
      <c r="N821" s="599"/>
      <c r="O821" s="599"/>
      <c r="P821" s="599"/>
      <c r="Q821" s="599"/>
      <c r="R821" s="599"/>
      <c r="S821" s="599"/>
      <c r="T821" s="599"/>
    </row>
    <row r="822" spans="1:20" ht="11.25" customHeight="1">
      <c r="A822" s="599"/>
      <c r="B822" s="599"/>
      <c r="C822" s="599"/>
      <c r="D822" s="599"/>
      <c r="E822" s="599"/>
      <c r="F822" s="599"/>
      <c r="G822" s="600"/>
      <c r="H822" s="599"/>
      <c r="I822" s="599"/>
      <c r="J822" s="599"/>
      <c r="K822" s="599"/>
      <c r="L822" s="599"/>
      <c r="M822" s="599"/>
      <c r="N822" s="599"/>
      <c r="O822" s="599"/>
      <c r="P822" s="599"/>
      <c r="Q822" s="599"/>
      <c r="R822" s="599"/>
      <c r="S822" s="599"/>
      <c r="T822" s="599"/>
    </row>
    <row r="823" spans="1:20" ht="11.25" customHeight="1">
      <c r="A823" s="599"/>
      <c r="B823" s="599"/>
      <c r="C823" s="599"/>
      <c r="D823" s="599"/>
      <c r="E823" s="599"/>
      <c r="F823" s="599"/>
      <c r="G823" s="600"/>
      <c r="H823" s="599"/>
      <c r="I823" s="599"/>
      <c r="J823" s="599"/>
      <c r="K823" s="599"/>
      <c r="L823" s="599"/>
      <c r="M823" s="599"/>
      <c r="N823" s="599"/>
      <c r="O823" s="599"/>
      <c r="P823" s="599"/>
      <c r="Q823" s="599"/>
      <c r="R823" s="599"/>
      <c r="S823" s="599"/>
      <c r="T823" s="599"/>
    </row>
    <row r="824" spans="1:20" ht="11.25" customHeight="1">
      <c r="A824" s="599"/>
      <c r="B824" s="599"/>
      <c r="C824" s="599"/>
      <c r="D824" s="599"/>
      <c r="E824" s="599"/>
      <c r="F824" s="599"/>
      <c r="G824" s="600"/>
      <c r="H824" s="599"/>
      <c r="I824" s="599"/>
      <c r="J824" s="599"/>
      <c r="K824" s="599"/>
      <c r="L824" s="599"/>
      <c r="M824" s="599"/>
      <c r="N824" s="599"/>
      <c r="O824" s="599"/>
      <c r="P824" s="599"/>
      <c r="Q824" s="599"/>
      <c r="R824" s="599"/>
      <c r="S824" s="599"/>
      <c r="T824" s="599"/>
    </row>
    <row r="825" spans="1:20" ht="11.25" customHeight="1">
      <c r="A825" s="599"/>
      <c r="B825" s="599"/>
      <c r="C825" s="599"/>
      <c r="D825" s="599"/>
      <c r="E825" s="599"/>
      <c r="F825" s="599"/>
      <c r="G825" s="600"/>
      <c r="H825" s="599"/>
      <c r="I825" s="599"/>
      <c r="J825" s="599"/>
      <c r="K825" s="599"/>
      <c r="L825" s="599"/>
      <c r="M825" s="599"/>
      <c r="N825" s="599"/>
      <c r="O825" s="599"/>
      <c r="P825" s="599"/>
      <c r="Q825" s="599"/>
      <c r="R825" s="599"/>
      <c r="S825" s="599"/>
      <c r="T825" s="599"/>
    </row>
    <row r="826" spans="1:20" ht="11.25" customHeight="1">
      <c r="A826" s="599"/>
      <c r="B826" s="599"/>
      <c r="C826" s="599"/>
      <c r="D826" s="599"/>
      <c r="E826" s="599"/>
      <c r="F826" s="599"/>
      <c r="G826" s="600"/>
      <c r="H826" s="599"/>
      <c r="I826" s="599"/>
      <c r="J826" s="599"/>
      <c r="K826" s="599"/>
      <c r="L826" s="599"/>
      <c r="M826" s="599"/>
      <c r="N826" s="599"/>
      <c r="O826" s="599"/>
      <c r="P826" s="599"/>
      <c r="Q826" s="599"/>
      <c r="R826" s="599"/>
      <c r="S826" s="599"/>
      <c r="T826" s="599"/>
    </row>
    <row r="827" spans="1:20" ht="11.25" customHeight="1">
      <c r="A827" s="599"/>
      <c r="B827" s="599"/>
      <c r="C827" s="599"/>
      <c r="D827" s="599"/>
      <c r="E827" s="599"/>
      <c r="F827" s="599"/>
      <c r="G827" s="600"/>
      <c r="H827" s="599"/>
      <c r="I827" s="599"/>
      <c r="J827" s="599"/>
      <c r="K827" s="599"/>
      <c r="L827" s="599"/>
      <c r="M827" s="599"/>
      <c r="N827" s="599"/>
      <c r="O827" s="599"/>
      <c r="P827" s="599"/>
      <c r="Q827" s="599"/>
      <c r="R827" s="599"/>
      <c r="S827" s="599"/>
      <c r="T827" s="599"/>
    </row>
    <row r="828" spans="1:20" ht="11.25" customHeight="1">
      <c r="A828" s="599"/>
      <c r="B828" s="599"/>
      <c r="C828" s="599"/>
      <c r="D828" s="599"/>
      <c r="E828" s="599"/>
      <c r="F828" s="599"/>
      <c r="G828" s="600"/>
      <c r="H828" s="599"/>
      <c r="I828" s="599"/>
      <c r="J828" s="599"/>
      <c r="K828" s="599"/>
      <c r="L828" s="599"/>
      <c r="M828" s="599"/>
      <c r="N828" s="599"/>
      <c r="O828" s="599"/>
      <c r="P828" s="599"/>
      <c r="Q828" s="599"/>
      <c r="R828" s="599"/>
      <c r="S828" s="599"/>
      <c r="T828" s="599"/>
    </row>
    <row r="829" spans="1:20" ht="11.25" customHeight="1">
      <c r="A829" s="599"/>
      <c r="B829" s="599"/>
      <c r="C829" s="599"/>
      <c r="D829" s="599"/>
      <c r="E829" s="599"/>
      <c r="F829" s="599"/>
      <c r="G829" s="600"/>
      <c r="H829" s="599"/>
      <c r="I829" s="599"/>
      <c r="J829" s="599"/>
      <c r="K829" s="599"/>
      <c r="L829" s="599"/>
      <c r="M829" s="599"/>
      <c r="N829" s="599"/>
      <c r="O829" s="599"/>
      <c r="P829" s="599"/>
      <c r="Q829" s="599"/>
      <c r="R829" s="599"/>
      <c r="S829" s="599"/>
      <c r="T829" s="599"/>
    </row>
    <row r="830" spans="1:20" ht="11.25" customHeight="1">
      <c r="A830" s="599"/>
      <c r="B830" s="599"/>
      <c r="C830" s="599"/>
      <c r="D830" s="599"/>
      <c r="E830" s="599"/>
      <c r="F830" s="599"/>
      <c r="G830" s="600"/>
      <c r="H830" s="599"/>
      <c r="I830" s="599"/>
      <c r="J830" s="599"/>
      <c r="K830" s="599"/>
      <c r="L830" s="599"/>
      <c r="M830" s="599"/>
      <c r="N830" s="599"/>
      <c r="O830" s="599"/>
      <c r="P830" s="599"/>
      <c r="Q830" s="599"/>
      <c r="R830" s="599"/>
      <c r="S830" s="599"/>
      <c r="T830" s="599"/>
    </row>
    <row r="831" spans="1:20" ht="11.25" customHeight="1">
      <c r="A831" s="599"/>
      <c r="B831" s="599"/>
      <c r="C831" s="599"/>
      <c r="D831" s="599"/>
      <c r="E831" s="599"/>
      <c r="F831" s="599"/>
      <c r="G831" s="600"/>
      <c r="H831" s="599"/>
      <c r="I831" s="599"/>
      <c r="J831" s="599"/>
      <c r="K831" s="599"/>
      <c r="L831" s="599"/>
      <c r="M831" s="599"/>
      <c r="N831" s="599"/>
      <c r="O831" s="599"/>
      <c r="P831" s="599"/>
      <c r="Q831" s="599"/>
      <c r="R831" s="599"/>
      <c r="S831" s="599"/>
      <c r="T831" s="599"/>
    </row>
    <row r="832" spans="1:20" ht="11.25" customHeight="1">
      <c r="A832" s="599"/>
      <c r="B832" s="599"/>
      <c r="C832" s="599"/>
      <c r="D832" s="599"/>
      <c r="E832" s="599"/>
      <c r="F832" s="599"/>
      <c r="G832" s="600"/>
      <c r="H832" s="599"/>
      <c r="I832" s="599"/>
      <c r="J832" s="599"/>
      <c r="K832" s="599"/>
      <c r="L832" s="599"/>
      <c r="M832" s="599"/>
      <c r="N832" s="599"/>
      <c r="O832" s="599"/>
      <c r="P832" s="599"/>
      <c r="Q832" s="599"/>
      <c r="R832" s="599"/>
      <c r="S832" s="599"/>
      <c r="T832" s="599"/>
    </row>
    <row r="833" spans="1:20" ht="11.25" customHeight="1">
      <c r="A833" s="599"/>
      <c r="B833" s="599"/>
      <c r="C833" s="599"/>
      <c r="D833" s="599"/>
      <c r="E833" s="599"/>
      <c r="F833" s="599"/>
      <c r="G833" s="600"/>
      <c r="H833" s="599"/>
      <c r="I833" s="599"/>
      <c r="J833" s="599"/>
      <c r="K833" s="599"/>
      <c r="L833" s="599"/>
      <c r="M833" s="599"/>
      <c r="N833" s="599"/>
      <c r="O833" s="599"/>
      <c r="P833" s="599"/>
      <c r="Q833" s="599"/>
      <c r="R833" s="599"/>
      <c r="S833" s="599"/>
      <c r="T833" s="599"/>
    </row>
    <row r="834" spans="1:20" ht="11.25" customHeight="1">
      <c r="A834" s="599"/>
      <c r="B834" s="599"/>
      <c r="C834" s="599"/>
      <c r="D834" s="599"/>
      <c r="E834" s="599"/>
      <c r="F834" s="599"/>
      <c r="G834" s="600"/>
      <c r="H834" s="599"/>
      <c r="I834" s="599"/>
      <c r="J834" s="599"/>
      <c r="K834" s="599"/>
      <c r="L834" s="599"/>
      <c r="M834" s="599"/>
      <c r="N834" s="599"/>
      <c r="O834" s="599"/>
      <c r="P834" s="599"/>
      <c r="Q834" s="599"/>
      <c r="R834" s="599"/>
      <c r="S834" s="599"/>
      <c r="T834" s="599"/>
    </row>
    <row r="835" spans="1:20" ht="11.25" customHeight="1">
      <c r="A835" s="599"/>
      <c r="B835" s="599"/>
      <c r="C835" s="599"/>
      <c r="D835" s="599"/>
      <c r="E835" s="599"/>
      <c r="F835" s="599"/>
      <c r="G835" s="600"/>
      <c r="H835" s="599"/>
      <c r="I835" s="599"/>
      <c r="J835" s="599"/>
      <c r="K835" s="599"/>
      <c r="L835" s="599"/>
      <c r="M835" s="599"/>
      <c r="N835" s="599"/>
      <c r="O835" s="599"/>
      <c r="P835" s="599"/>
      <c r="Q835" s="599"/>
      <c r="R835" s="599"/>
      <c r="S835" s="599"/>
      <c r="T835" s="599"/>
    </row>
    <row r="836" spans="1:20" ht="11.25" customHeight="1">
      <c r="A836" s="599"/>
      <c r="B836" s="599"/>
      <c r="C836" s="599"/>
      <c r="D836" s="599"/>
      <c r="E836" s="599"/>
      <c r="F836" s="599"/>
      <c r="G836" s="600"/>
      <c r="H836" s="599"/>
      <c r="I836" s="599"/>
      <c r="J836" s="599"/>
      <c r="K836" s="599"/>
      <c r="L836" s="599"/>
      <c r="M836" s="599"/>
      <c r="N836" s="599"/>
      <c r="O836" s="599"/>
      <c r="P836" s="599"/>
      <c r="Q836" s="599"/>
      <c r="R836" s="599"/>
      <c r="S836" s="599"/>
      <c r="T836" s="599"/>
    </row>
    <row r="837" spans="1:20" ht="11.25" customHeight="1">
      <c r="A837" s="599"/>
      <c r="B837" s="599"/>
      <c r="C837" s="599"/>
      <c r="D837" s="599"/>
      <c r="E837" s="599"/>
      <c r="F837" s="599"/>
      <c r="G837" s="600"/>
      <c r="H837" s="599"/>
      <c r="I837" s="599"/>
      <c r="J837" s="599"/>
      <c r="K837" s="599"/>
      <c r="L837" s="599"/>
      <c r="M837" s="599"/>
      <c r="N837" s="599"/>
      <c r="O837" s="599"/>
      <c r="P837" s="599"/>
      <c r="Q837" s="599"/>
      <c r="R837" s="599"/>
      <c r="S837" s="599"/>
      <c r="T837" s="599"/>
    </row>
    <row r="838" spans="1:20" ht="11.25" customHeight="1">
      <c r="A838" s="599"/>
      <c r="B838" s="599"/>
      <c r="C838" s="599"/>
      <c r="D838" s="599"/>
      <c r="E838" s="599"/>
      <c r="F838" s="599"/>
      <c r="G838" s="600"/>
      <c r="H838" s="599"/>
      <c r="I838" s="599"/>
      <c r="J838" s="599"/>
      <c r="K838" s="599"/>
      <c r="L838" s="599"/>
      <c r="M838" s="599"/>
      <c r="N838" s="599"/>
      <c r="O838" s="599"/>
      <c r="P838" s="599"/>
      <c r="Q838" s="599"/>
      <c r="R838" s="599"/>
      <c r="S838" s="599"/>
      <c r="T838" s="599"/>
    </row>
    <row r="839" spans="1:20" ht="11.25" customHeight="1">
      <c r="A839" s="599"/>
      <c r="B839" s="599"/>
      <c r="C839" s="599"/>
      <c r="D839" s="599"/>
      <c r="E839" s="599"/>
      <c r="F839" s="599"/>
      <c r="G839" s="600"/>
      <c r="H839" s="599"/>
      <c r="I839" s="599"/>
      <c r="J839" s="599"/>
      <c r="K839" s="599"/>
      <c r="L839" s="599"/>
      <c r="M839" s="599"/>
      <c r="N839" s="599"/>
      <c r="O839" s="599"/>
      <c r="P839" s="599"/>
      <c r="Q839" s="599"/>
      <c r="R839" s="599"/>
      <c r="S839" s="599"/>
      <c r="T839" s="599"/>
    </row>
    <row r="840" spans="1:20" ht="11.25" customHeight="1">
      <c r="A840" s="599"/>
      <c r="B840" s="599"/>
      <c r="C840" s="599"/>
      <c r="D840" s="599"/>
      <c r="E840" s="599"/>
      <c r="F840" s="599"/>
      <c r="G840" s="600"/>
      <c r="H840" s="599"/>
      <c r="I840" s="599"/>
      <c r="J840" s="599"/>
      <c r="K840" s="599"/>
      <c r="L840" s="599"/>
      <c r="M840" s="599"/>
      <c r="N840" s="599"/>
      <c r="O840" s="599"/>
      <c r="P840" s="599"/>
      <c r="Q840" s="599"/>
      <c r="R840" s="599"/>
      <c r="S840" s="599"/>
      <c r="T840" s="599"/>
    </row>
    <row r="841" spans="1:20" ht="11.25" customHeight="1">
      <c r="A841" s="599"/>
      <c r="B841" s="599"/>
      <c r="C841" s="599"/>
      <c r="D841" s="599"/>
      <c r="E841" s="599"/>
      <c r="F841" s="599"/>
      <c r="G841" s="600"/>
      <c r="H841" s="599"/>
      <c r="I841" s="599"/>
      <c r="J841" s="599"/>
      <c r="K841" s="599"/>
      <c r="L841" s="599"/>
      <c r="M841" s="599"/>
      <c r="N841" s="599"/>
      <c r="O841" s="599"/>
      <c r="P841" s="599"/>
      <c r="Q841" s="599"/>
      <c r="R841" s="599"/>
      <c r="S841" s="599"/>
      <c r="T841" s="599"/>
    </row>
    <row r="842" spans="1:20" ht="11.25" customHeight="1">
      <c r="A842" s="599"/>
      <c r="B842" s="599"/>
      <c r="C842" s="599"/>
      <c r="D842" s="599"/>
      <c r="E842" s="599"/>
      <c r="F842" s="599"/>
      <c r="G842" s="600"/>
      <c r="H842" s="599"/>
      <c r="I842" s="599"/>
      <c r="J842" s="599"/>
      <c r="K842" s="599"/>
      <c r="L842" s="599"/>
      <c r="M842" s="599"/>
      <c r="N842" s="599"/>
      <c r="O842" s="599"/>
      <c r="P842" s="599"/>
      <c r="Q842" s="599"/>
      <c r="R842" s="599"/>
      <c r="S842" s="599"/>
      <c r="T842" s="599"/>
    </row>
    <row r="843" spans="1:20" ht="11.25" customHeight="1">
      <c r="A843" s="599"/>
      <c r="B843" s="599"/>
      <c r="C843" s="599"/>
      <c r="D843" s="599"/>
      <c r="E843" s="599"/>
      <c r="F843" s="599"/>
      <c r="G843" s="600"/>
      <c r="H843" s="599"/>
      <c r="I843" s="599"/>
      <c r="J843" s="599"/>
      <c r="K843" s="599"/>
      <c r="L843" s="599"/>
      <c r="M843" s="599"/>
      <c r="N843" s="599"/>
      <c r="O843" s="599"/>
      <c r="P843" s="599"/>
      <c r="Q843" s="599"/>
      <c r="R843" s="599"/>
      <c r="S843" s="599"/>
      <c r="T843" s="599"/>
    </row>
    <row r="844" spans="1:20" ht="11.25" customHeight="1">
      <c r="A844" s="599"/>
      <c r="B844" s="599"/>
      <c r="C844" s="599"/>
      <c r="D844" s="599"/>
      <c r="E844" s="599"/>
      <c r="F844" s="599"/>
      <c r="G844" s="600"/>
      <c r="H844" s="599"/>
      <c r="I844" s="599"/>
      <c r="J844" s="599"/>
      <c r="K844" s="599"/>
      <c r="L844" s="599"/>
      <c r="M844" s="599"/>
      <c r="N844" s="599"/>
      <c r="O844" s="599"/>
      <c r="P844" s="599"/>
      <c r="Q844" s="599"/>
      <c r="R844" s="599"/>
      <c r="S844" s="599"/>
      <c r="T844" s="599"/>
    </row>
    <row r="845" spans="1:20" ht="11.25" customHeight="1">
      <c r="A845" s="599"/>
      <c r="B845" s="599"/>
      <c r="C845" s="599"/>
      <c r="D845" s="599"/>
      <c r="E845" s="599"/>
      <c r="F845" s="599"/>
      <c r="G845" s="600"/>
      <c r="H845" s="599"/>
      <c r="I845" s="599"/>
      <c r="J845" s="599"/>
      <c r="K845" s="599"/>
      <c r="L845" s="599"/>
      <c r="M845" s="599"/>
      <c r="N845" s="599"/>
      <c r="O845" s="599"/>
      <c r="P845" s="599"/>
      <c r="Q845" s="599"/>
      <c r="R845" s="599"/>
      <c r="S845" s="599"/>
      <c r="T845" s="599"/>
    </row>
    <row r="846" spans="1:20" ht="11.25" customHeight="1">
      <c r="A846" s="599"/>
      <c r="B846" s="599"/>
      <c r="C846" s="599"/>
      <c r="D846" s="599"/>
      <c r="E846" s="599"/>
      <c r="F846" s="599"/>
      <c r="G846" s="600"/>
      <c r="H846" s="599"/>
      <c r="I846" s="599"/>
      <c r="J846" s="599"/>
      <c r="K846" s="599"/>
      <c r="L846" s="599"/>
      <c r="M846" s="599"/>
      <c r="N846" s="599"/>
      <c r="O846" s="599"/>
      <c r="P846" s="599"/>
      <c r="Q846" s="599"/>
      <c r="R846" s="599"/>
      <c r="S846" s="599"/>
      <c r="T846" s="599"/>
    </row>
    <row r="847" spans="1:20" ht="11.25" customHeight="1">
      <c r="A847" s="599"/>
      <c r="B847" s="599"/>
      <c r="C847" s="599"/>
      <c r="D847" s="599"/>
      <c r="E847" s="599"/>
      <c r="F847" s="599"/>
      <c r="G847" s="600"/>
      <c r="H847" s="599"/>
      <c r="I847" s="599"/>
      <c r="J847" s="599"/>
      <c r="K847" s="599"/>
      <c r="L847" s="599"/>
      <c r="M847" s="599"/>
      <c r="N847" s="599"/>
      <c r="O847" s="599"/>
      <c r="P847" s="599"/>
      <c r="Q847" s="599"/>
      <c r="R847" s="599"/>
      <c r="S847" s="599"/>
      <c r="T847" s="599"/>
    </row>
    <row r="848" spans="1:20" ht="11.25" customHeight="1">
      <c r="A848" s="599"/>
      <c r="B848" s="599"/>
      <c r="C848" s="599"/>
      <c r="D848" s="599"/>
      <c r="E848" s="599"/>
      <c r="F848" s="599"/>
      <c r="G848" s="600"/>
      <c r="H848" s="599"/>
      <c r="I848" s="599"/>
      <c r="J848" s="599"/>
      <c r="K848" s="599"/>
      <c r="L848" s="599"/>
      <c r="M848" s="599"/>
      <c r="N848" s="599"/>
      <c r="O848" s="599"/>
      <c r="P848" s="599"/>
      <c r="Q848" s="599"/>
      <c r="R848" s="599"/>
      <c r="S848" s="599"/>
      <c r="T848" s="599"/>
    </row>
    <row r="849" spans="1:20" ht="11.25" customHeight="1">
      <c r="A849" s="599"/>
      <c r="B849" s="599"/>
      <c r="C849" s="599"/>
      <c r="D849" s="599"/>
      <c r="E849" s="599"/>
      <c r="F849" s="599"/>
      <c r="G849" s="600"/>
      <c r="H849" s="599"/>
      <c r="I849" s="599"/>
      <c r="J849" s="599"/>
      <c r="K849" s="599"/>
      <c r="L849" s="599"/>
      <c r="M849" s="599"/>
      <c r="N849" s="599"/>
      <c r="O849" s="599"/>
      <c r="P849" s="599"/>
      <c r="Q849" s="599"/>
      <c r="R849" s="599"/>
      <c r="S849" s="599"/>
      <c r="T849" s="599"/>
    </row>
    <row r="850" spans="1:20" ht="11.25" customHeight="1">
      <c r="A850" s="599"/>
      <c r="B850" s="599"/>
      <c r="C850" s="599"/>
      <c r="D850" s="599"/>
      <c r="E850" s="599"/>
      <c r="F850" s="599"/>
      <c r="G850" s="600"/>
      <c r="H850" s="599"/>
      <c r="I850" s="599"/>
      <c r="J850" s="599"/>
      <c r="K850" s="599"/>
      <c r="L850" s="599"/>
      <c r="M850" s="599"/>
      <c r="N850" s="599"/>
      <c r="O850" s="599"/>
      <c r="P850" s="599"/>
      <c r="Q850" s="599"/>
      <c r="R850" s="599"/>
      <c r="S850" s="599"/>
      <c r="T850" s="599"/>
    </row>
    <row r="851" spans="1:20" ht="11.25" customHeight="1">
      <c r="A851" s="599"/>
      <c r="B851" s="599"/>
      <c r="C851" s="599"/>
      <c r="D851" s="599"/>
      <c r="E851" s="599"/>
      <c r="F851" s="599"/>
      <c r="G851" s="600"/>
      <c r="H851" s="599"/>
      <c r="I851" s="599"/>
      <c r="J851" s="599"/>
      <c r="K851" s="599"/>
      <c r="L851" s="599"/>
      <c r="M851" s="599"/>
      <c r="N851" s="599"/>
      <c r="O851" s="599"/>
      <c r="P851" s="599"/>
      <c r="Q851" s="599"/>
      <c r="R851" s="599"/>
      <c r="S851" s="599"/>
      <c r="T851" s="599"/>
    </row>
    <row r="852" spans="1:20" ht="11.25" customHeight="1">
      <c r="A852" s="599"/>
      <c r="B852" s="599"/>
      <c r="C852" s="599"/>
      <c r="D852" s="599"/>
      <c r="E852" s="599"/>
      <c r="F852" s="599"/>
      <c r="G852" s="600"/>
      <c r="H852" s="599"/>
      <c r="I852" s="599"/>
      <c r="J852" s="599"/>
      <c r="K852" s="599"/>
      <c r="L852" s="599"/>
      <c r="M852" s="599"/>
      <c r="N852" s="599"/>
      <c r="O852" s="599"/>
      <c r="P852" s="599"/>
      <c r="Q852" s="599"/>
      <c r="R852" s="599"/>
      <c r="S852" s="599"/>
      <c r="T852" s="599"/>
    </row>
    <row r="853" spans="1:20" ht="11.25" customHeight="1">
      <c r="A853" s="599"/>
      <c r="B853" s="599"/>
      <c r="C853" s="599"/>
      <c r="D853" s="599"/>
      <c r="E853" s="599"/>
      <c r="F853" s="599"/>
      <c r="G853" s="600"/>
      <c r="H853" s="599"/>
      <c r="I853" s="599"/>
      <c r="J853" s="599"/>
      <c r="K853" s="599"/>
      <c r="L853" s="599"/>
      <c r="M853" s="599"/>
      <c r="N853" s="599"/>
      <c r="O853" s="599"/>
      <c r="P853" s="599"/>
      <c r="Q853" s="599"/>
      <c r="R853" s="599"/>
      <c r="S853" s="599"/>
      <c r="T853" s="599"/>
    </row>
    <row r="854" spans="1:20" ht="11.25" customHeight="1">
      <c r="A854" s="599"/>
      <c r="B854" s="599"/>
      <c r="C854" s="599"/>
      <c r="D854" s="599"/>
      <c r="E854" s="599"/>
      <c r="F854" s="599"/>
      <c r="G854" s="600"/>
      <c r="H854" s="599"/>
      <c r="I854" s="599"/>
      <c r="J854" s="599"/>
      <c r="K854" s="599"/>
      <c r="L854" s="599"/>
      <c r="M854" s="599"/>
      <c r="N854" s="599"/>
      <c r="O854" s="599"/>
      <c r="P854" s="599"/>
      <c r="Q854" s="599"/>
      <c r="R854" s="599"/>
      <c r="S854" s="599"/>
      <c r="T854" s="599"/>
    </row>
    <row r="855" spans="1:20" ht="11.25" customHeight="1">
      <c r="A855" s="599"/>
      <c r="B855" s="599"/>
      <c r="C855" s="599"/>
      <c r="D855" s="599"/>
      <c r="E855" s="599"/>
      <c r="F855" s="599"/>
      <c r="G855" s="600"/>
      <c r="H855" s="599"/>
      <c r="I855" s="599"/>
      <c r="J855" s="599"/>
      <c r="K855" s="599"/>
      <c r="L855" s="599"/>
      <c r="M855" s="599"/>
      <c r="N855" s="599"/>
      <c r="O855" s="599"/>
      <c r="P855" s="599"/>
      <c r="Q855" s="599"/>
      <c r="R855" s="599"/>
      <c r="S855" s="599"/>
      <c r="T855" s="599"/>
    </row>
    <row r="856" spans="1:20" ht="11.25" customHeight="1">
      <c r="A856" s="599"/>
      <c r="B856" s="599"/>
      <c r="C856" s="599"/>
      <c r="D856" s="599"/>
      <c r="E856" s="599"/>
      <c r="F856" s="599"/>
      <c r="G856" s="600"/>
      <c r="H856" s="599"/>
      <c r="I856" s="599"/>
      <c r="J856" s="599"/>
      <c r="K856" s="599"/>
      <c r="L856" s="599"/>
      <c r="M856" s="599"/>
      <c r="N856" s="599"/>
      <c r="O856" s="599"/>
      <c r="P856" s="599"/>
      <c r="Q856" s="599"/>
      <c r="R856" s="599"/>
      <c r="S856" s="599"/>
      <c r="T856" s="599"/>
    </row>
    <row r="857" spans="1:20" ht="11.25" customHeight="1">
      <c r="A857" s="599"/>
      <c r="B857" s="599"/>
      <c r="C857" s="599"/>
      <c r="D857" s="599"/>
      <c r="E857" s="599"/>
      <c r="F857" s="599"/>
      <c r="G857" s="600"/>
      <c r="H857" s="599"/>
      <c r="I857" s="599"/>
      <c r="J857" s="599"/>
      <c r="K857" s="599"/>
      <c r="L857" s="599"/>
      <c r="M857" s="599"/>
      <c r="N857" s="599"/>
      <c r="O857" s="599"/>
      <c r="P857" s="599"/>
      <c r="Q857" s="599"/>
      <c r="R857" s="599"/>
      <c r="S857" s="599"/>
      <c r="T857" s="599"/>
    </row>
    <row r="858" spans="1:20" ht="11.25" customHeight="1">
      <c r="A858" s="599"/>
      <c r="B858" s="599"/>
      <c r="C858" s="599"/>
      <c r="D858" s="599"/>
      <c r="E858" s="599"/>
      <c r="F858" s="599"/>
      <c r="G858" s="600"/>
      <c r="H858" s="599"/>
      <c r="I858" s="599"/>
      <c r="J858" s="599"/>
      <c r="K858" s="599"/>
      <c r="L858" s="599"/>
      <c r="M858" s="599"/>
      <c r="N858" s="599"/>
      <c r="O858" s="599"/>
      <c r="P858" s="599"/>
      <c r="Q858" s="599"/>
      <c r="R858" s="599"/>
      <c r="S858" s="599"/>
      <c r="T858" s="599"/>
    </row>
    <row r="859" spans="1:20" ht="11.25" customHeight="1">
      <c r="A859" s="599"/>
      <c r="B859" s="599"/>
      <c r="C859" s="599"/>
      <c r="D859" s="599"/>
      <c r="E859" s="599"/>
      <c r="F859" s="599"/>
      <c r="G859" s="600"/>
      <c r="H859" s="599"/>
      <c r="I859" s="599"/>
      <c r="J859" s="599"/>
      <c r="K859" s="599"/>
      <c r="L859" s="599"/>
      <c r="M859" s="599"/>
      <c r="N859" s="599"/>
      <c r="O859" s="599"/>
      <c r="P859" s="599"/>
      <c r="Q859" s="599"/>
      <c r="R859" s="599"/>
      <c r="S859" s="599"/>
      <c r="T859" s="599"/>
    </row>
    <row r="860" spans="1:20" ht="11.25" customHeight="1">
      <c r="A860" s="599"/>
      <c r="B860" s="599"/>
      <c r="C860" s="599"/>
      <c r="D860" s="599"/>
      <c r="E860" s="599"/>
      <c r="F860" s="599"/>
      <c r="G860" s="600"/>
      <c r="H860" s="599"/>
      <c r="I860" s="599"/>
      <c r="J860" s="599"/>
      <c r="K860" s="599"/>
      <c r="L860" s="599"/>
      <c r="M860" s="599"/>
      <c r="N860" s="599"/>
      <c r="O860" s="599"/>
      <c r="P860" s="599"/>
      <c r="Q860" s="599"/>
      <c r="R860" s="599"/>
      <c r="S860" s="599"/>
      <c r="T860" s="599"/>
    </row>
    <row r="861" spans="1:20" ht="11.25" customHeight="1">
      <c r="A861" s="599"/>
      <c r="B861" s="599"/>
      <c r="C861" s="599"/>
      <c r="D861" s="599"/>
      <c r="E861" s="599"/>
      <c r="F861" s="599"/>
      <c r="G861" s="600"/>
      <c r="H861" s="599"/>
      <c r="I861" s="599"/>
      <c r="J861" s="599"/>
      <c r="K861" s="599"/>
      <c r="L861" s="599"/>
      <c r="M861" s="599"/>
      <c r="N861" s="599"/>
      <c r="O861" s="599"/>
      <c r="P861" s="599"/>
      <c r="Q861" s="599"/>
      <c r="R861" s="599"/>
      <c r="S861" s="599"/>
      <c r="T861" s="599"/>
    </row>
    <row r="862" spans="1:20" ht="11.25" customHeight="1">
      <c r="A862" s="599"/>
      <c r="B862" s="599"/>
      <c r="C862" s="599"/>
      <c r="D862" s="599"/>
      <c r="E862" s="599"/>
      <c r="F862" s="599"/>
      <c r="G862" s="600"/>
      <c r="H862" s="599"/>
      <c r="I862" s="599"/>
      <c r="J862" s="599"/>
      <c r="K862" s="599"/>
      <c r="L862" s="599"/>
      <c r="M862" s="599"/>
      <c r="N862" s="599"/>
      <c r="O862" s="599"/>
      <c r="P862" s="599"/>
      <c r="Q862" s="599"/>
      <c r="R862" s="599"/>
      <c r="S862" s="599"/>
      <c r="T862" s="599"/>
    </row>
    <row r="863" spans="1:20" ht="11.25" customHeight="1">
      <c r="A863" s="599"/>
      <c r="B863" s="599"/>
      <c r="C863" s="599"/>
      <c r="D863" s="599"/>
      <c r="E863" s="599"/>
      <c r="F863" s="599"/>
      <c r="G863" s="600"/>
      <c r="H863" s="599"/>
      <c r="I863" s="599"/>
      <c r="J863" s="599"/>
      <c r="K863" s="599"/>
      <c r="L863" s="599"/>
      <c r="M863" s="599"/>
      <c r="N863" s="599"/>
      <c r="O863" s="599"/>
      <c r="P863" s="599"/>
      <c r="Q863" s="599"/>
      <c r="R863" s="599"/>
      <c r="S863" s="599"/>
      <c r="T863" s="599"/>
    </row>
    <row r="864" spans="1:20" ht="11.25" customHeight="1">
      <c r="A864" s="599"/>
      <c r="B864" s="599"/>
      <c r="C864" s="599"/>
      <c r="D864" s="599"/>
      <c r="E864" s="599"/>
      <c r="F864" s="599"/>
      <c r="G864" s="600"/>
      <c r="H864" s="599"/>
      <c r="I864" s="599"/>
      <c r="J864" s="599"/>
      <c r="K864" s="599"/>
      <c r="L864" s="599"/>
      <c r="M864" s="599"/>
      <c r="N864" s="599"/>
      <c r="O864" s="599"/>
      <c r="P864" s="599"/>
      <c r="Q864" s="599"/>
      <c r="R864" s="599"/>
      <c r="S864" s="599"/>
      <c r="T864" s="599"/>
    </row>
    <row r="865" spans="1:20" ht="11.25" customHeight="1">
      <c r="A865" s="599"/>
      <c r="B865" s="599"/>
      <c r="C865" s="599"/>
      <c r="D865" s="599"/>
      <c r="E865" s="599"/>
      <c r="F865" s="599"/>
      <c r="G865" s="600"/>
      <c r="H865" s="599"/>
      <c r="I865" s="599"/>
      <c r="J865" s="599"/>
      <c r="K865" s="599"/>
      <c r="L865" s="599"/>
      <c r="M865" s="599"/>
      <c r="N865" s="599"/>
      <c r="O865" s="599"/>
      <c r="P865" s="599"/>
      <c r="Q865" s="599"/>
      <c r="R865" s="599"/>
      <c r="S865" s="599"/>
      <c r="T865" s="599"/>
    </row>
    <row r="866" spans="1:20" ht="11.25" customHeight="1">
      <c r="A866" s="599"/>
      <c r="B866" s="599"/>
      <c r="C866" s="599"/>
      <c r="D866" s="599"/>
      <c r="E866" s="599"/>
      <c r="F866" s="599"/>
      <c r="G866" s="600"/>
      <c r="H866" s="599"/>
      <c r="I866" s="599"/>
      <c r="J866" s="599"/>
      <c r="K866" s="599"/>
      <c r="L866" s="599"/>
      <c r="M866" s="599"/>
      <c r="N866" s="599"/>
      <c r="O866" s="599"/>
      <c r="P866" s="599"/>
      <c r="Q866" s="599"/>
      <c r="R866" s="599"/>
      <c r="S866" s="599"/>
      <c r="T866" s="599"/>
    </row>
    <row r="867" spans="1:20" ht="11.25" customHeight="1">
      <c r="A867" s="599"/>
      <c r="B867" s="599"/>
      <c r="C867" s="599"/>
      <c r="D867" s="599"/>
      <c r="E867" s="599"/>
      <c r="F867" s="599"/>
      <c r="G867" s="600"/>
      <c r="H867" s="599"/>
      <c r="I867" s="599"/>
      <c r="J867" s="599"/>
      <c r="K867" s="599"/>
      <c r="L867" s="599"/>
      <c r="M867" s="599"/>
      <c r="N867" s="599"/>
      <c r="O867" s="599"/>
      <c r="P867" s="599"/>
      <c r="Q867" s="599"/>
      <c r="R867" s="599"/>
      <c r="S867" s="599"/>
      <c r="T867" s="599"/>
    </row>
    <row r="868" spans="1:20" ht="11.25" customHeight="1">
      <c r="A868" s="599"/>
      <c r="B868" s="599"/>
      <c r="C868" s="599"/>
      <c r="D868" s="599"/>
      <c r="E868" s="599"/>
      <c r="F868" s="599"/>
      <c r="G868" s="600"/>
      <c r="H868" s="599"/>
      <c r="I868" s="599"/>
      <c r="J868" s="599"/>
      <c r="K868" s="599"/>
      <c r="L868" s="599"/>
      <c r="M868" s="599"/>
      <c r="N868" s="599"/>
      <c r="O868" s="599"/>
      <c r="P868" s="599"/>
      <c r="Q868" s="599"/>
      <c r="R868" s="599"/>
      <c r="S868" s="599"/>
      <c r="T868" s="599"/>
    </row>
    <row r="869" spans="1:20" ht="11.25" customHeight="1">
      <c r="A869" s="599"/>
      <c r="B869" s="599"/>
      <c r="C869" s="599"/>
      <c r="D869" s="599"/>
      <c r="E869" s="599"/>
      <c r="F869" s="599"/>
      <c r="G869" s="600"/>
      <c r="H869" s="599"/>
      <c r="I869" s="599"/>
      <c r="J869" s="599"/>
      <c r="K869" s="599"/>
      <c r="L869" s="599"/>
      <c r="M869" s="599"/>
      <c r="N869" s="599"/>
      <c r="O869" s="599"/>
      <c r="P869" s="599"/>
      <c r="Q869" s="599"/>
      <c r="R869" s="599"/>
      <c r="S869" s="599"/>
      <c r="T869" s="599"/>
    </row>
    <row r="870" spans="1:20" ht="11.25" customHeight="1">
      <c r="A870" s="599"/>
      <c r="B870" s="599"/>
      <c r="C870" s="599"/>
      <c r="D870" s="599"/>
      <c r="E870" s="599"/>
      <c r="F870" s="599"/>
      <c r="G870" s="600"/>
      <c r="H870" s="599"/>
      <c r="I870" s="599"/>
      <c r="J870" s="599"/>
      <c r="K870" s="599"/>
      <c r="L870" s="599"/>
      <c r="M870" s="599"/>
      <c r="N870" s="599"/>
      <c r="O870" s="599"/>
      <c r="P870" s="599"/>
      <c r="Q870" s="599"/>
      <c r="R870" s="599"/>
      <c r="S870" s="599"/>
      <c r="T870" s="599"/>
    </row>
    <row r="871" spans="1:20" ht="11.25" customHeight="1">
      <c r="A871" s="599"/>
      <c r="B871" s="599"/>
      <c r="C871" s="599"/>
      <c r="D871" s="599"/>
      <c r="E871" s="599"/>
      <c r="F871" s="599"/>
      <c r="G871" s="600"/>
      <c r="H871" s="599"/>
      <c r="I871" s="599"/>
      <c r="J871" s="599"/>
      <c r="K871" s="599"/>
      <c r="L871" s="599"/>
      <c r="M871" s="599"/>
      <c r="N871" s="599"/>
      <c r="O871" s="599"/>
      <c r="P871" s="599"/>
      <c r="Q871" s="599"/>
      <c r="R871" s="599"/>
      <c r="S871" s="599"/>
      <c r="T871" s="599"/>
    </row>
    <row r="872" spans="1:20" ht="11.25" customHeight="1">
      <c r="A872" s="599"/>
      <c r="B872" s="599"/>
      <c r="C872" s="599"/>
      <c r="D872" s="599"/>
      <c r="E872" s="599"/>
      <c r="F872" s="599"/>
      <c r="G872" s="600"/>
      <c r="H872" s="599"/>
      <c r="I872" s="599"/>
      <c r="J872" s="599"/>
      <c r="K872" s="599"/>
      <c r="L872" s="599"/>
      <c r="M872" s="599"/>
      <c r="N872" s="599"/>
      <c r="O872" s="599"/>
      <c r="P872" s="599"/>
      <c r="Q872" s="599"/>
      <c r="R872" s="599"/>
      <c r="S872" s="599"/>
      <c r="T872" s="599"/>
    </row>
    <row r="873" spans="1:20" ht="11.25" customHeight="1">
      <c r="A873" s="599"/>
      <c r="B873" s="599"/>
      <c r="C873" s="599"/>
      <c r="D873" s="599"/>
      <c r="E873" s="599"/>
      <c r="F873" s="599"/>
      <c r="G873" s="600"/>
      <c r="H873" s="599"/>
      <c r="I873" s="599"/>
      <c r="J873" s="599"/>
      <c r="K873" s="599"/>
      <c r="L873" s="599"/>
      <c r="M873" s="599"/>
      <c r="N873" s="599"/>
      <c r="O873" s="599"/>
      <c r="P873" s="599"/>
      <c r="Q873" s="599"/>
      <c r="R873" s="599"/>
      <c r="S873" s="599"/>
      <c r="T873" s="599"/>
    </row>
    <row r="874" spans="1:20" ht="11.25" customHeight="1">
      <c r="A874" s="599"/>
      <c r="B874" s="599"/>
      <c r="C874" s="599"/>
      <c r="D874" s="599"/>
      <c r="E874" s="599"/>
      <c r="F874" s="599"/>
      <c r="G874" s="600"/>
      <c r="H874" s="599"/>
      <c r="I874" s="599"/>
      <c r="J874" s="599"/>
      <c r="K874" s="599"/>
      <c r="L874" s="599"/>
      <c r="M874" s="599"/>
      <c r="N874" s="599"/>
      <c r="O874" s="599"/>
      <c r="P874" s="599"/>
      <c r="Q874" s="599"/>
      <c r="R874" s="599"/>
      <c r="S874" s="599"/>
      <c r="T874" s="599"/>
    </row>
    <row r="875" spans="1:20" ht="11.25" customHeight="1">
      <c r="A875" s="599"/>
      <c r="B875" s="599"/>
      <c r="C875" s="599"/>
      <c r="D875" s="599"/>
      <c r="E875" s="599"/>
      <c r="F875" s="599"/>
      <c r="G875" s="600"/>
      <c r="H875" s="599"/>
      <c r="I875" s="599"/>
      <c r="J875" s="599"/>
      <c r="K875" s="599"/>
      <c r="L875" s="599"/>
      <c r="M875" s="599"/>
      <c r="N875" s="599"/>
      <c r="O875" s="599"/>
      <c r="P875" s="599"/>
      <c r="Q875" s="599"/>
      <c r="R875" s="599"/>
      <c r="S875" s="599"/>
      <c r="T875" s="599"/>
    </row>
    <row r="876" spans="1:20" ht="11.25" customHeight="1">
      <c r="A876" s="599"/>
      <c r="B876" s="599"/>
      <c r="C876" s="599"/>
      <c r="D876" s="599"/>
      <c r="E876" s="599"/>
      <c r="F876" s="599"/>
      <c r="G876" s="600"/>
      <c r="H876" s="599"/>
      <c r="I876" s="599"/>
      <c r="J876" s="599"/>
      <c r="K876" s="599"/>
      <c r="L876" s="599"/>
      <c r="M876" s="599"/>
      <c r="N876" s="599"/>
      <c r="O876" s="599"/>
      <c r="P876" s="599"/>
      <c r="Q876" s="599"/>
      <c r="R876" s="599"/>
      <c r="S876" s="599"/>
      <c r="T876" s="599"/>
    </row>
    <row r="877" spans="1:20" ht="11.25" customHeight="1">
      <c r="A877" s="599"/>
      <c r="B877" s="599"/>
      <c r="C877" s="599"/>
      <c r="D877" s="599"/>
      <c r="E877" s="599"/>
      <c r="F877" s="599"/>
      <c r="G877" s="600"/>
      <c r="H877" s="599"/>
      <c r="I877" s="599"/>
      <c r="J877" s="599"/>
      <c r="K877" s="599"/>
      <c r="L877" s="599"/>
      <c r="M877" s="599"/>
      <c r="N877" s="599"/>
      <c r="O877" s="599"/>
      <c r="P877" s="599"/>
      <c r="Q877" s="599"/>
      <c r="R877" s="599"/>
      <c r="S877" s="599"/>
      <c r="T877" s="599"/>
    </row>
    <row r="878" spans="1:20" ht="11.25" customHeight="1">
      <c r="A878" s="599"/>
      <c r="B878" s="599"/>
      <c r="C878" s="599"/>
      <c r="D878" s="599"/>
      <c r="E878" s="599"/>
      <c r="F878" s="599"/>
      <c r="G878" s="600"/>
      <c r="H878" s="599"/>
      <c r="I878" s="599"/>
      <c r="J878" s="599"/>
      <c r="K878" s="599"/>
      <c r="L878" s="599"/>
      <c r="M878" s="599"/>
      <c r="N878" s="599"/>
      <c r="O878" s="599"/>
      <c r="P878" s="599"/>
      <c r="Q878" s="599"/>
      <c r="R878" s="599"/>
      <c r="S878" s="599"/>
      <c r="T878" s="599"/>
    </row>
    <row r="879" spans="1:20" ht="11.25" customHeight="1">
      <c r="A879" s="599"/>
      <c r="B879" s="599"/>
      <c r="C879" s="599"/>
      <c r="D879" s="599"/>
      <c r="E879" s="599"/>
      <c r="F879" s="599"/>
      <c r="G879" s="600"/>
      <c r="H879" s="599"/>
      <c r="I879" s="599"/>
      <c r="J879" s="599"/>
      <c r="K879" s="599"/>
      <c r="L879" s="599"/>
      <c r="M879" s="599"/>
      <c r="N879" s="599"/>
      <c r="O879" s="599"/>
      <c r="P879" s="599"/>
      <c r="Q879" s="599"/>
      <c r="R879" s="599"/>
      <c r="S879" s="599"/>
      <c r="T879" s="599"/>
    </row>
    <row r="880" spans="1:20" ht="11.25" customHeight="1">
      <c r="A880" s="599"/>
      <c r="B880" s="599"/>
      <c r="C880" s="599"/>
      <c r="D880" s="599"/>
      <c r="E880" s="599"/>
      <c r="F880" s="599"/>
      <c r="G880" s="600"/>
      <c r="H880" s="599"/>
      <c r="I880" s="599"/>
      <c r="J880" s="599"/>
      <c r="K880" s="599"/>
      <c r="L880" s="599"/>
      <c r="M880" s="599"/>
      <c r="N880" s="599"/>
      <c r="O880" s="599"/>
      <c r="P880" s="599"/>
      <c r="Q880" s="599"/>
      <c r="R880" s="599"/>
      <c r="S880" s="599"/>
      <c r="T880" s="599"/>
    </row>
    <row r="881" spans="1:20" ht="11.25" customHeight="1">
      <c r="A881" s="599"/>
      <c r="B881" s="599"/>
      <c r="C881" s="599"/>
      <c r="D881" s="599"/>
      <c r="E881" s="599"/>
      <c r="F881" s="599"/>
      <c r="G881" s="600"/>
      <c r="H881" s="599"/>
      <c r="I881" s="599"/>
      <c r="J881" s="599"/>
      <c r="K881" s="599"/>
      <c r="L881" s="599"/>
      <c r="M881" s="599"/>
      <c r="N881" s="599"/>
      <c r="O881" s="599"/>
      <c r="P881" s="599"/>
      <c r="Q881" s="599"/>
      <c r="R881" s="599"/>
      <c r="S881" s="599"/>
      <c r="T881" s="599"/>
    </row>
    <row r="882" spans="1:20" ht="11.25" customHeight="1">
      <c r="A882" s="599"/>
      <c r="B882" s="599"/>
      <c r="C882" s="599"/>
      <c r="D882" s="599"/>
      <c r="E882" s="599"/>
      <c r="F882" s="599"/>
      <c r="G882" s="600"/>
      <c r="H882" s="599"/>
      <c r="I882" s="599"/>
      <c r="J882" s="599"/>
      <c r="K882" s="599"/>
      <c r="L882" s="599"/>
      <c r="M882" s="599"/>
      <c r="N882" s="599"/>
      <c r="O882" s="599"/>
      <c r="P882" s="599"/>
      <c r="Q882" s="599"/>
      <c r="R882" s="599"/>
      <c r="S882" s="599"/>
      <c r="T882" s="599"/>
    </row>
    <row r="883" spans="1:20" ht="11.25" customHeight="1">
      <c r="A883" s="599"/>
      <c r="B883" s="599"/>
      <c r="C883" s="599"/>
      <c r="D883" s="599"/>
      <c r="E883" s="599"/>
      <c r="F883" s="599"/>
      <c r="G883" s="600"/>
      <c r="H883" s="599"/>
      <c r="I883" s="599"/>
      <c r="J883" s="599"/>
      <c r="K883" s="599"/>
      <c r="L883" s="599"/>
      <c r="M883" s="599"/>
      <c r="N883" s="599"/>
      <c r="O883" s="599"/>
      <c r="P883" s="599"/>
      <c r="Q883" s="599"/>
      <c r="R883" s="599"/>
      <c r="S883" s="599"/>
      <c r="T883" s="599"/>
    </row>
    <row r="884" spans="1:20" ht="11.25" customHeight="1">
      <c r="A884" s="599"/>
      <c r="B884" s="599"/>
      <c r="C884" s="599"/>
      <c r="D884" s="599"/>
      <c r="E884" s="599"/>
      <c r="F884" s="599"/>
      <c r="G884" s="600"/>
      <c r="H884" s="599"/>
      <c r="I884" s="599"/>
      <c r="J884" s="599"/>
      <c r="K884" s="599"/>
      <c r="L884" s="599"/>
      <c r="M884" s="599"/>
      <c r="N884" s="599"/>
      <c r="O884" s="599"/>
      <c r="P884" s="599"/>
      <c r="Q884" s="599"/>
      <c r="R884" s="599"/>
      <c r="S884" s="599"/>
      <c r="T884" s="599"/>
    </row>
    <row r="885" spans="1:20" ht="11.25" customHeight="1">
      <c r="A885" s="599"/>
      <c r="B885" s="599"/>
      <c r="C885" s="599"/>
      <c r="D885" s="599"/>
      <c r="E885" s="599"/>
      <c r="F885" s="599"/>
      <c r="G885" s="600"/>
      <c r="H885" s="599"/>
      <c r="I885" s="599"/>
      <c r="J885" s="599"/>
      <c r="K885" s="599"/>
      <c r="L885" s="599"/>
      <c r="M885" s="599"/>
      <c r="N885" s="599"/>
      <c r="O885" s="599"/>
      <c r="P885" s="599"/>
      <c r="Q885" s="599"/>
      <c r="R885" s="599"/>
      <c r="S885" s="599"/>
      <c r="T885" s="599"/>
    </row>
    <row r="886" spans="1:20" ht="11.25" customHeight="1">
      <c r="A886" s="599"/>
      <c r="B886" s="599"/>
      <c r="C886" s="599"/>
      <c r="D886" s="599"/>
      <c r="E886" s="599"/>
      <c r="F886" s="599"/>
      <c r="G886" s="600"/>
      <c r="H886" s="599"/>
      <c r="I886" s="599"/>
      <c r="J886" s="599"/>
      <c r="K886" s="599"/>
      <c r="L886" s="599"/>
      <c r="M886" s="599"/>
      <c r="N886" s="599"/>
      <c r="O886" s="599"/>
      <c r="P886" s="599"/>
      <c r="Q886" s="599"/>
      <c r="R886" s="599"/>
      <c r="S886" s="599"/>
      <c r="T886" s="599"/>
    </row>
    <row r="887" spans="1:20" ht="11.25" customHeight="1">
      <c r="A887" s="599"/>
      <c r="B887" s="599"/>
      <c r="C887" s="599"/>
      <c r="D887" s="599"/>
      <c r="E887" s="599"/>
      <c r="F887" s="599"/>
      <c r="G887" s="600"/>
      <c r="H887" s="599"/>
      <c r="I887" s="599"/>
      <c r="J887" s="599"/>
      <c r="K887" s="599"/>
      <c r="L887" s="599"/>
      <c r="M887" s="599"/>
      <c r="N887" s="599"/>
      <c r="O887" s="599"/>
      <c r="P887" s="599"/>
      <c r="Q887" s="599"/>
      <c r="R887" s="599"/>
      <c r="S887" s="599"/>
      <c r="T887" s="599"/>
    </row>
    <row r="888" spans="1:20" ht="11.25" customHeight="1">
      <c r="A888" s="599"/>
      <c r="B888" s="599"/>
      <c r="C888" s="599"/>
      <c r="D888" s="599"/>
      <c r="E888" s="599"/>
      <c r="F888" s="599"/>
      <c r="G888" s="600"/>
      <c r="H888" s="599"/>
      <c r="I888" s="599"/>
      <c r="J888" s="599"/>
      <c r="K888" s="599"/>
      <c r="L888" s="599"/>
      <c r="M888" s="599"/>
      <c r="N888" s="599"/>
      <c r="O888" s="599"/>
      <c r="P888" s="599"/>
      <c r="Q888" s="599"/>
      <c r="R888" s="599"/>
      <c r="S888" s="599"/>
      <c r="T888" s="599"/>
    </row>
    <row r="889" spans="1:20" ht="11.25" customHeight="1">
      <c r="A889" s="599"/>
      <c r="B889" s="599"/>
      <c r="C889" s="599"/>
      <c r="D889" s="599"/>
      <c r="E889" s="599"/>
      <c r="F889" s="599"/>
      <c r="G889" s="600"/>
      <c r="H889" s="599"/>
      <c r="I889" s="599"/>
      <c r="J889" s="599"/>
      <c r="K889" s="599"/>
      <c r="L889" s="599"/>
      <c r="M889" s="599"/>
      <c r="N889" s="599"/>
      <c r="O889" s="599"/>
      <c r="P889" s="599"/>
      <c r="Q889" s="599"/>
      <c r="R889" s="599"/>
      <c r="S889" s="599"/>
      <c r="T889" s="599"/>
    </row>
    <row r="890" spans="1:20" ht="11.25" customHeight="1">
      <c r="A890" s="599"/>
      <c r="B890" s="599"/>
      <c r="C890" s="599"/>
      <c r="D890" s="599"/>
      <c r="E890" s="599"/>
      <c r="F890" s="599"/>
      <c r="G890" s="600"/>
      <c r="H890" s="599"/>
      <c r="I890" s="599"/>
      <c r="J890" s="599"/>
      <c r="K890" s="599"/>
      <c r="L890" s="599"/>
      <c r="M890" s="599"/>
      <c r="N890" s="599"/>
      <c r="O890" s="599"/>
      <c r="P890" s="599"/>
      <c r="Q890" s="599"/>
      <c r="R890" s="599"/>
      <c r="S890" s="599"/>
      <c r="T890" s="599"/>
    </row>
    <row r="891" spans="1:20" ht="11.25" customHeight="1">
      <c r="A891" s="599"/>
      <c r="B891" s="599"/>
      <c r="C891" s="599"/>
      <c r="D891" s="599"/>
      <c r="E891" s="599"/>
      <c r="F891" s="599"/>
      <c r="G891" s="600"/>
      <c r="H891" s="599"/>
      <c r="I891" s="599"/>
      <c r="J891" s="599"/>
      <c r="K891" s="599"/>
      <c r="L891" s="599"/>
      <c r="M891" s="599"/>
      <c r="N891" s="599"/>
      <c r="O891" s="599"/>
      <c r="P891" s="599"/>
      <c r="Q891" s="599"/>
      <c r="R891" s="599"/>
      <c r="S891" s="599"/>
      <c r="T891" s="599"/>
    </row>
    <row r="892" spans="1:20" ht="11.25" customHeight="1">
      <c r="A892" s="599"/>
      <c r="B892" s="599"/>
      <c r="C892" s="599"/>
      <c r="D892" s="599"/>
      <c r="E892" s="599"/>
      <c r="F892" s="599"/>
      <c r="G892" s="600"/>
      <c r="H892" s="599"/>
      <c r="I892" s="599"/>
      <c r="J892" s="599"/>
      <c r="K892" s="599"/>
      <c r="L892" s="599"/>
      <c r="M892" s="599"/>
      <c r="N892" s="599"/>
      <c r="O892" s="599"/>
      <c r="P892" s="599"/>
      <c r="Q892" s="599"/>
      <c r="R892" s="599"/>
      <c r="S892" s="599"/>
      <c r="T892" s="599"/>
    </row>
    <row r="893" spans="1:20" ht="11.25" customHeight="1">
      <c r="A893" s="599"/>
      <c r="B893" s="599"/>
      <c r="C893" s="599"/>
      <c r="D893" s="599"/>
      <c r="E893" s="599"/>
      <c r="F893" s="599"/>
      <c r="G893" s="600"/>
      <c r="H893" s="599"/>
      <c r="I893" s="599"/>
      <c r="J893" s="599"/>
      <c r="K893" s="599"/>
      <c r="L893" s="599"/>
      <c r="M893" s="599"/>
      <c r="N893" s="599"/>
      <c r="O893" s="599"/>
      <c r="P893" s="599"/>
      <c r="Q893" s="599"/>
      <c r="R893" s="599"/>
      <c r="S893" s="599"/>
      <c r="T893" s="599"/>
    </row>
    <row r="894" spans="1:20" ht="11.25" customHeight="1">
      <c r="A894" s="599"/>
      <c r="B894" s="599"/>
      <c r="C894" s="599"/>
      <c r="D894" s="599"/>
      <c r="E894" s="599"/>
      <c r="F894" s="599"/>
      <c r="G894" s="600"/>
      <c r="H894" s="599"/>
      <c r="I894" s="599"/>
      <c r="J894" s="599"/>
      <c r="K894" s="599"/>
      <c r="L894" s="599"/>
      <c r="M894" s="599"/>
      <c r="N894" s="599"/>
      <c r="O894" s="599"/>
      <c r="P894" s="599"/>
      <c r="Q894" s="599"/>
      <c r="R894" s="599"/>
      <c r="S894" s="599"/>
      <c r="T894" s="599"/>
    </row>
    <row r="895" spans="1:20" ht="11.25" customHeight="1">
      <c r="A895" s="599"/>
      <c r="B895" s="599"/>
      <c r="C895" s="599"/>
      <c r="D895" s="599"/>
      <c r="E895" s="599"/>
      <c r="F895" s="599"/>
      <c r="G895" s="600"/>
      <c r="H895" s="599"/>
      <c r="I895" s="599"/>
      <c r="J895" s="599"/>
      <c r="K895" s="599"/>
      <c r="L895" s="599"/>
      <c r="M895" s="599"/>
      <c r="N895" s="599"/>
      <c r="O895" s="599"/>
      <c r="P895" s="599"/>
      <c r="Q895" s="599"/>
      <c r="R895" s="599"/>
      <c r="S895" s="599"/>
      <c r="T895" s="599"/>
    </row>
    <row r="896" spans="1:20" ht="11.25" customHeight="1">
      <c r="A896" s="599"/>
      <c r="B896" s="599"/>
      <c r="C896" s="599"/>
      <c r="D896" s="599"/>
      <c r="E896" s="599"/>
      <c r="F896" s="599"/>
      <c r="G896" s="600"/>
      <c r="H896" s="599"/>
      <c r="I896" s="599"/>
      <c r="J896" s="599"/>
      <c r="K896" s="599"/>
      <c r="L896" s="599"/>
      <c r="M896" s="599"/>
      <c r="N896" s="599"/>
      <c r="O896" s="599"/>
      <c r="P896" s="599"/>
      <c r="Q896" s="599"/>
      <c r="R896" s="599"/>
      <c r="S896" s="599"/>
      <c r="T896" s="599"/>
    </row>
    <row r="897" spans="1:20" ht="11.25" customHeight="1">
      <c r="A897" s="599"/>
      <c r="B897" s="599"/>
      <c r="C897" s="599"/>
      <c r="D897" s="599"/>
      <c r="E897" s="599"/>
      <c r="F897" s="599"/>
      <c r="G897" s="600"/>
      <c r="H897" s="599"/>
      <c r="I897" s="599"/>
      <c r="J897" s="599"/>
      <c r="K897" s="599"/>
      <c r="L897" s="599"/>
      <c r="M897" s="599"/>
      <c r="N897" s="599"/>
      <c r="O897" s="599"/>
      <c r="P897" s="599"/>
      <c r="Q897" s="599"/>
      <c r="R897" s="599"/>
      <c r="S897" s="599"/>
      <c r="T897" s="599"/>
    </row>
    <row r="898" spans="1:20" ht="11.25" customHeight="1">
      <c r="A898" s="599"/>
      <c r="B898" s="599"/>
      <c r="C898" s="599"/>
      <c r="D898" s="599"/>
      <c r="E898" s="599"/>
      <c r="F898" s="599"/>
      <c r="G898" s="600"/>
      <c r="H898" s="599"/>
      <c r="I898" s="599"/>
      <c r="J898" s="599"/>
      <c r="K898" s="599"/>
      <c r="L898" s="599"/>
      <c r="M898" s="599"/>
      <c r="N898" s="599"/>
      <c r="O898" s="599"/>
      <c r="P898" s="599"/>
      <c r="Q898" s="599"/>
      <c r="R898" s="599"/>
      <c r="S898" s="599"/>
      <c r="T898" s="599"/>
    </row>
    <row r="899" spans="1:20" ht="11.25" customHeight="1">
      <c r="A899" s="599"/>
      <c r="B899" s="599"/>
      <c r="C899" s="599"/>
      <c r="D899" s="599"/>
      <c r="E899" s="599"/>
      <c r="F899" s="599"/>
      <c r="G899" s="600"/>
      <c r="H899" s="599"/>
      <c r="I899" s="599"/>
      <c r="J899" s="599"/>
      <c r="K899" s="599"/>
      <c r="L899" s="599"/>
      <c r="M899" s="599"/>
      <c r="N899" s="599"/>
      <c r="O899" s="599"/>
      <c r="P899" s="599"/>
      <c r="Q899" s="599"/>
      <c r="R899" s="599"/>
      <c r="S899" s="599"/>
      <c r="T899" s="599"/>
    </row>
    <row r="900" spans="1:20" ht="11.25" customHeight="1">
      <c r="A900" s="599"/>
      <c r="B900" s="599"/>
      <c r="C900" s="599"/>
      <c r="D900" s="599"/>
      <c r="E900" s="599"/>
      <c r="F900" s="599"/>
      <c r="G900" s="600"/>
      <c r="H900" s="599"/>
      <c r="I900" s="599"/>
      <c r="J900" s="599"/>
      <c r="K900" s="599"/>
      <c r="L900" s="599"/>
      <c r="M900" s="599"/>
      <c r="N900" s="599"/>
      <c r="O900" s="599"/>
      <c r="P900" s="599"/>
      <c r="Q900" s="599"/>
      <c r="R900" s="599"/>
      <c r="S900" s="599"/>
      <c r="T900" s="599"/>
    </row>
    <row r="901" spans="1:20" ht="11.25" customHeight="1">
      <c r="A901" s="599"/>
      <c r="B901" s="599"/>
      <c r="C901" s="599"/>
      <c r="D901" s="599"/>
      <c r="E901" s="599"/>
      <c r="F901" s="599"/>
      <c r="G901" s="600"/>
      <c r="H901" s="599"/>
      <c r="I901" s="599"/>
      <c r="J901" s="599"/>
      <c r="K901" s="599"/>
      <c r="L901" s="599"/>
      <c r="M901" s="599"/>
      <c r="N901" s="599"/>
      <c r="O901" s="599"/>
      <c r="P901" s="599"/>
      <c r="Q901" s="599"/>
      <c r="R901" s="599"/>
      <c r="S901" s="599"/>
      <c r="T901" s="599"/>
    </row>
    <row r="902" spans="1:20" ht="11.25" customHeight="1">
      <c r="A902" s="599"/>
      <c r="B902" s="599"/>
      <c r="C902" s="599"/>
      <c r="D902" s="599"/>
      <c r="E902" s="599"/>
      <c r="F902" s="599"/>
      <c r="G902" s="600"/>
      <c r="H902" s="599"/>
      <c r="I902" s="599"/>
      <c r="J902" s="599"/>
      <c r="K902" s="599"/>
      <c r="L902" s="599"/>
      <c r="M902" s="599"/>
      <c r="N902" s="599"/>
      <c r="O902" s="599"/>
      <c r="P902" s="599"/>
      <c r="Q902" s="599"/>
      <c r="R902" s="599"/>
      <c r="S902" s="599"/>
      <c r="T902" s="599"/>
    </row>
    <row r="903" spans="1:20" ht="11.25" customHeight="1">
      <c r="A903" s="599"/>
      <c r="B903" s="599"/>
      <c r="C903" s="599"/>
      <c r="D903" s="599"/>
      <c r="E903" s="599"/>
      <c r="F903" s="599"/>
      <c r="G903" s="600"/>
      <c r="H903" s="599"/>
      <c r="I903" s="599"/>
      <c r="J903" s="599"/>
      <c r="K903" s="599"/>
      <c r="L903" s="599"/>
      <c r="M903" s="599"/>
      <c r="N903" s="599"/>
      <c r="O903" s="599"/>
      <c r="P903" s="599"/>
      <c r="Q903" s="599"/>
      <c r="R903" s="599"/>
      <c r="S903" s="599"/>
      <c r="T903" s="599"/>
    </row>
    <row r="904" spans="1:20" ht="11.25" customHeight="1">
      <c r="A904" s="599"/>
      <c r="B904" s="599"/>
      <c r="C904" s="599"/>
      <c r="D904" s="599"/>
      <c r="E904" s="599"/>
      <c r="F904" s="599"/>
      <c r="G904" s="600"/>
      <c r="H904" s="599"/>
      <c r="I904" s="599"/>
      <c r="J904" s="599"/>
      <c r="K904" s="599"/>
      <c r="L904" s="599"/>
      <c r="M904" s="599"/>
      <c r="N904" s="599"/>
      <c r="O904" s="599"/>
      <c r="P904" s="599"/>
      <c r="Q904" s="599"/>
      <c r="R904" s="599"/>
      <c r="S904" s="599"/>
      <c r="T904" s="599"/>
    </row>
    <row r="905" spans="1:20" ht="11.25" customHeight="1">
      <c r="A905" s="599"/>
      <c r="B905" s="599"/>
      <c r="C905" s="599"/>
      <c r="D905" s="599"/>
      <c r="E905" s="599"/>
      <c r="F905" s="599"/>
      <c r="G905" s="600"/>
      <c r="H905" s="599"/>
      <c r="I905" s="599"/>
      <c r="J905" s="599"/>
      <c r="K905" s="599"/>
      <c r="L905" s="599"/>
      <c r="M905" s="599"/>
      <c r="N905" s="599"/>
      <c r="O905" s="599"/>
      <c r="P905" s="599"/>
      <c r="Q905" s="599"/>
      <c r="R905" s="599"/>
      <c r="S905" s="599"/>
      <c r="T905" s="599"/>
    </row>
    <row r="906" spans="1:20" ht="11.25" customHeight="1">
      <c r="A906" s="599"/>
      <c r="B906" s="599"/>
      <c r="C906" s="599"/>
      <c r="D906" s="599"/>
      <c r="E906" s="599"/>
      <c r="F906" s="599"/>
      <c r="G906" s="600"/>
      <c r="H906" s="599"/>
      <c r="I906" s="599"/>
      <c r="J906" s="599"/>
      <c r="K906" s="599"/>
      <c r="L906" s="599"/>
      <c r="M906" s="599"/>
      <c r="N906" s="599"/>
      <c r="O906" s="599"/>
      <c r="P906" s="599"/>
      <c r="Q906" s="599"/>
      <c r="R906" s="599"/>
      <c r="S906" s="599"/>
      <c r="T906" s="599"/>
    </row>
    <row r="907" spans="1:20" ht="11.25" customHeight="1">
      <c r="A907" s="599"/>
      <c r="B907" s="599"/>
      <c r="C907" s="599"/>
      <c r="D907" s="599"/>
      <c r="E907" s="599"/>
      <c r="F907" s="599"/>
      <c r="G907" s="600"/>
      <c r="H907" s="599"/>
      <c r="I907" s="599"/>
      <c r="J907" s="599"/>
      <c r="K907" s="599"/>
      <c r="L907" s="599"/>
      <c r="M907" s="599"/>
      <c r="N907" s="599"/>
      <c r="O907" s="599"/>
      <c r="P907" s="599"/>
      <c r="Q907" s="599"/>
      <c r="R907" s="599"/>
      <c r="S907" s="599"/>
      <c r="T907" s="599"/>
    </row>
    <row r="908" spans="1:20" ht="11.25" customHeight="1">
      <c r="A908" s="599"/>
      <c r="B908" s="599"/>
      <c r="C908" s="599"/>
      <c r="D908" s="599"/>
      <c r="E908" s="599"/>
      <c r="F908" s="599"/>
      <c r="G908" s="600"/>
      <c r="H908" s="599"/>
      <c r="I908" s="599"/>
      <c r="J908" s="599"/>
      <c r="K908" s="599"/>
      <c r="L908" s="599"/>
      <c r="M908" s="599"/>
      <c r="N908" s="599"/>
      <c r="O908" s="599"/>
      <c r="P908" s="599"/>
      <c r="Q908" s="599"/>
      <c r="R908" s="599"/>
      <c r="S908" s="599"/>
      <c r="T908" s="599"/>
    </row>
    <row r="909" spans="1:20" ht="11.25" customHeight="1">
      <c r="A909" s="599"/>
      <c r="B909" s="599"/>
      <c r="C909" s="599"/>
      <c r="D909" s="599"/>
      <c r="E909" s="599"/>
      <c r="F909" s="599"/>
      <c r="G909" s="600"/>
      <c r="H909" s="599"/>
      <c r="I909" s="599"/>
      <c r="J909" s="599"/>
      <c r="K909" s="599"/>
      <c r="L909" s="599"/>
      <c r="M909" s="599"/>
      <c r="N909" s="599"/>
      <c r="O909" s="599"/>
      <c r="P909" s="599"/>
      <c r="Q909" s="599"/>
      <c r="R909" s="599"/>
      <c r="S909" s="599"/>
      <c r="T909" s="599"/>
    </row>
    <row r="910" spans="1:20" ht="11.25" customHeight="1">
      <c r="A910" s="599"/>
      <c r="B910" s="599"/>
      <c r="C910" s="599"/>
      <c r="D910" s="599"/>
      <c r="E910" s="599"/>
      <c r="F910" s="599"/>
      <c r="G910" s="600"/>
      <c r="H910" s="599"/>
      <c r="I910" s="599"/>
      <c r="J910" s="599"/>
      <c r="K910" s="599"/>
      <c r="L910" s="599"/>
      <c r="M910" s="599"/>
      <c r="N910" s="599"/>
      <c r="O910" s="599"/>
      <c r="P910" s="599"/>
      <c r="Q910" s="599"/>
      <c r="R910" s="599"/>
      <c r="S910" s="599"/>
      <c r="T910" s="599"/>
    </row>
    <row r="911" spans="1:20" ht="11.25" customHeight="1">
      <c r="A911" s="599"/>
      <c r="B911" s="599"/>
      <c r="C911" s="599"/>
      <c r="D911" s="599"/>
      <c r="E911" s="599"/>
      <c r="F911" s="599"/>
      <c r="G911" s="600"/>
      <c r="H911" s="599"/>
      <c r="I911" s="599"/>
      <c r="J911" s="599"/>
      <c r="K911" s="599"/>
      <c r="L911" s="599"/>
      <c r="M911" s="599"/>
      <c r="N911" s="599"/>
      <c r="O911" s="599"/>
      <c r="P911" s="599"/>
      <c r="Q911" s="599"/>
      <c r="R911" s="599"/>
      <c r="S911" s="599"/>
      <c r="T911" s="599"/>
    </row>
    <row r="912" spans="1:20" ht="11.25" customHeight="1">
      <c r="A912" s="599"/>
      <c r="B912" s="599"/>
      <c r="C912" s="599"/>
      <c r="D912" s="599"/>
      <c r="E912" s="599"/>
      <c r="F912" s="599"/>
      <c r="G912" s="600"/>
      <c r="H912" s="599"/>
      <c r="I912" s="599"/>
      <c r="J912" s="599"/>
      <c r="K912" s="599"/>
      <c r="L912" s="599"/>
      <c r="M912" s="599"/>
      <c r="N912" s="599"/>
      <c r="O912" s="599"/>
      <c r="P912" s="599"/>
      <c r="Q912" s="599"/>
      <c r="R912" s="599"/>
      <c r="S912" s="599"/>
      <c r="T912" s="599"/>
    </row>
    <row r="913" spans="1:20" ht="11.25" customHeight="1">
      <c r="A913" s="599"/>
      <c r="B913" s="599"/>
      <c r="C913" s="599"/>
      <c r="D913" s="599"/>
      <c r="E913" s="599"/>
      <c r="F913" s="599"/>
      <c r="G913" s="600"/>
      <c r="H913" s="599"/>
      <c r="I913" s="599"/>
      <c r="J913" s="599"/>
      <c r="K913" s="599"/>
      <c r="L913" s="599"/>
      <c r="M913" s="599"/>
      <c r="N913" s="599"/>
      <c r="O913" s="599"/>
      <c r="P913" s="599"/>
      <c r="Q913" s="599"/>
      <c r="R913" s="599"/>
      <c r="S913" s="599"/>
      <c r="T913" s="599"/>
    </row>
    <row r="914" spans="1:20" ht="11.25" customHeight="1">
      <c r="A914" s="599"/>
      <c r="B914" s="599"/>
      <c r="C914" s="599"/>
      <c r="D914" s="599"/>
      <c r="E914" s="599"/>
      <c r="F914" s="599"/>
      <c r="G914" s="600"/>
      <c r="H914" s="599"/>
      <c r="I914" s="599"/>
      <c r="J914" s="599"/>
      <c r="K914" s="599"/>
      <c r="L914" s="599"/>
      <c r="M914" s="599"/>
      <c r="N914" s="599"/>
      <c r="O914" s="599"/>
      <c r="P914" s="599"/>
      <c r="Q914" s="599"/>
      <c r="R914" s="599"/>
      <c r="S914" s="599"/>
      <c r="T914" s="599"/>
    </row>
    <row r="915" spans="1:20" ht="11.25" customHeight="1">
      <c r="A915" s="599"/>
      <c r="B915" s="599"/>
      <c r="C915" s="599"/>
      <c r="D915" s="599"/>
      <c r="E915" s="599"/>
      <c r="F915" s="599"/>
      <c r="G915" s="600"/>
      <c r="H915" s="599"/>
      <c r="I915" s="599"/>
      <c r="J915" s="599"/>
      <c r="K915" s="599"/>
      <c r="L915" s="599"/>
      <c r="M915" s="599"/>
      <c r="N915" s="599"/>
      <c r="O915" s="599"/>
      <c r="P915" s="599"/>
      <c r="Q915" s="599"/>
      <c r="R915" s="599"/>
      <c r="S915" s="599"/>
      <c r="T915" s="599"/>
    </row>
    <row r="916" spans="1:20" ht="11.25" customHeight="1">
      <c r="A916" s="599"/>
      <c r="B916" s="599"/>
      <c r="C916" s="599"/>
      <c r="D916" s="599"/>
      <c r="E916" s="599"/>
      <c r="F916" s="599"/>
      <c r="G916" s="600"/>
      <c r="H916" s="599"/>
      <c r="I916" s="599"/>
      <c r="J916" s="599"/>
      <c r="K916" s="599"/>
      <c r="L916" s="599"/>
      <c r="M916" s="599"/>
      <c r="N916" s="599"/>
      <c r="O916" s="599"/>
      <c r="P916" s="599"/>
      <c r="Q916" s="599"/>
      <c r="R916" s="599"/>
      <c r="S916" s="599"/>
      <c r="T916" s="599"/>
    </row>
    <row r="917" spans="1:20" ht="11.25" customHeight="1">
      <c r="A917" s="599"/>
      <c r="B917" s="599"/>
      <c r="C917" s="599"/>
      <c r="D917" s="599"/>
      <c r="E917" s="599"/>
      <c r="F917" s="599"/>
      <c r="G917" s="600"/>
      <c r="H917" s="599"/>
      <c r="I917" s="599"/>
      <c r="J917" s="599"/>
      <c r="K917" s="599"/>
      <c r="L917" s="599"/>
      <c r="M917" s="599"/>
      <c r="N917" s="599"/>
      <c r="O917" s="599"/>
      <c r="P917" s="599"/>
      <c r="Q917" s="599"/>
      <c r="R917" s="599"/>
      <c r="S917" s="599"/>
      <c r="T917" s="599"/>
    </row>
    <row r="918" spans="1:20" ht="11.25" customHeight="1">
      <c r="A918" s="599"/>
      <c r="B918" s="599"/>
      <c r="C918" s="599"/>
      <c r="D918" s="599"/>
      <c r="E918" s="599"/>
      <c r="F918" s="599"/>
      <c r="G918" s="600"/>
      <c r="H918" s="599"/>
      <c r="I918" s="599"/>
      <c r="J918" s="599"/>
      <c r="K918" s="599"/>
      <c r="L918" s="599"/>
      <c r="M918" s="599"/>
      <c r="N918" s="599"/>
      <c r="O918" s="599"/>
      <c r="P918" s="599"/>
      <c r="Q918" s="599"/>
      <c r="R918" s="599"/>
      <c r="S918" s="599"/>
      <c r="T918" s="599"/>
    </row>
    <row r="919" spans="1:20" ht="11.25" customHeight="1">
      <c r="A919" s="599"/>
      <c r="B919" s="599"/>
      <c r="C919" s="599"/>
      <c r="D919" s="599"/>
      <c r="E919" s="599"/>
      <c r="F919" s="599"/>
      <c r="G919" s="600"/>
      <c r="H919" s="599"/>
      <c r="I919" s="599"/>
      <c r="J919" s="599"/>
      <c r="K919" s="599"/>
      <c r="L919" s="599"/>
      <c r="M919" s="599"/>
      <c r="N919" s="599"/>
      <c r="O919" s="599"/>
      <c r="P919" s="599"/>
      <c r="Q919" s="599"/>
      <c r="R919" s="599"/>
      <c r="S919" s="599"/>
      <c r="T919" s="599"/>
    </row>
    <row r="920" spans="1:20" ht="11.25" customHeight="1">
      <c r="A920" s="599"/>
      <c r="B920" s="599"/>
      <c r="C920" s="599"/>
      <c r="D920" s="599"/>
      <c r="E920" s="599"/>
      <c r="F920" s="599"/>
      <c r="G920" s="600"/>
      <c r="H920" s="599"/>
      <c r="I920" s="599"/>
      <c r="J920" s="599"/>
      <c r="K920" s="599"/>
      <c r="L920" s="599"/>
      <c r="M920" s="599"/>
      <c r="N920" s="599"/>
      <c r="O920" s="599"/>
      <c r="P920" s="599"/>
      <c r="Q920" s="599"/>
      <c r="R920" s="599"/>
      <c r="S920" s="599"/>
      <c r="T920" s="599"/>
    </row>
    <row r="921" spans="1:20" ht="11.25" customHeight="1">
      <c r="A921" s="599"/>
      <c r="B921" s="599"/>
      <c r="C921" s="599"/>
      <c r="D921" s="599"/>
      <c r="E921" s="599"/>
      <c r="F921" s="599"/>
      <c r="G921" s="600"/>
      <c r="H921" s="599"/>
      <c r="I921" s="599"/>
      <c r="J921" s="599"/>
      <c r="K921" s="599"/>
      <c r="L921" s="599"/>
      <c r="M921" s="599"/>
      <c r="N921" s="599"/>
      <c r="O921" s="599"/>
      <c r="P921" s="599"/>
      <c r="Q921" s="599"/>
      <c r="R921" s="599"/>
      <c r="S921" s="599"/>
      <c r="T921" s="599"/>
    </row>
    <row r="922" spans="1:20" ht="11.25" customHeight="1">
      <c r="A922" s="599"/>
      <c r="B922" s="599"/>
      <c r="C922" s="599"/>
      <c r="D922" s="599"/>
      <c r="E922" s="599"/>
      <c r="F922" s="599"/>
      <c r="G922" s="600"/>
      <c r="H922" s="599"/>
      <c r="I922" s="599"/>
      <c r="J922" s="599"/>
      <c r="K922" s="599"/>
      <c r="L922" s="599"/>
      <c r="M922" s="599"/>
      <c r="N922" s="599"/>
      <c r="O922" s="599"/>
      <c r="P922" s="599"/>
      <c r="Q922" s="599"/>
      <c r="R922" s="599"/>
      <c r="S922" s="599"/>
      <c r="T922" s="599"/>
    </row>
    <row r="923" spans="1:20" ht="11.25" customHeight="1">
      <c r="A923" s="599"/>
      <c r="B923" s="599"/>
      <c r="C923" s="599"/>
      <c r="D923" s="599"/>
      <c r="E923" s="599"/>
      <c r="F923" s="599"/>
      <c r="G923" s="600"/>
      <c r="H923" s="599"/>
      <c r="I923" s="599"/>
      <c r="J923" s="599"/>
      <c r="K923" s="599"/>
      <c r="L923" s="599"/>
      <c r="M923" s="599"/>
      <c r="N923" s="599"/>
      <c r="O923" s="599"/>
      <c r="P923" s="599"/>
      <c r="Q923" s="599"/>
      <c r="R923" s="599"/>
      <c r="S923" s="599"/>
      <c r="T923" s="599"/>
    </row>
    <row r="924" spans="1:20" ht="11.25" customHeight="1">
      <c r="A924" s="599"/>
      <c r="B924" s="599"/>
      <c r="C924" s="599"/>
      <c r="D924" s="599"/>
      <c r="E924" s="599"/>
      <c r="F924" s="599"/>
      <c r="G924" s="600"/>
      <c r="H924" s="599"/>
      <c r="I924" s="599"/>
      <c r="J924" s="599"/>
      <c r="K924" s="599"/>
      <c r="L924" s="599"/>
      <c r="M924" s="599"/>
      <c r="N924" s="599"/>
      <c r="O924" s="599"/>
      <c r="P924" s="599"/>
      <c r="Q924" s="599"/>
      <c r="R924" s="599"/>
      <c r="S924" s="599"/>
      <c r="T924" s="599"/>
    </row>
    <row r="925" spans="1:20" ht="11.25" customHeight="1">
      <c r="A925" s="599"/>
      <c r="B925" s="599"/>
      <c r="C925" s="599"/>
      <c r="D925" s="599"/>
      <c r="E925" s="599"/>
      <c r="F925" s="599"/>
      <c r="G925" s="600"/>
      <c r="H925" s="599"/>
      <c r="I925" s="599"/>
      <c r="J925" s="599"/>
      <c r="K925" s="599"/>
      <c r="L925" s="599"/>
      <c r="M925" s="599"/>
      <c r="N925" s="599"/>
      <c r="O925" s="599"/>
      <c r="P925" s="599"/>
      <c r="Q925" s="599"/>
      <c r="R925" s="599"/>
      <c r="S925" s="599"/>
      <c r="T925" s="599"/>
    </row>
    <row r="926" spans="1:20" ht="11.25" customHeight="1">
      <c r="A926" s="599"/>
      <c r="B926" s="599"/>
      <c r="C926" s="599"/>
      <c r="D926" s="599"/>
      <c r="E926" s="599"/>
      <c r="F926" s="599"/>
      <c r="G926" s="600"/>
      <c r="H926" s="599"/>
      <c r="I926" s="599"/>
      <c r="J926" s="599"/>
      <c r="K926" s="599"/>
      <c r="L926" s="599"/>
      <c r="M926" s="599"/>
      <c r="N926" s="599"/>
      <c r="O926" s="599"/>
      <c r="P926" s="599"/>
      <c r="Q926" s="599"/>
      <c r="R926" s="599"/>
      <c r="S926" s="599"/>
      <c r="T926" s="599"/>
    </row>
    <row r="927" spans="1:20" ht="11.25" customHeight="1">
      <c r="A927" s="599"/>
      <c r="B927" s="599"/>
      <c r="C927" s="599"/>
      <c r="D927" s="599"/>
      <c r="E927" s="599"/>
      <c r="F927" s="599"/>
      <c r="G927" s="600"/>
      <c r="H927" s="599"/>
      <c r="I927" s="599"/>
      <c r="J927" s="599"/>
      <c r="K927" s="599"/>
      <c r="L927" s="599"/>
      <c r="M927" s="599"/>
      <c r="N927" s="599"/>
      <c r="O927" s="599"/>
      <c r="P927" s="599"/>
      <c r="Q927" s="599"/>
      <c r="R927" s="599"/>
      <c r="S927" s="599"/>
      <c r="T927" s="599"/>
    </row>
    <row r="928" spans="1:20" ht="11.25" customHeight="1">
      <c r="A928" s="599"/>
      <c r="B928" s="599"/>
      <c r="C928" s="599"/>
      <c r="D928" s="599"/>
      <c r="E928" s="599"/>
      <c r="F928" s="599"/>
      <c r="G928" s="600"/>
      <c r="H928" s="599"/>
      <c r="I928" s="599"/>
      <c r="J928" s="599"/>
      <c r="K928" s="599"/>
      <c r="L928" s="599"/>
      <c r="M928" s="599"/>
      <c r="N928" s="599"/>
      <c r="O928" s="599"/>
      <c r="P928" s="599"/>
      <c r="Q928" s="599"/>
      <c r="R928" s="599"/>
      <c r="S928" s="599"/>
      <c r="T928" s="599"/>
    </row>
    <row r="929" spans="1:20" ht="11.25" customHeight="1">
      <c r="A929" s="599"/>
      <c r="B929" s="599"/>
      <c r="C929" s="599"/>
      <c r="D929" s="599"/>
      <c r="E929" s="599"/>
      <c r="F929" s="599"/>
      <c r="G929" s="600"/>
      <c r="H929" s="599"/>
      <c r="I929" s="599"/>
      <c r="J929" s="599"/>
      <c r="K929" s="599"/>
      <c r="L929" s="599"/>
      <c r="M929" s="599"/>
      <c r="N929" s="599"/>
      <c r="O929" s="599"/>
      <c r="P929" s="599"/>
      <c r="Q929" s="599"/>
      <c r="R929" s="599"/>
      <c r="S929" s="599"/>
      <c r="T929" s="599"/>
    </row>
    <row r="930" spans="1:20" ht="11.25" customHeight="1">
      <c r="A930" s="599"/>
      <c r="B930" s="599"/>
      <c r="C930" s="599"/>
      <c r="D930" s="599"/>
      <c r="E930" s="599"/>
      <c r="F930" s="599"/>
      <c r="G930" s="600"/>
      <c r="H930" s="599"/>
      <c r="I930" s="599"/>
      <c r="J930" s="599"/>
      <c r="K930" s="599"/>
      <c r="L930" s="599"/>
      <c r="M930" s="599"/>
      <c r="N930" s="599"/>
      <c r="O930" s="599"/>
      <c r="P930" s="599"/>
      <c r="Q930" s="599"/>
      <c r="R930" s="599"/>
      <c r="S930" s="599"/>
      <c r="T930" s="599"/>
    </row>
    <row r="931" spans="1:20" ht="11.25" customHeight="1">
      <c r="A931" s="599"/>
      <c r="B931" s="599"/>
      <c r="C931" s="599"/>
      <c r="D931" s="599"/>
      <c r="E931" s="599"/>
      <c r="F931" s="599"/>
      <c r="G931" s="600"/>
      <c r="H931" s="599"/>
      <c r="I931" s="599"/>
      <c r="J931" s="599"/>
      <c r="K931" s="599"/>
      <c r="L931" s="599"/>
      <c r="M931" s="599"/>
      <c r="N931" s="599"/>
      <c r="O931" s="599"/>
      <c r="P931" s="599"/>
      <c r="Q931" s="599"/>
      <c r="R931" s="599"/>
      <c r="S931" s="599"/>
      <c r="T931" s="599"/>
    </row>
    <row r="932" spans="1:20" ht="11.25" customHeight="1">
      <c r="A932" s="599"/>
      <c r="B932" s="599"/>
      <c r="C932" s="599"/>
      <c r="D932" s="599"/>
      <c r="E932" s="599"/>
      <c r="F932" s="599"/>
      <c r="G932" s="600"/>
      <c r="H932" s="599"/>
      <c r="I932" s="599"/>
      <c r="J932" s="599"/>
      <c r="K932" s="599"/>
      <c r="L932" s="599"/>
      <c r="M932" s="599"/>
      <c r="N932" s="599"/>
      <c r="O932" s="599"/>
      <c r="P932" s="599"/>
      <c r="Q932" s="599"/>
      <c r="R932" s="599"/>
      <c r="S932" s="599"/>
      <c r="T932" s="599"/>
    </row>
    <row r="933" spans="1:20" ht="11.25" customHeight="1">
      <c r="A933" s="599"/>
      <c r="B933" s="599"/>
      <c r="C933" s="599"/>
      <c r="D933" s="599"/>
      <c r="E933" s="599"/>
      <c r="F933" s="599"/>
      <c r="G933" s="600"/>
      <c r="H933" s="599"/>
      <c r="I933" s="599"/>
      <c r="J933" s="599"/>
      <c r="K933" s="599"/>
      <c r="L933" s="599"/>
      <c r="M933" s="599"/>
      <c r="N933" s="599"/>
      <c r="O933" s="599"/>
      <c r="P933" s="599"/>
      <c r="Q933" s="599"/>
      <c r="R933" s="599"/>
      <c r="S933" s="599"/>
      <c r="T933" s="599"/>
    </row>
    <row r="934" spans="1:20" ht="11.25" customHeight="1">
      <c r="A934" s="599"/>
      <c r="B934" s="599"/>
      <c r="C934" s="599"/>
      <c r="D934" s="599"/>
      <c r="E934" s="599"/>
      <c r="F934" s="599"/>
      <c r="G934" s="600"/>
      <c r="H934" s="599"/>
      <c r="I934" s="599"/>
      <c r="J934" s="599"/>
      <c r="K934" s="599"/>
      <c r="L934" s="599"/>
      <c r="M934" s="599"/>
      <c r="N934" s="599"/>
      <c r="O934" s="599"/>
      <c r="P934" s="599"/>
      <c r="Q934" s="599"/>
      <c r="R934" s="599"/>
      <c r="S934" s="599"/>
      <c r="T934" s="599"/>
    </row>
    <row r="935" spans="1:20" ht="11.25" customHeight="1">
      <c r="A935" s="599"/>
      <c r="B935" s="599"/>
      <c r="C935" s="599"/>
      <c r="D935" s="599"/>
      <c r="E935" s="599"/>
      <c r="F935" s="599"/>
      <c r="G935" s="600"/>
      <c r="H935" s="599"/>
      <c r="I935" s="599"/>
      <c r="J935" s="599"/>
      <c r="K935" s="599"/>
      <c r="L935" s="599"/>
      <c r="M935" s="599"/>
      <c r="N935" s="599"/>
      <c r="O935" s="599"/>
      <c r="P935" s="599"/>
      <c r="Q935" s="599"/>
      <c r="R935" s="599"/>
      <c r="S935" s="599"/>
      <c r="T935" s="599"/>
    </row>
    <row r="936" spans="1:20" ht="11.25" customHeight="1">
      <c r="A936" s="599"/>
      <c r="B936" s="599"/>
      <c r="C936" s="599"/>
      <c r="D936" s="599"/>
      <c r="E936" s="599"/>
      <c r="F936" s="599"/>
      <c r="G936" s="600"/>
      <c r="H936" s="599"/>
      <c r="I936" s="599"/>
      <c r="J936" s="599"/>
      <c r="K936" s="599"/>
      <c r="L936" s="599"/>
      <c r="M936" s="599"/>
      <c r="N936" s="599"/>
      <c r="O936" s="599"/>
      <c r="P936" s="599"/>
      <c r="Q936" s="599"/>
      <c r="R936" s="599"/>
      <c r="S936" s="599"/>
      <c r="T936" s="599"/>
    </row>
    <row r="937" spans="1:20" ht="11.25" customHeight="1">
      <c r="A937" s="599"/>
      <c r="B937" s="599"/>
      <c r="C937" s="599"/>
      <c r="D937" s="599"/>
      <c r="E937" s="599"/>
      <c r="F937" s="599"/>
      <c r="G937" s="600"/>
      <c r="H937" s="599"/>
      <c r="I937" s="599"/>
      <c r="J937" s="599"/>
      <c r="K937" s="599"/>
      <c r="L937" s="599"/>
      <c r="M937" s="599"/>
      <c r="N937" s="599"/>
      <c r="O937" s="599"/>
      <c r="P937" s="599"/>
      <c r="Q937" s="599"/>
      <c r="R937" s="599"/>
      <c r="S937" s="599"/>
      <c r="T937" s="599"/>
    </row>
    <row r="938" spans="1:20" ht="11.25" customHeight="1">
      <c r="A938" s="599"/>
      <c r="B938" s="599"/>
      <c r="C938" s="599"/>
      <c r="D938" s="599"/>
      <c r="E938" s="599"/>
      <c r="F938" s="599"/>
      <c r="G938" s="600"/>
      <c r="H938" s="599"/>
      <c r="I938" s="599"/>
      <c r="J938" s="599"/>
      <c r="K938" s="599"/>
      <c r="L938" s="599"/>
      <c r="M938" s="599"/>
      <c r="N938" s="599"/>
      <c r="O938" s="599"/>
      <c r="P938" s="599"/>
      <c r="Q938" s="599"/>
      <c r="R938" s="599"/>
      <c r="S938" s="599"/>
      <c r="T938" s="599"/>
    </row>
    <row r="939" spans="1:20" ht="11.25" customHeight="1">
      <c r="A939" s="599"/>
      <c r="B939" s="599"/>
      <c r="C939" s="599"/>
      <c r="D939" s="599"/>
      <c r="E939" s="599"/>
      <c r="F939" s="599"/>
      <c r="G939" s="600"/>
      <c r="H939" s="599"/>
      <c r="I939" s="599"/>
      <c r="J939" s="599"/>
      <c r="K939" s="599"/>
      <c r="L939" s="599"/>
      <c r="M939" s="599"/>
      <c r="N939" s="599"/>
      <c r="O939" s="599"/>
      <c r="P939" s="599"/>
      <c r="Q939" s="599"/>
      <c r="R939" s="599"/>
      <c r="S939" s="599"/>
      <c r="T939" s="599"/>
    </row>
    <row r="940" spans="1:20" ht="11.25" customHeight="1">
      <c r="A940" s="599"/>
      <c r="B940" s="599"/>
      <c r="C940" s="599"/>
      <c r="D940" s="599"/>
      <c r="E940" s="599"/>
      <c r="F940" s="599"/>
      <c r="G940" s="600"/>
      <c r="H940" s="599"/>
      <c r="I940" s="599"/>
      <c r="J940" s="599"/>
      <c r="K940" s="599"/>
      <c r="L940" s="599"/>
      <c r="M940" s="599"/>
      <c r="N940" s="599"/>
      <c r="O940" s="599"/>
      <c r="P940" s="599"/>
      <c r="Q940" s="599"/>
      <c r="R940" s="599"/>
      <c r="S940" s="599"/>
      <c r="T940" s="599"/>
    </row>
    <row r="941" spans="1:20" ht="11.25" customHeight="1">
      <c r="A941" s="599"/>
      <c r="B941" s="599"/>
      <c r="C941" s="599"/>
      <c r="D941" s="599"/>
      <c r="E941" s="599"/>
      <c r="F941" s="599"/>
      <c r="G941" s="600"/>
      <c r="H941" s="599"/>
      <c r="I941" s="599"/>
      <c r="J941" s="599"/>
      <c r="K941" s="599"/>
      <c r="L941" s="599"/>
      <c r="M941" s="599"/>
      <c r="N941" s="599"/>
      <c r="O941" s="599"/>
      <c r="P941" s="599"/>
      <c r="Q941" s="599"/>
      <c r="R941" s="599"/>
      <c r="S941" s="599"/>
      <c r="T941" s="599"/>
    </row>
    <row r="942" spans="1:20" ht="11.25" customHeight="1">
      <c r="A942" s="599"/>
      <c r="B942" s="599"/>
      <c r="C942" s="599"/>
      <c r="D942" s="599"/>
      <c r="E942" s="599"/>
      <c r="F942" s="599"/>
      <c r="G942" s="600"/>
      <c r="H942" s="599"/>
      <c r="I942" s="599"/>
      <c r="J942" s="599"/>
      <c r="K942" s="599"/>
      <c r="L942" s="599"/>
      <c r="M942" s="599"/>
      <c r="N942" s="599"/>
      <c r="O942" s="599"/>
      <c r="P942" s="599"/>
      <c r="Q942" s="599"/>
      <c r="R942" s="599"/>
      <c r="S942" s="599"/>
      <c r="T942" s="599"/>
    </row>
    <row r="943" spans="1:20" ht="11.25" customHeight="1">
      <c r="A943" s="599"/>
      <c r="B943" s="599"/>
      <c r="C943" s="599"/>
      <c r="D943" s="599"/>
      <c r="E943" s="599"/>
      <c r="F943" s="599"/>
      <c r="G943" s="600"/>
      <c r="H943" s="599"/>
      <c r="I943" s="599"/>
      <c r="J943" s="599"/>
      <c r="K943" s="599"/>
      <c r="L943" s="599"/>
      <c r="M943" s="599"/>
      <c r="N943" s="599"/>
      <c r="O943" s="599"/>
      <c r="P943" s="599"/>
      <c r="Q943" s="599"/>
      <c r="R943" s="599"/>
      <c r="S943" s="599"/>
      <c r="T943" s="599"/>
    </row>
    <row r="944" spans="1:20" ht="11.25" customHeight="1">
      <c r="A944" s="599"/>
      <c r="B944" s="599"/>
      <c r="C944" s="599"/>
      <c r="D944" s="599"/>
      <c r="E944" s="599"/>
      <c r="F944" s="599"/>
      <c r="G944" s="600"/>
      <c r="H944" s="599"/>
      <c r="I944" s="599"/>
      <c r="J944" s="599"/>
      <c r="K944" s="599"/>
      <c r="L944" s="599"/>
      <c r="M944" s="599"/>
      <c r="N944" s="599"/>
      <c r="O944" s="599"/>
      <c r="P944" s="599"/>
      <c r="Q944" s="599"/>
      <c r="R944" s="599"/>
      <c r="S944" s="599"/>
      <c r="T944" s="599"/>
    </row>
    <row r="945" spans="1:20" ht="11.25" customHeight="1">
      <c r="A945" s="599"/>
      <c r="B945" s="599"/>
      <c r="C945" s="599"/>
      <c r="D945" s="599"/>
      <c r="E945" s="599"/>
      <c r="F945" s="599"/>
      <c r="G945" s="600"/>
      <c r="H945" s="599"/>
      <c r="I945" s="599"/>
      <c r="J945" s="599"/>
      <c r="K945" s="599"/>
      <c r="L945" s="599"/>
      <c r="M945" s="599"/>
      <c r="N945" s="599"/>
      <c r="O945" s="599"/>
      <c r="P945" s="599"/>
      <c r="Q945" s="599"/>
      <c r="R945" s="599"/>
      <c r="S945" s="599"/>
      <c r="T945" s="599"/>
    </row>
    <row r="946" spans="1:20" ht="11.25" customHeight="1">
      <c r="A946" s="599"/>
      <c r="B946" s="599"/>
      <c r="C946" s="599"/>
      <c r="D946" s="599"/>
      <c r="E946" s="599"/>
      <c r="F946" s="599"/>
      <c r="G946" s="600"/>
      <c r="H946" s="599"/>
      <c r="I946" s="599"/>
      <c r="J946" s="599"/>
      <c r="K946" s="599"/>
      <c r="L946" s="599"/>
      <c r="M946" s="599"/>
      <c r="N946" s="599"/>
      <c r="O946" s="599"/>
      <c r="P946" s="599"/>
      <c r="Q946" s="599"/>
      <c r="R946" s="599"/>
      <c r="S946" s="599"/>
      <c r="T946" s="599"/>
    </row>
    <row r="947" spans="1:20" ht="11.25" customHeight="1">
      <c r="A947" s="599"/>
      <c r="B947" s="599"/>
      <c r="C947" s="599"/>
      <c r="D947" s="599"/>
      <c r="E947" s="599"/>
      <c r="F947" s="599"/>
      <c r="G947" s="600"/>
      <c r="H947" s="599"/>
      <c r="I947" s="599"/>
      <c r="J947" s="599"/>
      <c r="K947" s="599"/>
      <c r="L947" s="599"/>
      <c r="M947" s="599"/>
      <c r="N947" s="599"/>
      <c r="O947" s="599"/>
      <c r="P947" s="599"/>
      <c r="Q947" s="599"/>
      <c r="R947" s="599"/>
      <c r="S947" s="599"/>
      <c r="T947" s="599"/>
    </row>
    <row r="948" spans="1:20" ht="11.25" customHeight="1">
      <c r="A948" s="599"/>
      <c r="B948" s="599"/>
      <c r="C948" s="599"/>
      <c r="D948" s="599"/>
      <c r="E948" s="599"/>
      <c r="F948" s="599"/>
      <c r="G948" s="600"/>
      <c r="H948" s="599"/>
      <c r="I948" s="599"/>
      <c r="J948" s="599"/>
      <c r="K948" s="599"/>
      <c r="L948" s="599"/>
      <c r="M948" s="599"/>
      <c r="N948" s="599"/>
      <c r="O948" s="599"/>
      <c r="P948" s="599"/>
      <c r="Q948" s="599"/>
      <c r="R948" s="599"/>
      <c r="S948" s="599"/>
      <c r="T948" s="599"/>
    </row>
    <row r="949" spans="1:20" ht="11.25" customHeight="1">
      <c r="A949" s="599"/>
      <c r="B949" s="599"/>
      <c r="C949" s="599"/>
      <c r="D949" s="599"/>
      <c r="E949" s="599"/>
      <c r="F949" s="599"/>
      <c r="G949" s="600"/>
      <c r="H949" s="599"/>
      <c r="I949" s="599"/>
      <c r="J949" s="599"/>
      <c r="K949" s="599"/>
      <c r="L949" s="599"/>
      <c r="M949" s="599"/>
      <c r="N949" s="599"/>
      <c r="O949" s="599"/>
      <c r="P949" s="599"/>
      <c r="Q949" s="599"/>
      <c r="R949" s="599"/>
      <c r="S949" s="599"/>
      <c r="T949" s="599"/>
    </row>
    <row r="950" spans="1:20" ht="11.25" customHeight="1">
      <c r="A950" s="599"/>
      <c r="B950" s="599"/>
      <c r="C950" s="599"/>
      <c r="D950" s="599"/>
      <c r="E950" s="599"/>
      <c r="F950" s="599"/>
      <c r="G950" s="600"/>
      <c r="H950" s="599"/>
      <c r="I950" s="599"/>
      <c r="J950" s="599"/>
      <c r="K950" s="599"/>
      <c r="L950" s="599"/>
      <c r="M950" s="599"/>
      <c r="N950" s="599"/>
      <c r="O950" s="599"/>
      <c r="P950" s="599"/>
      <c r="Q950" s="599"/>
      <c r="R950" s="599"/>
      <c r="S950" s="599"/>
      <c r="T950" s="599"/>
    </row>
    <row r="951" spans="1:20" ht="11.25" customHeight="1">
      <c r="A951" s="599"/>
      <c r="B951" s="599"/>
      <c r="C951" s="599"/>
      <c r="D951" s="599"/>
      <c r="E951" s="599"/>
      <c r="F951" s="599"/>
      <c r="G951" s="600"/>
      <c r="H951" s="599"/>
      <c r="I951" s="599"/>
      <c r="J951" s="599"/>
      <c r="K951" s="599"/>
      <c r="L951" s="599"/>
      <c r="M951" s="599"/>
      <c r="N951" s="599"/>
      <c r="O951" s="599"/>
      <c r="P951" s="599"/>
      <c r="Q951" s="599"/>
      <c r="R951" s="599"/>
      <c r="S951" s="599"/>
      <c r="T951" s="599"/>
    </row>
    <row r="952" spans="1:20" ht="11.25" customHeight="1">
      <c r="A952" s="599"/>
      <c r="B952" s="599"/>
      <c r="C952" s="599"/>
      <c r="D952" s="599"/>
      <c r="E952" s="599"/>
      <c r="F952" s="599"/>
      <c r="G952" s="600"/>
      <c r="H952" s="599"/>
      <c r="I952" s="599"/>
      <c r="J952" s="599"/>
      <c r="K952" s="599"/>
      <c r="L952" s="599"/>
      <c r="M952" s="599"/>
      <c r="N952" s="599"/>
      <c r="O952" s="599"/>
      <c r="P952" s="599"/>
      <c r="Q952" s="599"/>
      <c r="R952" s="599"/>
      <c r="S952" s="599"/>
      <c r="T952" s="599"/>
    </row>
    <row r="953" spans="1:20" ht="11.25" customHeight="1">
      <c r="A953" s="599"/>
      <c r="B953" s="599"/>
      <c r="C953" s="599"/>
      <c r="D953" s="599"/>
      <c r="E953" s="599"/>
      <c r="F953" s="599"/>
      <c r="G953" s="600"/>
      <c r="H953" s="599"/>
      <c r="I953" s="599"/>
      <c r="J953" s="599"/>
      <c r="K953" s="599"/>
      <c r="L953" s="599"/>
      <c r="M953" s="599"/>
      <c r="N953" s="599"/>
      <c r="O953" s="599"/>
      <c r="P953" s="599"/>
      <c r="Q953" s="599"/>
      <c r="R953" s="599"/>
      <c r="S953" s="599"/>
      <c r="T953" s="599"/>
    </row>
    <row r="954" spans="1:20" ht="11.25" customHeight="1">
      <c r="A954" s="599"/>
      <c r="B954" s="599"/>
      <c r="C954" s="599"/>
      <c r="D954" s="599"/>
      <c r="E954" s="599"/>
      <c r="F954" s="599"/>
      <c r="G954" s="600"/>
      <c r="H954" s="599"/>
      <c r="I954" s="599"/>
      <c r="J954" s="599"/>
      <c r="K954" s="599"/>
      <c r="L954" s="599"/>
      <c r="M954" s="599"/>
      <c r="N954" s="599"/>
      <c r="O954" s="599"/>
      <c r="P954" s="599"/>
      <c r="Q954" s="599"/>
      <c r="R954" s="599"/>
      <c r="S954" s="599"/>
      <c r="T954" s="599"/>
    </row>
    <row r="955" spans="1:20" ht="11.25" customHeight="1">
      <c r="A955" s="599"/>
      <c r="B955" s="599"/>
      <c r="C955" s="599"/>
      <c r="D955" s="599"/>
      <c r="E955" s="599"/>
      <c r="F955" s="599"/>
      <c r="G955" s="600"/>
      <c r="H955" s="599"/>
      <c r="I955" s="599"/>
      <c r="J955" s="599"/>
      <c r="K955" s="599"/>
      <c r="L955" s="599"/>
      <c r="M955" s="599"/>
      <c r="N955" s="599"/>
      <c r="O955" s="599"/>
      <c r="P955" s="599"/>
      <c r="Q955" s="599"/>
      <c r="R955" s="599"/>
      <c r="S955" s="599"/>
      <c r="T955" s="599"/>
    </row>
    <row r="956" spans="1:20" ht="11.25" customHeight="1">
      <c r="A956" s="599"/>
      <c r="B956" s="599"/>
      <c r="C956" s="599"/>
      <c r="D956" s="599"/>
      <c r="E956" s="599"/>
      <c r="F956" s="599"/>
      <c r="G956" s="600"/>
      <c r="H956" s="599"/>
      <c r="I956" s="599"/>
      <c r="J956" s="599"/>
      <c r="K956" s="599"/>
      <c r="L956" s="599"/>
      <c r="M956" s="599"/>
      <c r="N956" s="599"/>
      <c r="O956" s="599"/>
      <c r="P956" s="599"/>
      <c r="Q956" s="599"/>
      <c r="R956" s="599"/>
      <c r="S956" s="599"/>
      <c r="T956" s="599"/>
    </row>
    <row r="957" spans="1:20" ht="11.25" customHeight="1">
      <c r="A957" s="599"/>
      <c r="B957" s="599"/>
      <c r="C957" s="599"/>
      <c r="D957" s="599"/>
      <c r="E957" s="599"/>
      <c r="F957" s="599"/>
      <c r="G957" s="600"/>
      <c r="H957" s="599"/>
      <c r="I957" s="599"/>
      <c r="J957" s="599"/>
      <c r="K957" s="599"/>
      <c r="L957" s="599"/>
      <c r="M957" s="599"/>
      <c r="N957" s="599"/>
      <c r="O957" s="599"/>
      <c r="P957" s="599"/>
      <c r="Q957" s="599"/>
      <c r="R957" s="599"/>
      <c r="S957" s="599"/>
      <c r="T957" s="599"/>
    </row>
    <row r="958" spans="1:20" ht="11.25" customHeight="1">
      <c r="A958" s="599"/>
      <c r="B958" s="599"/>
      <c r="C958" s="599"/>
      <c r="D958" s="599"/>
      <c r="E958" s="599"/>
      <c r="F958" s="599"/>
      <c r="G958" s="600"/>
      <c r="H958" s="599"/>
      <c r="I958" s="599"/>
      <c r="J958" s="599"/>
      <c r="K958" s="599"/>
      <c r="L958" s="599"/>
      <c r="M958" s="599"/>
      <c r="N958" s="599"/>
      <c r="O958" s="599"/>
      <c r="P958" s="599"/>
      <c r="Q958" s="599"/>
      <c r="R958" s="599"/>
      <c r="S958" s="599"/>
      <c r="T958" s="599"/>
    </row>
    <row r="959" spans="1:20" ht="11.25" customHeight="1">
      <c r="A959" s="599"/>
      <c r="B959" s="599"/>
      <c r="C959" s="599"/>
      <c r="D959" s="599"/>
      <c r="E959" s="599"/>
      <c r="F959" s="599"/>
      <c r="G959" s="600"/>
      <c r="H959" s="599"/>
      <c r="I959" s="599"/>
      <c r="J959" s="599"/>
      <c r="K959" s="599"/>
      <c r="L959" s="599"/>
      <c r="M959" s="599"/>
      <c r="N959" s="599"/>
      <c r="O959" s="599"/>
      <c r="P959" s="599"/>
      <c r="Q959" s="599"/>
      <c r="R959" s="599"/>
      <c r="S959" s="599"/>
      <c r="T959" s="599"/>
    </row>
    <row r="960" spans="1:20" ht="11.25" customHeight="1">
      <c r="A960" s="599"/>
      <c r="B960" s="599"/>
      <c r="C960" s="599"/>
      <c r="D960" s="599"/>
      <c r="E960" s="599"/>
      <c r="F960" s="599"/>
      <c r="G960" s="600"/>
      <c r="H960" s="599"/>
      <c r="I960" s="599"/>
      <c r="J960" s="599"/>
      <c r="K960" s="599"/>
      <c r="L960" s="599"/>
      <c r="M960" s="599"/>
      <c r="N960" s="599"/>
      <c r="O960" s="599"/>
      <c r="P960" s="599"/>
      <c r="Q960" s="599"/>
      <c r="R960" s="599"/>
      <c r="S960" s="599"/>
      <c r="T960" s="599"/>
    </row>
    <row r="961" spans="1:20" ht="11.25" customHeight="1">
      <c r="A961" s="599"/>
      <c r="B961" s="599"/>
      <c r="C961" s="599"/>
      <c r="D961" s="599"/>
      <c r="E961" s="599"/>
      <c r="F961" s="599"/>
      <c r="G961" s="600"/>
      <c r="H961" s="599"/>
      <c r="I961" s="599"/>
      <c r="J961" s="599"/>
      <c r="K961" s="599"/>
      <c r="L961" s="599"/>
      <c r="M961" s="599"/>
      <c r="N961" s="599"/>
      <c r="O961" s="599"/>
      <c r="P961" s="599"/>
      <c r="Q961" s="599"/>
      <c r="R961" s="599"/>
      <c r="S961" s="599"/>
      <c r="T961" s="599"/>
    </row>
    <row r="962" spans="1:20" ht="11.25" customHeight="1">
      <c r="A962" s="599"/>
      <c r="B962" s="599"/>
      <c r="C962" s="599"/>
      <c r="D962" s="599"/>
      <c r="E962" s="599"/>
      <c r="F962" s="599"/>
      <c r="G962" s="600"/>
      <c r="H962" s="599"/>
      <c r="I962" s="599"/>
      <c r="J962" s="599"/>
      <c r="K962" s="599"/>
      <c r="L962" s="599"/>
      <c r="M962" s="599"/>
      <c r="N962" s="599"/>
      <c r="O962" s="599"/>
      <c r="P962" s="599"/>
      <c r="Q962" s="599"/>
      <c r="R962" s="599"/>
      <c r="S962" s="599"/>
      <c r="T962" s="599"/>
    </row>
    <row r="963" spans="1:20" ht="11.25" customHeight="1">
      <c r="A963" s="599"/>
      <c r="B963" s="599"/>
      <c r="C963" s="599"/>
      <c r="D963" s="599"/>
      <c r="E963" s="599"/>
      <c r="F963" s="599"/>
      <c r="G963" s="600"/>
      <c r="H963" s="599"/>
      <c r="I963" s="599"/>
      <c r="J963" s="599"/>
      <c r="K963" s="599"/>
      <c r="L963" s="599"/>
      <c r="M963" s="599"/>
      <c r="N963" s="599"/>
      <c r="O963" s="599"/>
      <c r="P963" s="599"/>
      <c r="Q963" s="599"/>
      <c r="R963" s="599"/>
      <c r="S963" s="599"/>
      <c r="T963" s="599"/>
    </row>
    <row r="964" spans="1:20" ht="11.25" customHeight="1">
      <c r="A964" s="599"/>
      <c r="B964" s="599"/>
      <c r="C964" s="599"/>
      <c r="D964" s="599"/>
      <c r="E964" s="599"/>
      <c r="F964" s="599"/>
      <c r="G964" s="600"/>
      <c r="H964" s="599"/>
      <c r="I964" s="599"/>
      <c r="J964" s="599"/>
      <c r="K964" s="599"/>
      <c r="L964" s="599"/>
      <c r="M964" s="599"/>
      <c r="N964" s="599"/>
      <c r="O964" s="599"/>
      <c r="P964" s="599"/>
      <c r="Q964" s="599"/>
      <c r="R964" s="599"/>
      <c r="S964" s="599"/>
      <c r="T964" s="599"/>
    </row>
    <row r="965" spans="1:20" ht="11.25" customHeight="1">
      <c r="A965" s="599"/>
      <c r="B965" s="599"/>
      <c r="C965" s="599"/>
      <c r="D965" s="599"/>
      <c r="E965" s="599"/>
      <c r="F965" s="599"/>
      <c r="G965" s="600"/>
      <c r="H965" s="599"/>
      <c r="I965" s="599"/>
      <c r="J965" s="599"/>
      <c r="K965" s="599"/>
      <c r="L965" s="599"/>
      <c r="M965" s="599"/>
      <c r="N965" s="599"/>
      <c r="O965" s="599"/>
      <c r="P965" s="599"/>
      <c r="Q965" s="599"/>
      <c r="R965" s="599"/>
      <c r="S965" s="599"/>
      <c r="T965" s="599"/>
    </row>
    <row r="966" spans="1:20" ht="11.25" customHeight="1">
      <c r="A966" s="599"/>
      <c r="B966" s="599"/>
      <c r="C966" s="599"/>
      <c r="D966" s="599"/>
      <c r="E966" s="599"/>
      <c r="F966" s="599"/>
      <c r="G966" s="600"/>
      <c r="H966" s="599"/>
      <c r="I966" s="599"/>
      <c r="J966" s="599"/>
      <c r="K966" s="599"/>
      <c r="L966" s="599"/>
      <c r="M966" s="599"/>
      <c r="N966" s="599"/>
      <c r="O966" s="599"/>
      <c r="P966" s="599"/>
      <c r="Q966" s="599"/>
      <c r="R966" s="599"/>
      <c r="S966" s="599"/>
      <c r="T966" s="599"/>
    </row>
    <row r="967" spans="1:20" ht="11.25" customHeight="1">
      <c r="A967" s="599"/>
      <c r="B967" s="599"/>
      <c r="C967" s="599"/>
      <c r="D967" s="599"/>
      <c r="E967" s="599"/>
      <c r="F967" s="599"/>
      <c r="G967" s="600"/>
      <c r="H967" s="599"/>
      <c r="I967" s="599"/>
      <c r="J967" s="599"/>
      <c r="K967" s="599"/>
      <c r="L967" s="599"/>
      <c r="M967" s="599"/>
      <c r="N967" s="599"/>
      <c r="O967" s="599"/>
      <c r="P967" s="599"/>
      <c r="Q967" s="599"/>
      <c r="R967" s="599"/>
      <c r="S967" s="599"/>
      <c r="T967" s="599"/>
    </row>
    <row r="968" spans="1:20" ht="11.25" customHeight="1">
      <c r="A968" s="599"/>
      <c r="B968" s="599"/>
      <c r="C968" s="599"/>
      <c r="D968" s="599"/>
      <c r="E968" s="599"/>
      <c r="F968" s="599"/>
      <c r="G968" s="600"/>
      <c r="H968" s="599"/>
      <c r="I968" s="599"/>
      <c r="J968" s="599"/>
      <c r="K968" s="599"/>
      <c r="L968" s="599"/>
      <c r="M968" s="599"/>
      <c r="N968" s="599"/>
      <c r="O968" s="599"/>
      <c r="P968" s="599"/>
      <c r="Q968" s="599"/>
      <c r="R968" s="599"/>
      <c r="S968" s="599"/>
      <c r="T968" s="599"/>
    </row>
    <row r="969" spans="1:20" ht="11.25" customHeight="1">
      <c r="A969" s="599"/>
      <c r="B969" s="599"/>
      <c r="C969" s="599"/>
      <c r="D969" s="599"/>
      <c r="E969" s="599"/>
      <c r="F969" s="599"/>
      <c r="G969" s="600"/>
      <c r="H969" s="599"/>
      <c r="I969" s="599"/>
      <c r="J969" s="599"/>
      <c r="K969" s="599"/>
      <c r="L969" s="599"/>
      <c r="M969" s="599"/>
      <c r="N969" s="599"/>
      <c r="O969" s="599"/>
      <c r="P969" s="599"/>
      <c r="Q969" s="599"/>
      <c r="R969" s="599"/>
      <c r="S969" s="599"/>
      <c r="T969" s="599"/>
    </row>
    <row r="970" spans="1:20" ht="11.25" customHeight="1">
      <c r="A970" s="599"/>
      <c r="B970" s="599"/>
      <c r="C970" s="599"/>
      <c r="D970" s="599"/>
      <c r="E970" s="599"/>
      <c r="F970" s="599"/>
      <c r="G970" s="600"/>
      <c r="H970" s="599"/>
      <c r="I970" s="599"/>
      <c r="J970" s="599"/>
      <c r="K970" s="599"/>
      <c r="L970" s="599"/>
      <c r="M970" s="599"/>
      <c r="N970" s="599"/>
      <c r="O970" s="599"/>
      <c r="P970" s="599"/>
      <c r="Q970" s="599"/>
      <c r="R970" s="599"/>
      <c r="S970" s="599"/>
      <c r="T970" s="599"/>
    </row>
    <row r="971" spans="1:20" ht="11.25" customHeight="1">
      <c r="A971" s="599"/>
      <c r="B971" s="599"/>
      <c r="C971" s="599"/>
      <c r="D971" s="599"/>
      <c r="E971" s="599"/>
      <c r="F971" s="599"/>
      <c r="G971" s="600"/>
      <c r="H971" s="599"/>
      <c r="I971" s="599"/>
      <c r="J971" s="599"/>
      <c r="K971" s="599"/>
      <c r="L971" s="599"/>
      <c r="M971" s="599"/>
      <c r="N971" s="599"/>
      <c r="O971" s="599"/>
      <c r="P971" s="599"/>
      <c r="Q971" s="599"/>
      <c r="R971" s="599"/>
      <c r="S971" s="599"/>
      <c r="T971" s="599"/>
    </row>
    <row r="972" spans="1:20" ht="11.25" customHeight="1">
      <c r="A972" s="599"/>
      <c r="B972" s="599"/>
      <c r="C972" s="599"/>
      <c r="D972" s="599"/>
      <c r="E972" s="599"/>
      <c r="F972" s="599"/>
      <c r="G972" s="600"/>
      <c r="H972" s="599"/>
      <c r="I972" s="599"/>
      <c r="J972" s="599"/>
      <c r="K972" s="599"/>
      <c r="L972" s="599"/>
      <c r="M972" s="599"/>
      <c r="N972" s="599"/>
      <c r="O972" s="599"/>
      <c r="P972" s="599"/>
      <c r="Q972" s="599"/>
      <c r="R972" s="599"/>
      <c r="S972" s="599"/>
      <c r="T972" s="599"/>
    </row>
    <row r="973" spans="1:20" ht="11.25" customHeight="1">
      <c r="A973" s="599"/>
      <c r="B973" s="599"/>
      <c r="C973" s="599"/>
      <c r="D973" s="599"/>
      <c r="E973" s="599"/>
      <c r="F973" s="599"/>
      <c r="G973" s="600"/>
      <c r="H973" s="599"/>
      <c r="I973" s="599"/>
      <c r="J973" s="599"/>
      <c r="K973" s="599"/>
      <c r="L973" s="599"/>
      <c r="M973" s="599"/>
      <c r="N973" s="599"/>
      <c r="O973" s="599"/>
      <c r="P973" s="599"/>
      <c r="Q973" s="599"/>
      <c r="R973" s="599"/>
      <c r="S973" s="599"/>
      <c r="T973" s="599"/>
    </row>
    <row r="974" spans="1:20" ht="11.25" customHeight="1">
      <c r="A974" s="599"/>
      <c r="B974" s="599"/>
      <c r="C974" s="599"/>
      <c r="D974" s="599"/>
      <c r="E974" s="599"/>
      <c r="F974" s="599"/>
      <c r="G974" s="600"/>
      <c r="H974" s="599"/>
      <c r="I974" s="599"/>
      <c r="J974" s="599"/>
      <c r="K974" s="599"/>
      <c r="L974" s="599"/>
      <c r="M974" s="599"/>
      <c r="N974" s="599"/>
      <c r="O974" s="599"/>
      <c r="P974" s="599"/>
      <c r="Q974" s="599"/>
      <c r="R974" s="599"/>
      <c r="S974" s="599"/>
      <c r="T974" s="599"/>
    </row>
    <row r="975" spans="1:20" ht="11.25" customHeight="1">
      <c r="A975" s="599"/>
      <c r="B975" s="599"/>
      <c r="C975" s="599"/>
      <c r="D975" s="599"/>
      <c r="E975" s="599"/>
      <c r="F975" s="599"/>
      <c r="G975" s="600"/>
      <c r="H975" s="599"/>
      <c r="I975" s="599"/>
      <c r="J975" s="599"/>
      <c r="K975" s="599"/>
      <c r="L975" s="599"/>
      <c r="M975" s="599"/>
      <c r="N975" s="599"/>
      <c r="O975" s="599"/>
      <c r="P975" s="599"/>
      <c r="Q975" s="599"/>
      <c r="R975" s="599"/>
      <c r="S975" s="599"/>
      <c r="T975" s="599"/>
    </row>
    <row r="976" spans="1:20" ht="11.25" customHeight="1">
      <c r="A976" s="599"/>
      <c r="B976" s="599"/>
      <c r="C976" s="599"/>
      <c r="D976" s="599"/>
      <c r="E976" s="599"/>
      <c r="F976" s="599"/>
      <c r="G976" s="600"/>
      <c r="H976" s="599"/>
      <c r="I976" s="599"/>
      <c r="J976" s="599"/>
      <c r="K976" s="599"/>
      <c r="L976" s="599"/>
      <c r="M976" s="599"/>
      <c r="N976" s="599"/>
      <c r="O976" s="599"/>
      <c r="P976" s="599"/>
      <c r="Q976" s="599"/>
      <c r="R976" s="599"/>
      <c r="S976" s="599"/>
      <c r="T976" s="599"/>
    </row>
    <row r="977" spans="1:20" ht="11.25" customHeight="1">
      <c r="A977" s="599"/>
      <c r="B977" s="599"/>
      <c r="C977" s="599"/>
      <c r="D977" s="599"/>
      <c r="E977" s="599"/>
      <c r="F977" s="599"/>
      <c r="G977" s="600"/>
      <c r="H977" s="599"/>
      <c r="I977" s="599"/>
      <c r="J977" s="599"/>
      <c r="K977" s="599"/>
      <c r="L977" s="599"/>
      <c r="M977" s="599"/>
      <c r="N977" s="599"/>
      <c r="O977" s="599"/>
      <c r="P977" s="599"/>
      <c r="Q977" s="599"/>
      <c r="R977" s="599"/>
      <c r="S977" s="599"/>
      <c r="T977" s="599"/>
    </row>
    <row r="978" spans="1:20" ht="11.25" customHeight="1">
      <c r="A978" s="599"/>
      <c r="B978" s="599"/>
      <c r="C978" s="599"/>
      <c r="D978" s="599"/>
      <c r="E978" s="599"/>
      <c r="F978" s="599"/>
      <c r="G978" s="600"/>
      <c r="H978" s="599"/>
      <c r="I978" s="599"/>
      <c r="J978" s="599"/>
      <c r="K978" s="599"/>
      <c r="L978" s="599"/>
      <c r="M978" s="599"/>
      <c r="N978" s="599"/>
      <c r="O978" s="599"/>
      <c r="P978" s="599"/>
      <c r="Q978" s="599"/>
      <c r="R978" s="599"/>
      <c r="S978" s="599"/>
      <c r="T978" s="599"/>
    </row>
    <row r="979" spans="1:20" ht="11.25" customHeight="1">
      <c r="A979" s="599"/>
      <c r="B979" s="599"/>
      <c r="C979" s="599"/>
      <c r="D979" s="599"/>
      <c r="E979" s="599"/>
      <c r="F979" s="599"/>
      <c r="G979" s="600"/>
      <c r="H979" s="599"/>
      <c r="I979" s="599"/>
      <c r="J979" s="599"/>
      <c r="K979" s="599"/>
      <c r="L979" s="599"/>
      <c r="M979" s="599"/>
      <c r="N979" s="599"/>
      <c r="O979" s="599"/>
      <c r="P979" s="599"/>
      <c r="Q979" s="599"/>
      <c r="R979" s="599"/>
      <c r="S979" s="599"/>
      <c r="T979" s="599"/>
    </row>
    <row r="980" spans="1:20" ht="11.25" customHeight="1">
      <c r="A980" s="599"/>
      <c r="B980" s="599"/>
      <c r="C980" s="599"/>
      <c r="D980" s="599"/>
      <c r="E980" s="599"/>
      <c r="F980" s="599"/>
      <c r="G980" s="600"/>
      <c r="H980" s="599"/>
      <c r="I980" s="599"/>
      <c r="J980" s="599"/>
      <c r="K980" s="599"/>
      <c r="L980" s="599"/>
      <c r="M980" s="599"/>
      <c r="N980" s="599"/>
      <c r="O980" s="599"/>
      <c r="P980" s="599"/>
      <c r="Q980" s="599"/>
      <c r="R980" s="599"/>
      <c r="S980" s="599"/>
      <c r="T980" s="599"/>
    </row>
    <row r="981" spans="1:20" ht="11.25" customHeight="1">
      <c r="A981" s="599"/>
      <c r="B981" s="599"/>
      <c r="C981" s="599"/>
      <c r="D981" s="599"/>
      <c r="E981" s="599"/>
      <c r="F981" s="599"/>
      <c r="G981" s="600"/>
      <c r="H981" s="599"/>
      <c r="I981" s="599"/>
      <c r="J981" s="599"/>
      <c r="K981" s="599"/>
      <c r="L981" s="599"/>
      <c r="M981" s="599"/>
      <c r="N981" s="599"/>
      <c r="O981" s="599"/>
      <c r="P981" s="599"/>
      <c r="Q981" s="599"/>
      <c r="R981" s="599"/>
      <c r="S981" s="599"/>
      <c r="T981" s="599"/>
    </row>
    <row r="982" spans="1:20" ht="11.25" customHeight="1">
      <c r="A982" s="599"/>
      <c r="B982" s="599"/>
      <c r="C982" s="599"/>
      <c r="D982" s="599"/>
      <c r="E982" s="599"/>
      <c r="F982" s="599"/>
      <c r="G982" s="600"/>
      <c r="H982" s="599"/>
      <c r="I982" s="599"/>
      <c r="J982" s="599"/>
      <c r="K982" s="599"/>
      <c r="L982" s="599"/>
      <c r="M982" s="599"/>
      <c r="N982" s="599"/>
      <c r="O982" s="599"/>
      <c r="P982" s="599"/>
      <c r="Q982" s="599"/>
      <c r="R982" s="599"/>
      <c r="S982" s="599"/>
      <c r="T982" s="599"/>
    </row>
    <row r="983" spans="1:20" ht="11.25" customHeight="1">
      <c r="A983" s="599"/>
      <c r="B983" s="599"/>
      <c r="C983" s="599"/>
      <c r="D983" s="599"/>
      <c r="E983" s="599"/>
      <c r="F983" s="599"/>
      <c r="G983" s="600"/>
      <c r="H983" s="599"/>
      <c r="I983" s="599"/>
      <c r="J983" s="599"/>
      <c r="K983" s="599"/>
      <c r="L983" s="599"/>
      <c r="M983" s="599"/>
      <c r="N983" s="599"/>
      <c r="O983" s="599"/>
      <c r="P983" s="599"/>
      <c r="Q983" s="599"/>
      <c r="R983" s="599"/>
      <c r="S983" s="599"/>
      <c r="T983" s="599"/>
    </row>
    <row r="984" spans="1:20" ht="11.25" customHeight="1">
      <c r="A984" s="599"/>
      <c r="B984" s="599"/>
      <c r="C984" s="599"/>
      <c r="D984" s="599"/>
      <c r="E984" s="599"/>
      <c r="F984" s="599"/>
      <c r="G984" s="600"/>
      <c r="H984" s="599"/>
      <c r="I984" s="599"/>
      <c r="J984" s="599"/>
      <c r="K984" s="599"/>
      <c r="L984" s="599"/>
      <c r="M984" s="599"/>
      <c r="N984" s="599"/>
      <c r="O984" s="599"/>
      <c r="P984" s="599"/>
      <c r="Q984" s="599"/>
      <c r="R984" s="599"/>
      <c r="S984" s="599"/>
      <c r="T984" s="599"/>
    </row>
    <row r="985" spans="1:20" ht="11.25" customHeight="1">
      <c r="A985" s="599"/>
      <c r="B985" s="599"/>
      <c r="C985" s="599"/>
      <c r="D985" s="599"/>
      <c r="E985" s="599"/>
      <c r="F985" s="599"/>
      <c r="G985" s="600"/>
      <c r="H985" s="599"/>
      <c r="I985" s="599"/>
      <c r="J985" s="599"/>
      <c r="K985" s="599"/>
      <c r="L985" s="599"/>
      <c r="M985" s="599"/>
      <c r="N985" s="599"/>
      <c r="O985" s="599"/>
      <c r="P985" s="599"/>
      <c r="Q985" s="599"/>
      <c r="R985" s="599"/>
      <c r="S985" s="599"/>
      <c r="T985" s="599"/>
    </row>
    <row r="986" spans="1:20" ht="11.25" customHeight="1">
      <c r="A986" s="599"/>
      <c r="B986" s="599"/>
      <c r="C986" s="599"/>
      <c r="D986" s="599"/>
      <c r="E986" s="599"/>
      <c r="F986" s="599"/>
      <c r="G986" s="600"/>
      <c r="H986" s="599"/>
      <c r="I986" s="599"/>
      <c r="J986" s="599"/>
      <c r="K986" s="599"/>
      <c r="L986" s="599"/>
      <c r="M986" s="599"/>
      <c r="N986" s="599"/>
      <c r="O986" s="599"/>
      <c r="P986" s="599"/>
      <c r="Q986" s="599"/>
      <c r="R986" s="599"/>
      <c r="S986" s="599"/>
      <c r="T986" s="599"/>
    </row>
    <row r="987" spans="1:20" ht="11.25" customHeight="1">
      <c r="A987" s="599"/>
      <c r="B987" s="599"/>
      <c r="C987" s="599"/>
      <c r="D987" s="599"/>
      <c r="E987" s="599"/>
      <c r="F987" s="599"/>
      <c r="G987" s="600"/>
      <c r="H987" s="599"/>
      <c r="I987" s="599"/>
      <c r="J987" s="599"/>
      <c r="K987" s="599"/>
      <c r="L987" s="599"/>
      <c r="M987" s="599"/>
      <c r="N987" s="599"/>
      <c r="O987" s="599"/>
      <c r="P987" s="599"/>
      <c r="Q987" s="599"/>
      <c r="R987" s="599"/>
      <c r="S987" s="599"/>
      <c r="T987" s="599"/>
    </row>
    <row r="988" spans="1:20" ht="11.25" customHeight="1">
      <c r="A988" s="599"/>
      <c r="B988" s="599"/>
      <c r="C988" s="599"/>
      <c r="D988" s="599"/>
      <c r="E988" s="599"/>
      <c r="F988" s="599"/>
      <c r="G988" s="600"/>
      <c r="H988" s="599"/>
      <c r="I988" s="599"/>
      <c r="J988" s="599"/>
      <c r="K988" s="599"/>
      <c r="L988" s="599"/>
      <c r="M988" s="599"/>
      <c r="N988" s="599"/>
      <c r="O988" s="599"/>
      <c r="P988" s="599"/>
      <c r="Q988" s="599"/>
      <c r="R988" s="599"/>
      <c r="S988" s="599"/>
      <c r="T988" s="599"/>
    </row>
    <row r="989" spans="1:20" ht="11.25" customHeight="1">
      <c r="A989" s="599"/>
      <c r="B989" s="599"/>
      <c r="C989" s="599"/>
      <c r="D989" s="599"/>
      <c r="E989" s="599"/>
      <c r="F989" s="599"/>
      <c r="G989" s="600"/>
      <c r="H989" s="599"/>
      <c r="I989" s="599"/>
      <c r="J989" s="599"/>
      <c r="K989" s="599"/>
      <c r="L989" s="599"/>
      <c r="M989" s="599"/>
      <c r="N989" s="599"/>
      <c r="O989" s="599"/>
      <c r="P989" s="599"/>
      <c r="Q989" s="599"/>
      <c r="R989" s="599"/>
      <c r="S989" s="599"/>
      <c r="T989" s="599"/>
    </row>
    <row r="990" spans="1:20" ht="11.25" customHeight="1">
      <c r="A990" s="599"/>
      <c r="B990" s="599"/>
      <c r="C990" s="599"/>
      <c r="D990" s="599"/>
      <c r="E990" s="599"/>
      <c r="F990" s="599"/>
      <c r="G990" s="600"/>
      <c r="H990" s="599"/>
      <c r="I990" s="599"/>
      <c r="J990" s="599"/>
      <c r="K990" s="599"/>
      <c r="L990" s="599"/>
      <c r="M990" s="599"/>
      <c r="N990" s="599"/>
      <c r="O990" s="599"/>
      <c r="P990" s="599"/>
      <c r="Q990" s="599"/>
      <c r="R990" s="599"/>
      <c r="S990" s="599"/>
      <c r="T990" s="599"/>
    </row>
    <row r="991" spans="1:20" ht="11.25" customHeight="1">
      <c r="A991" s="599"/>
      <c r="B991" s="599"/>
      <c r="C991" s="599"/>
      <c r="D991" s="599"/>
      <c r="E991" s="599"/>
      <c r="F991" s="599"/>
      <c r="G991" s="600"/>
      <c r="H991" s="599"/>
      <c r="I991" s="599"/>
      <c r="J991" s="599"/>
      <c r="K991" s="599"/>
      <c r="L991" s="599"/>
      <c r="M991" s="599"/>
      <c r="N991" s="599"/>
      <c r="O991" s="599"/>
      <c r="P991" s="599"/>
      <c r="Q991" s="599"/>
      <c r="R991" s="599"/>
      <c r="S991" s="599"/>
      <c r="T991" s="599"/>
    </row>
    <row r="992" spans="1:20" ht="11.25" customHeight="1">
      <c r="A992" s="599"/>
      <c r="B992" s="599"/>
      <c r="C992" s="599"/>
      <c r="D992" s="599"/>
      <c r="E992" s="599"/>
      <c r="F992" s="599"/>
      <c r="G992" s="600"/>
      <c r="H992" s="599"/>
      <c r="I992" s="599"/>
      <c r="J992" s="599"/>
      <c r="K992" s="599"/>
      <c r="L992" s="599"/>
      <c r="M992" s="599"/>
      <c r="N992" s="599"/>
      <c r="O992" s="599"/>
      <c r="P992" s="599"/>
      <c r="Q992" s="599"/>
      <c r="R992" s="599"/>
      <c r="S992" s="599"/>
      <c r="T992" s="599"/>
    </row>
    <row r="993" spans="1:20" ht="11.25" customHeight="1">
      <c r="A993" s="599"/>
      <c r="B993" s="599"/>
      <c r="C993" s="599"/>
      <c r="D993" s="599"/>
      <c r="E993" s="599"/>
      <c r="F993" s="599"/>
      <c r="G993" s="600"/>
      <c r="H993" s="599"/>
      <c r="I993" s="599"/>
      <c r="J993" s="599"/>
      <c r="K993" s="599"/>
      <c r="L993" s="599"/>
      <c r="M993" s="599"/>
      <c r="N993" s="599"/>
      <c r="O993" s="599"/>
      <c r="P993" s="599"/>
      <c r="Q993" s="599"/>
      <c r="R993" s="599"/>
      <c r="S993" s="599"/>
      <c r="T993" s="599"/>
    </row>
    <row r="994" spans="1:20" ht="11.25" customHeight="1">
      <c r="A994" s="599"/>
      <c r="B994" s="599"/>
      <c r="C994" s="599"/>
      <c r="D994" s="599"/>
      <c r="E994" s="599"/>
      <c r="F994" s="599"/>
      <c r="G994" s="600"/>
      <c r="H994" s="599"/>
      <c r="I994" s="599"/>
      <c r="J994" s="599"/>
      <c r="K994" s="599"/>
      <c r="L994" s="599"/>
      <c r="M994" s="599"/>
      <c r="N994" s="599"/>
      <c r="O994" s="599"/>
      <c r="P994" s="599"/>
      <c r="Q994" s="599"/>
      <c r="R994" s="599"/>
      <c r="S994" s="599"/>
      <c r="T994" s="599"/>
    </row>
    <row r="995" spans="1:20" ht="11.25" customHeight="1">
      <c r="A995" s="599"/>
      <c r="B995" s="599"/>
      <c r="C995" s="599"/>
      <c r="D995" s="599"/>
      <c r="E995" s="599"/>
      <c r="F995" s="599"/>
      <c r="G995" s="600"/>
      <c r="H995" s="599"/>
      <c r="I995" s="599"/>
      <c r="J995" s="599"/>
      <c r="K995" s="599"/>
      <c r="L995" s="599"/>
      <c r="M995" s="599"/>
      <c r="N995" s="599"/>
      <c r="O995" s="599"/>
      <c r="P995" s="599"/>
      <c r="Q995" s="599"/>
      <c r="R995" s="599"/>
      <c r="S995" s="599"/>
      <c r="T995" s="599"/>
    </row>
    <row r="996" spans="1:20" ht="11.25" customHeight="1">
      <c r="A996" s="599"/>
      <c r="B996" s="599"/>
      <c r="C996" s="599"/>
      <c r="D996" s="599"/>
      <c r="E996" s="599"/>
      <c r="F996" s="599"/>
      <c r="G996" s="600"/>
      <c r="H996" s="599"/>
      <c r="I996" s="599"/>
      <c r="J996" s="599"/>
      <c r="K996" s="599"/>
      <c r="L996" s="599"/>
      <c r="M996" s="599"/>
      <c r="N996" s="599"/>
      <c r="O996" s="599"/>
      <c r="P996" s="599"/>
      <c r="Q996" s="599"/>
      <c r="R996" s="599"/>
      <c r="S996" s="599"/>
      <c r="T996" s="599"/>
    </row>
    <row r="997" spans="1:20" ht="11.25" customHeight="1">
      <c r="A997" s="599"/>
      <c r="B997" s="599"/>
      <c r="C997" s="599"/>
      <c r="D997" s="599"/>
      <c r="E997" s="599"/>
      <c r="F997" s="599"/>
      <c r="G997" s="600"/>
      <c r="H997" s="599"/>
      <c r="I997" s="599"/>
      <c r="J997" s="599"/>
      <c r="K997" s="599"/>
      <c r="L997" s="599"/>
      <c r="M997" s="599"/>
      <c r="N997" s="599"/>
      <c r="O997" s="599"/>
      <c r="P997" s="599"/>
      <c r="Q997" s="599"/>
      <c r="R997" s="599"/>
      <c r="S997" s="599"/>
      <c r="T997" s="599"/>
    </row>
    <row r="998" spans="1:20" ht="11.25" customHeight="1">
      <c r="A998" s="599"/>
      <c r="B998" s="599"/>
      <c r="C998" s="599"/>
      <c r="D998" s="599"/>
      <c r="E998" s="599"/>
      <c r="F998" s="599"/>
      <c r="G998" s="600"/>
      <c r="H998" s="599"/>
      <c r="I998" s="599"/>
      <c r="J998" s="599"/>
      <c r="K998" s="599"/>
      <c r="L998" s="599"/>
      <c r="M998" s="599"/>
      <c r="N998" s="599"/>
      <c r="O998" s="599"/>
      <c r="P998" s="599"/>
      <c r="Q998" s="599"/>
      <c r="R998" s="599"/>
      <c r="S998" s="599"/>
      <c r="T998" s="599"/>
    </row>
    <row r="999" spans="1:20" ht="11.25" customHeight="1">
      <c r="A999" s="599"/>
      <c r="B999" s="599"/>
      <c r="C999" s="599"/>
      <c r="D999" s="599"/>
      <c r="E999" s="599"/>
      <c r="F999" s="599"/>
      <c r="G999" s="600"/>
      <c r="H999" s="599"/>
      <c r="I999" s="599"/>
      <c r="J999" s="599"/>
      <c r="K999" s="599"/>
      <c r="L999" s="599"/>
      <c r="M999" s="599"/>
      <c r="N999" s="599"/>
      <c r="O999" s="599"/>
      <c r="P999" s="599"/>
      <c r="Q999" s="599"/>
      <c r="R999" s="599"/>
      <c r="S999" s="599"/>
      <c r="T999" s="599"/>
    </row>
    <row r="1000" spans="1:20" ht="11.25" customHeight="1">
      <c r="A1000" s="599"/>
      <c r="B1000" s="599"/>
      <c r="C1000" s="599"/>
      <c r="D1000" s="599"/>
      <c r="E1000" s="599"/>
      <c r="F1000" s="599"/>
      <c r="G1000" s="600"/>
      <c r="H1000" s="599"/>
      <c r="I1000" s="599"/>
      <c r="J1000" s="599"/>
      <c r="K1000" s="599"/>
      <c r="L1000" s="599"/>
      <c r="M1000" s="599"/>
      <c r="N1000" s="599"/>
      <c r="O1000" s="599"/>
      <c r="P1000" s="599"/>
      <c r="Q1000" s="599"/>
      <c r="R1000" s="599"/>
      <c r="S1000" s="599"/>
      <c r="T1000" s="599"/>
    </row>
    <row r="1001" spans="1:20" ht="11.25" customHeight="1">
      <c r="A1001" s="599"/>
      <c r="B1001" s="599"/>
      <c r="C1001" s="599"/>
      <c r="D1001" s="599"/>
      <c r="E1001" s="599"/>
      <c r="F1001" s="599"/>
      <c r="G1001" s="600"/>
      <c r="H1001" s="599"/>
      <c r="I1001" s="599"/>
      <c r="J1001" s="599"/>
      <c r="K1001" s="599"/>
      <c r="L1001" s="599"/>
      <c r="M1001" s="599"/>
      <c r="N1001" s="599"/>
      <c r="O1001" s="599"/>
      <c r="P1001" s="599"/>
      <c r="Q1001" s="599"/>
      <c r="R1001" s="599"/>
      <c r="S1001" s="599"/>
      <c r="T1001" s="599"/>
    </row>
    <row r="1002" spans="1:20" ht="11.25" customHeight="1">
      <c r="A1002" s="599"/>
      <c r="B1002" s="599"/>
      <c r="C1002" s="599"/>
      <c r="D1002" s="599"/>
      <c r="E1002" s="599"/>
      <c r="F1002" s="599"/>
      <c r="G1002" s="600"/>
      <c r="H1002" s="599"/>
      <c r="I1002" s="599"/>
      <c r="J1002" s="599"/>
      <c r="K1002" s="599"/>
      <c r="L1002" s="599"/>
      <c r="M1002" s="599"/>
      <c r="N1002" s="599"/>
      <c r="O1002" s="599"/>
      <c r="P1002" s="599"/>
      <c r="Q1002" s="599"/>
      <c r="R1002" s="599"/>
      <c r="S1002" s="599"/>
      <c r="T1002" s="599"/>
    </row>
    <row r="1003" spans="1:20" ht="11.25" customHeight="1">
      <c r="A1003" s="599"/>
      <c r="B1003" s="599"/>
      <c r="C1003" s="599"/>
      <c r="D1003" s="599"/>
      <c r="E1003" s="599"/>
      <c r="F1003" s="599"/>
      <c r="G1003" s="600"/>
      <c r="H1003" s="599"/>
      <c r="I1003" s="599"/>
      <c r="J1003" s="599"/>
      <c r="K1003" s="599"/>
      <c r="L1003" s="599"/>
      <c r="M1003" s="599"/>
      <c r="N1003" s="599"/>
      <c r="O1003" s="599"/>
      <c r="P1003" s="599"/>
      <c r="Q1003" s="599"/>
      <c r="R1003" s="599"/>
      <c r="S1003" s="599"/>
      <c r="T1003" s="599"/>
    </row>
    <row r="1004" spans="1:20" ht="11.25" customHeight="1">
      <c r="A1004" s="599"/>
      <c r="B1004" s="599"/>
      <c r="C1004" s="599"/>
      <c r="D1004" s="599"/>
      <c r="E1004" s="599"/>
      <c r="F1004" s="599"/>
      <c r="G1004" s="600"/>
      <c r="H1004" s="599"/>
      <c r="I1004" s="599"/>
      <c r="J1004" s="599"/>
      <c r="K1004" s="599"/>
      <c r="L1004" s="599"/>
      <c r="M1004" s="599"/>
      <c r="N1004" s="599"/>
      <c r="O1004" s="599"/>
      <c r="P1004" s="599"/>
      <c r="Q1004" s="599"/>
      <c r="R1004" s="599"/>
      <c r="S1004" s="599"/>
      <c r="T1004" s="599"/>
    </row>
    <row r="1005" spans="1:20" ht="11.25" customHeight="1">
      <c r="A1005" s="599"/>
      <c r="B1005" s="599"/>
      <c r="C1005" s="599"/>
      <c r="D1005" s="599"/>
      <c r="E1005" s="599"/>
      <c r="F1005" s="599"/>
      <c r="G1005" s="600"/>
      <c r="H1005" s="599"/>
      <c r="I1005" s="599"/>
      <c r="J1005" s="599"/>
      <c r="K1005" s="599"/>
      <c r="L1005" s="599"/>
      <c r="M1005" s="599"/>
      <c r="N1005" s="599"/>
      <c r="O1005" s="599"/>
      <c r="P1005" s="599"/>
      <c r="Q1005" s="599"/>
      <c r="R1005" s="599"/>
      <c r="S1005" s="599"/>
      <c r="T1005" s="599"/>
    </row>
    <row r="1006" spans="1:20" ht="11.25" customHeight="1">
      <c r="A1006" s="599"/>
      <c r="B1006" s="599"/>
      <c r="C1006" s="599"/>
      <c r="D1006" s="599"/>
      <c r="E1006" s="599"/>
      <c r="F1006" s="599"/>
      <c r="G1006" s="600"/>
      <c r="H1006" s="599"/>
      <c r="I1006" s="599"/>
      <c r="J1006" s="599"/>
      <c r="K1006" s="599"/>
      <c r="L1006" s="599"/>
      <c r="M1006" s="599"/>
      <c r="N1006" s="599"/>
      <c r="O1006" s="599"/>
      <c r="P1006" s="599"/>
      <c r="Q1006" s="599"/>
      <c r="R1006" s="599"/>
      <c r="S1006" s="599"/>
      <c r="T1006" s="599"/>
    </row>
    <row r="1007" spans="1:20" ht="11.25" customHeight="1">
      <c r="A1007" s="599"/>
      <c r="B1007" s="599"/>
      <c r="C1007" s="599"/>
      <c r="D1007" s="599"/>
      <c r="E1007" s="599"/>
      <c r="F1007" s="599"/>
      <c r="G1007" s="600"/>
      <c r="H1007" s="599"/>
      <c r="I1007" s="599"/>
      <c r="J1007" s="599"/>
      <c r="K1007" s="599"/>
      <c r="L1007" s="599"/>
      <c r="M1007" s="599"/>
      <c r="N1007" s="599"/>
      <c r="O1007" s="599"/>
      <c r="P1007" s="599"/>
      <c r="Q1007" s="599"/>
      <c r="R1007" s="599"/>
      <c r="S1007" s="599"/>
      <c r="T1007" s="599"/>
    </row>
    <row r="1008" spans="1:20" ht="11.25" customHeight="1">
      <c r="A1008" s="599"/>
      <c r="B1008" s="599"/>
      <c r="C1008" s="599"/>
      <c r="D1008" s="599"/>
      <c r="E1008" s="599"/>
      <c r="F1008" s="599"/>
      <c r="G1008" s="600"/>
      <c r="H1008" s="599"/>
      <c r="I1008" s="599"/>
      <c r="J1008" s="599"/>
      <c r="K1008" s="599"/>
      <c r="L1008" s="599"/>
      <c r="M1008" s="599"/>
      <c r="N1008" s="599"/>
      <c r="O1008" s="599"/>
      <c r="P1008" s="599"/>
      <c r="Q1008" s="599"/>
      <c r="R1008" s="599"/>
      <c r="S1008" s="599"/>
      <c r="T1008" s="599"/>
    </row>
    <row r="1009" spans="1:20" ht="11.25" customHeight="1">
      <c r="A1009" s="599"/>
      <c r="B1009" s="599"/>
      <c r="C1009" s="599"/>
      <c r="D1009" s="599"/>
      <c r="E1009" s="599"/>
      <c r="F1009" s="599"/>
      <c r="G1009" s="600"/>
      <c r="H1009" s="599"/>
      <c r="I1009" s="599"/>
      <c r="J1009" s="599"/>
      <c r="K1009" s="599"/>
      <c r="L1009" s="599"/>
      <c r="M1009" s="599"/>
      <c r="N1009" s="599"/>
      <c r="O1009" s="599"/>
      <c r="P1009" s="599"/>
      <c r="Q1009" s="599"/>
      <c r="R1009" s="599"/>
      <c r="S1009" s="599"/>
      <c r="T1009" s="599"/>
    </row>
    <row r="1010" spans="1:20" ht="11.25" customHeight="1">
      <c r="A1010" s="599"/>
      <c r="B1010" s="599"/>
      <c r="C1010" s="599"/>
      <c r="D1010" s="599"/>
      <c r="E1010" s="599"/>
      <c r="F1010" s="599"/>
      <c r="G1010" s="600"/>
      <c r="H1010" s="599"/>
      <c r="I1010" s="599"/>
      <c r="J1010" s="599"/>
      <c r="K1010" s="599"/>
      <c r="L1010" s="599"/>
      <c r="M1010" s="599"/>
      <c r="N1010" s="599"/>
      <c r="O1010" s="599"/>
      <c r="P1010" s="599"/>
      <c r="Q1010" s="599"/>
      <c r="R1010" s="599"/>
      <c r="S1010" s="599"/>
      <c r="T1010" s="599"/>
    </row>
    <row r="1011" spans="1:20" ht="11.25" customHeight="1">
      <c r="A1011" s="599"/>
      <c r="B1011" s="599"/>
      <c r="C1011" s="599"/>
      <c r="D1011" s="599"/>
      <c r="E1011" s="599"/>
      <c r="F1011" s="599"/>
      <c r="G1011" s="600"/>
      <c r="H1011" s="599"/>
      <c r="I1011" s="599"/>
      <c r="J1011" s="599"/>
      <c r="K1011" s="599"/>
      <c r="L1011" s="599"/>
      <c r="M1011" s="599"/>
      <c r="N1011" s="599"/>
      <c r="O1011" s="599"/>
      <c r="P1011" s="599"/>
      <c r="Q1011" s="599"/>
      <c r="R1011" s="599"/>
      <c r="S1011" s="599"/>
      <c r="T1011" s="599"/>
    </row>
    <row r="1012" spans="1:20" ht="11.25" customHeight="1">
      <c r="A1012" s="599"/>
      <c r="B1012" s="599"/>
      <c r="C1012" s="599"/>
      <c r="D1012" s="599"/>
      <c r="E1012" s="599"/>
      <c r="F1012" s="599"/>
      <c r="G1012" s="600"/>
      <c r="H1012" s="599"/>
      <c r="I1012" s="599"/>
      <c r="J1012" s="599"/>
      <c r="K1012" s="599"/>
      <c r="L1012" s="599"/>
      <c r="M1012" s="599"/>
      <c r="N1012" s="599"/>
      <c r="O1012" s="599"/>
      <c r="P1012" s="599"/>
      <c r="Q1012" s="599"/>
      <c r="R1012" s="599"/>
      <c r="S1012" s="599"/>
      <c r="T1012" s="599"/>
    </row>
    <row r="1013" spans="1:20" ht="11.25" customHeight="1">
      <c r="A1013" s="599"/>
      <c r="B1013" s="599"/>
      <c r="C1013" s="599"/>
      <c r="D1013" s="599"/>
      <c r="E1013" s="599"/>
      <c r="F1013" s="599"/>
      <c r="G1013" s="600"/>
      <c r="H1013" s="599"/>
      <c r="I1013" s="599"/>
      <c r="J1013" s="599"/>
      <c r="K1013" s="599"/>
      <c r="L1013" s="599"/>
      <c r="M1013" s="599"/>
      <c r="N1013" s="599"/>
      <c r="O1013" s="599"/>
      <c r="P1013" s="599"/>
      <c r="Q1013" s="599"/>
      <c r="R1013" s="599"/>
      <c r="S1013" s="599"/>
      <c r="T1013" s="599"/>
    </row>
    <row r="1014" spans="1:20" ht="11.25" customHeight="1">
      <c r="A1014" s="599"/>
      <c r="B1014" s="599"/>
      <c r="C1014" s="599"/>
      <c r="D1014" s="599"/>
      <c r="E1014" s="599"/>
      <c r="F1014" s="599"/>
      <c r="G1014" s="600"/>
      <c r="H1014" s="599"/>
      <c r="I1014" s="599"/>
      <c r="J1014" s="599"/>
      <c r="K1014" s="599"/>
      <c r="L1014" s="599"/>
      <c r="M1014" s="599"/>
      <c r="N1014" s="599"/>
      <c r="O1014" s="599"/>
      <c r="P1014" s="599"/>
      <c r="Q1014" s="599"/>
      <c r="R1014" s="599"/>
      <c r="S1014" s="599"/>
      <c r="T1014" s="599"/>
    </row>
    <row r="1015" spans="1:20" ht="11.25" customHeight="1">
      <c r="A1015" s="599"/>
      <c r="B1015" s="599"/>
      <c r="C1015" s="599"/>
      <c r="D1015" s="599"/>
      <c r="E1015" s="599"/>
      <c r="F1015" s="599"/>
      <c r="G1015" s="600"/>
      <c r="H1015" s="599"/>
      <c r="I1015" s="599"/>
      <c r="J1015" s="599"/>
      <c r="K1015" s="599"/>
      <c r="L1015" s="599"/>
      <c r="M1015" s="599"/>
      <c r="N1015" s="599"/>
      <c r="O1015" s="599"/>
      <c r="P1015" s="599"/>
      <c r="Q1015" s="599"/>
      <c r="R1015" s="599"/>
      <c r="S1015" s="599"/>
      <c r="T1015" s="59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F424-D868-4F00-AD14-82D9F9CD8434}">
  <dimension ref="A1:X1007"/>
  <sheetViews>
    <sheetView workbookViewId="0"/>
  </sheetViews>
  <sheetFormatPr defaultColWidth="9.1796875" defaultRowHeight="14.5"/>
  <cols>
    <col min="1" max="5" width="4.1796875" style="601" customWidth="1"/>
    <col min="6" max="6" width="0.81640625" style="601" customWidth="1"/>
    <col min="7" max="7" width="9.1796875" style="601"/>
    <col min="8" max="10" width="1.26953125" style="601" customWidth="1"/>
    <col min="11" max="11" width="19.26953125" style="601" customWidth="1"/>
    <col min="12" max="13" width="1.26953125" style="601" customWidth="1"/>
    <col min="14" max="14" width="18.81640625" style="601" customWidth="1"/>
    <col min="15" max="16" width="1.26953125" style="601" customWidth="1"/>
    <col min="17" max="17" width="18.81640625" style="601" customWidth="1"/>
    <col min="18" max="18" width="1.26953125" style="601" customWidth="1"/>
    <col min="19" max="23" width="9.1796875" style="601"/>
    <col min="24" max="24" width="1.7265625" style="601" customWidth="1"/>
    <col min="25" max="16384" width="9.1796875" style="601"/>
  </cols>
  <sheetData>
    <row r="1" spans="1:24">
      <c r="A1" s="635" t="s">
        <v>1050</v>
      </c>
      <c r="B1" s="634"/>
      <c r="C1" s="634"/>
      <c r="D1" s="634"/>
      <c r="E1" s="634"/>
      <c r="F1" s="634"/>
      <c r="G1" s="636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5"/>
      <c r="S1" s="634"/>
      <c r="T1" s="635"/>
      <c r="U1" s="634"/>
      <c r="V1" s="634"/>
      <c r="W1" s="634"/>
      <c r="X1" s="599"/>
    </row>
    <row r="2" spans="1:24">
      <c r="A2" s="635" t="s">
        <v>1129</v>
      </c>
      <c r="B2" s="634"/>
      <c r="C2" s="634"/>
      <c r="D2" s="634"/>
      <c r="E2" s="634"/>
      <c r="F2" s="634"/>
      <c r="G2" s="636"/>
      <c r="H2" s="634"/>
      <c r="I2" s="634"/>
      <c r="J2" s="634"/>
      <c r="K2" s="634"/>
      <c r="L2" s="634"/>
      <c r="M2" s="634"/>
      <c r="N2" s="634"/>
      <c r="O2" s="634"/>
      <c r="P2" s="634"/>
      <c r="Q2" s="635" t="s">
        <v>1127</v>
      </c>
      <c r="R2" s="635"/>
      <c r="S2" s="634"/>
      <c r="T2" s="635"/>
      <c r="U2" s="634"/>
      <c r="V2" s="634"/>
      <c r="W2" s="634"/>
      <c r="X2" s="599"/>
    </row>
    <row r="3" spans="1:24">
      <c r="A3" s="635" t="s">
        <v>1066</v>
      </c>
      <c r="B3" s="634"/>
      <c r="C3" s="634"/>
      <c r="D3" s="634"/>
      <c r="E3" s="634"/>
      <c r="F3" s="634"/>
      <c r="G3" s="636"/>
      <c r="H3" s="634"/>
      <c r="I3" s="634"/>
      <c r="J3" s="634"/>
      <c r="K3" s="634"/>
      <c r="L3" s="634"/>
      <c r="M3" s="634"/>
      <c r="N3" s="634"/>
      <c r="O3" s="634"/>
      <c r="P3" s="634"/>
      <c r="Q3" s="635" t="s">
        <v>1130</v>
      </c>
      <c r="R3" s="635"/>
      <c r="S3" s="634"/>
      <c r="T3" s="635"/>
      <c r="U3" s="634"/>
      <c r="V3" s="634"/>
      <c r="W3" s="634"/>
      <c r="X3" s="599"/>
    </row>
    <row r="4" spans="1:24">
      <c r="A4" s="635" t="s">
        <v>1067</v>
      </c>
      <c r="B4" s="634"/>
      <c r="C4" s="634"/>
      <c r="D4" s="634"/>
      <c r="E4" s="634"/>
      <c r="F4" s="634"/>
      <c r="G4" s="636"/>
      <c r="H4" s="634"/>
      <c r="I4" s="634"/>
      <c r="J4" s="634"/>
      <c r="K4" s="634"/>
      <c r="L4" s="634"/>
      <c r="M4" s="634"/>
      <c r="N4" s="634"/>
      <c r="O4" s="634"/>
      <c r="P4" s="634"/>
      <c r="Q4" s="635" t="s">
        <v>1068</v>
      </c>
      <c r="R4" s="635"/>
      <c r="S4" s="634"/>
      <c r="T4" s="635"/>
      <c r="U4" s="634"/>
      <c r="V4" s="634"/>
      <c r="W4" s="634"/>
      <c r="X4" s="603"/>
    </row>
    <row r="5" spans="1:24">
      <c r="A5" s="635" t="s">
        <v>1053</v>
      </c>
      <c r="B5" s="634"/>
      <c r="C5" s="634"/>
      <c r="D5" s="634"/>
      <c r="E5" s="634"/>
      <c r="F5" s="634"/>
      <c r="G5" s="636"/>
      <c r="H5" s="634"/>
      <c r="I5" s="634"/>
      <c r="J5" s="634"/>
      <c r="K5" s="634"/>
      <c r="L5" s="634"/>
      <c r="M5" s="634"/>
      <c r="N5" s="634"/>
      <c r="O5" s="634"/>
      <c r="P5" s="634"/>
      <c r="Q5" s="635" t="s">
        <v>1128</v>
      </c>
      <c r="R5" s="635"/>
      <c r="S5" s="634"/>
      <c r="T5" s="635"/>
      <c r="U5" s="634"/>
      <c r="V5" s="634"/>
      <c r="W5" s="634"/>
      <c r="X5" s="599"/>
    </row>
    <row r="6" spans="1:24">
      <c r="A6" s="629" t="s">
        <v>1133</v>
      </c>
      <c r="B6" s="650"/>
      <c r="C6" s="650"/>
      <c r="D6" s="650"/>
      <c r="E6" s="650"/>
      <c r="F6" s="650"/>
      <c r="G6" s="647"/>
      <c r="H6" s="650"/>
      <c r="I6" s="650"/>
      <c r="J6" s="650"/>
      <c r="K6" s="650"/>
      <c r="L6" s="650"/>
      <c r="M6" s="650"/>
      <c r="N6" s="650"/>
      <c r="O6" s="650"/>
      <c r="P6" s="650"/>
      <c r="Q6" s="629" t="s">
        <v>1134</v>
      </c>
      <c r="R6" s="629"/>
      <c r="S6" s="650"/>
      <c r="T6" s="629"/>
      <c r="U6" s="650"/>
      <c r="V6" s="650"/>
      <c r="W6" s="650"/>
      <c r="X6" s="605"/>
    </row>
    <row r="7" spans="1:24">
      <c r="A7" s="634"/>
      <c r="B7" s="634"/>
      <c r="C7" s="634"/>
      <c r="D7" s="634"/>
      <c r="E7" s="634"/>
      <c r="F7" s="634"/>
      <c r="G7" s="630"/>
      <c r="H7" s="634"/>
      <c r="I7" s="634"/>
      <c r="J7" s="634"/>
      <c r="K7" s="634"/>
      <c r="L7" s="634"/>
      <c r="M7" s="634"/>
      <c r="N7" s="634"/>
      <c r="O7" s="634"/>
      <c r="P7" s="634"/>
      <c r="Q7" s="634"/>
      <c r="R7" s="634"/>
      <c r="S7" s="635"/>
      <c r="T7" s="635"/>
      <c r="U7" s="634"/>
      <c r="V7" s="634"/>
      <c r="W7" s="634"/>
      <c r="X7" s="599"/>
    </row>
    <row r="8" spans="1:24">
      <c r="A8" s="634"/>
      <c r="B8" s="634"/>
      <c r="C8" s="634"/>
      <c r="D8" s="634"/>
      <c r="E8" s="634"/>
      <c r="F8" s="634"/>
      <c r="G8" s="630"/>
      <c r="H8" s="634"/>
      <c r="I8" s="634"/>
      <c r="J8" s="634"/>
      <c r="K8" s="634"/>
      <c r="L8" s="634"/>
      <c r="M8" s="634"/>
      <c r="N8" s="634"/>
      <c r="O8" s="634"/>
      <c r="P8" s="634"/>
      <c r="Q8" s="634"/>
      <c r="R8" s="634"/>
      <c r="S8" s="634"/>
      <c r="T8" s="634"/>
      <c r="U8" s="634"/>
      <c r="V8" s="634"/>
      <c r="W8" s="634"/>
      <c r="X8" s="599"/>
    </row>
    <row r="9" spans="1:24">
      <c r="A9" s="634"/>
      <c r="B9" s="634"/>
      <c r="C9" s="634"/>
      <c r="D9" s="634"/>
      <c r="E9" s="634"/>
      <c r="F9" s="634"/>
      <c r="G9" s="636" t="s">
        <v>967</v>
      </c>
      <c r="H9" s="634"/>
      <c r="I9" s="634"/>
      <c r="J9" s="634"/>
      <c r="K9" s="626" t="s">
        <v>1062</v>
      </c>
      <c r="L9" s="634"/>
      <c r="M9" s="634"/>
      <c r="N9" s="626" t="s">
        <v>1063</v>
      </c>
      <c r="O9" s="634"/>
      <c r="P9" s="634"/>
      <c r="Q9" s="626" t="s">
        <v>1063</v>
      </c>
      <c r="R9" s="634"/>
      <c r="S9" s="634"/>
      <c r="T9" s="634"/>
      <c r="U9" s="634"/>
      <c r="V9" s="634"/>
      <c r="W9" s="634"/>
      <c r="X9" s="599"/>
    </row>
    <row r="10" spans="1:24">
      <c r="A10" s="634"/>
      <c r="B10" s="634"/>
      <c r="C10" s="634"/>
      <c r="D10" s="634"/>
      <c r="E10" s="634"/>
      <c r="F10" s="634"/>
      <c r="G10" s="644" t="s">
        <v>172</v>
      </c>
      <c r="H10" s="634"/>
      <c r="I10" s="634"/>
      <c r="J10" s="634"/>
      <c r="K10" s="643">
        <v>2024</v>
      </c>
      <c r="L10" s="634"/>
      <c r="M10" s="634"/>
      <c r="N10" s="643">
        <v>2023</v>
      </c>
      <c r="O10" s="634"/>
      <c r="P10" s="634"/>
      <c r="Q10" s="643">
        <v>2022</v>
      </c>
      <c r="R10" s="634"/>
      <c r="S10" s="634"/>
      <c r="T10" s="634"/>
      <c r="U10" s="634"/>
      <c r="V10" s="634"/>
      <c r="W10" s="634"/>
      <c r="X10" s="598"/>
    </row>
    <row r="11" spans="1:24">
      <c r="A11" s="634"/>
      <c r="B11" s="634"/>
      <c r="C11" s="634"/>
      <c r="D11" s="634"/>
      <c r="E11" s="634"/>
      <c r="F11" s="634"/>
      <c r="G11" s="639"/>
      <c r="H11" s="634"/>
      <c r="I11" s="634"/>
      <c r="J11" s="634"/>
      <c r="K11" s="634"/>
      <c r="L11" s="634"/>
      <c r="M11" s="634"/>
      <c r="N11" s="634"/>
      <c r="O11" s="634"/>
      <c r="P11" s="634"/>
      <c r="Q11" s="639"/>
      <c r="R11" s="634"/>
      <c r="S11" s="634"/>
      <c r="T11" s="634"/>
      <c r="U11" s="634"/>
      <c r="V11" s="634"/>
      <c r="W11" s="634"/>
      <c r="X11" s="598"/>
    </row>
    <row r="12" spans="1:24">
      <c r="A12" s="634"/>
      <c r="B12" s="634"/>
      <c r="C12" s="634"/>
      <c r="D12" s="634"/>
      <c r="E12" s="634"/>
      <c r="F12" s="634"/>
      <c r="G12" s="639"/>
      <c r="H12" s="634"/>
      <c r="I12" s="634"/>
      <c r="J12" s="634"/>
      <c r="K12" s="634"/>
      <c r="L12" s="634"/>
      <c r="M12" s="634"/>
      <c r="N12" s="634"/>
      <c r="O12" s="634"/>
      <c r="P12" s="634"/>
      <c r="Q12" s="639"/>
      <c r="R12" s="634"/>
      <c r="S12" s="634"/>
      <c r="T12" s="634"/>
      <c r="U12" s="634"/>
      <c r="V12" s="634"/>
      <c r="W12" s="634"/>
      <c r="X12" s="598"/>
    </row>
    <row r="13" spans="1:24">
      <c r="A13" s="634" t="s">
        <v>1085</v>
      </c>
      <c r="B13" s="634"/>
      <c r="C13" s="634"/>
      <c r="D13" s="634"/>
      <c r="E13" s="634"/>
      <c r="F13" s="634"/>
      <c r="G13" s="639"/>
      <c r="H13" s="634"/>
      <c r="I13" s="634"/>
      <c r="J13" s="634"/>
      <c r="K13" s="645">
        <f>-'Consol SoPL-OCI 24'!AG16</f>
        <v>788645167313.875</v>
      </c>
      <c r="L13" s="634"/>
      <c r="M13" s="634"/>
      <c r="N13" s="645">
        <f>-'Consol SoPL-OCI 23 &amp; 22'!AC16</f>
        <v>913482303388</v>
      </c>
      <c r="O13" s="634"/>
      <c r="P13" s="634"/>
      <c r="Q13" s="645">
        <f>-'Consol SoPL-OCI 23 &amp; 22'!BD16</f>
        <v>374943301157.34998</v>
      </c>
      <c r="R13" s="634"/>
      <c r="S13" s="634" t="s">
        <v>113</v>
      </c>
      <c r="T13" s="634"/>
      <c r="U13" s="634"/>
      <c r="V13" s="634"/>
      <c r="W13" s="634"/>
      <c r="X13" s="598"/>
    </row>
    <row r="14" spans="1:24">
      <c r="A14" s="634" t="s">
        <v>1086</v>
      </c>
      <c r="B14" s="635"/>
      <c r="C14" s="635"/>
      <c r="D14" s="634"/>
      <c r="E14" s="634"/>
      <c r="F14" s="634"/>
      <c r="G14" s="636">
        <v>16</v>
      </c>
      <c r="H14" s="634"/>
      <c r="I14" s="634"/>
      <c r="J14" s="634"/>
      <c r="K14" s="642">
        <f>-'Consol SoPL-OCI 24'!AG17</f>
        <v>-697360137223.625</v>
      </c>
      <c r="L14" s="634"/>
      <c r="M14" s="634"/>
      <c r="N14" s="642">
        <f>-'Consol SoPL-OCI 23 &amp; 22'!AC17</f>
        <v>-966810700161</v>
      </c>
      <c r="O14" s="634"/>
      <c r="P14" s="634"/>
      <c r="Q14" s="642">
        <f>-'Consol SoPL-OCI 23 &amp; 22'!BD17</f>
        <v>-324142545908.92499</v>
      </c>
      <c r="R14" s="634"/>
      <c r="S14" s="634" t="s">
        <v>114</v>
      </c>
      <c r="T14" s="634"/>
      <c r="U14" s="634"/>
      <c r="V14" s="634"/>
      <c r="W14" s="634"/>
      <c r="X14" s="599"/>
    </row>
    <row r="15" spans="1:24" ht="4.5" customHeight="1">
      <c r="A15" s="635"/>
      <c r="B15" s="635"/>
      <c r="C15" s="635"/>
      <c r="D15" s="634"/>
      <c r="E15" s="634"/>
      <c r="F15" s="634"/>
      <c r="G15" s="636"/>
      <c r="H15" s="634"/>
      <c r="I15" s="634"/>
      <c r="J15" s="634"/>
      <c r="K15" s="635"/>
      <c r="L15" s="635"/>
      <c r="M15" s="635"/>
      <c r="N15" s="635"/>
      <c r="O15" s="635"/>
      <c r="P15" s="635"/>
      <c r="Q15" s="635"/>
      <c r="R15" s="634"/>
      <c r="S15" s="635"/>
      <c r="T15" s="634"/>
      <c r="U15" s="634"/>
      <c r="V15" s="634"/>
      <c r="W15" s="634"/>
      <c r="X15" s="599"/>
    </row>
    <row r="16" spans="1:24">
      <c r="A16" s="635" t="s">
        <v>1089</v>
      </c>
      <c r="B16" s="635"/>
      <c r="C16" s="635"/>
      <c r="D16" s="634"/>
      <c r="E16" s="634"/>
      <c r="F16" s="634"/>
      <c r="G16" s="636"/>
      <c r="H16" s="634"/>
      <c r="I16" s="634"/>
      <c r="J16" s="634"/>
      <c r="K16" s="649">
        <f>SUM(K13:K14)</f>
        <v>91285030090.25</v>
      </c>
      <c r="L16" s="635"/>
      <c r="M16" s="635"/>
      <c r="N16" s="649">
        <f>SUM(N13:N14)</f>
        <v>-53328396773</v>
      </c>
      <c r="O16" s="635"/>
      <c r="P16" s="635"/>
      <c r="Q16" s="649">
        <f>SUM(Q13:Q14)</f>
        <v>50800755248.424988</v>
      </c>
      <c r="R16" s="634"/>
      <c r="S16" s="635" t="s">
        <v>1084</v>
      </c>
      <c r="T16" s="634"/>
      <c r="U16" s="634"/>
      <c r="V16" s="634"/>
      <c r="W16" s="634"/>
      <c r="X16" s="599"/>
    </row>
    <row r="17" spans="1:24" ht="7.5" customHeight="1">
      <c r="A17" s="635"/>
      <c r="B17" s="635"/>
      <c r="C17" s="635"/>
      <c r="D17" s="634"/>
      <c r="E17" s="634"/>
      <c r="F17" s="634"/>
      <c r="G17" s="636"/>
      <c r="H17" s="634"/>
      <c r="I17" s="634"/>
      <c r="J17" s="634"/>
      <c r="K17" s="634"/>
      <c r="L17" s="634"/>
      <c r="M17" s="634"/>
      <c r="N17" s="634"/>
      <c r="O17" s="634"/>
      <c r="P17" s="634"/>
      <c r="Q17" s="634"/>
      <c r="R17" s="634"/>
      <c r="S17" s="635"/>
      <c r="T17" s="634"/>
      <c r="U17" s="634"/>
      <c r="V17" s="634"/>
      <c r="W17" s="634"/>
      <c r="X17" s="599"/>
    </row>
    <row r="18" spans="1:24">
      <c r="A18" s="635" t="s">
        <v>1090</v>
      </c>
      <c r="B18" s="635"/>
      <c r="C18" s="635"/>
      <c r="D18" s="634"/>
      <c r="E18" s="634"/>
      <c r="F18" s="634"/>
      <c r="G18" s="636"/>
      <c r="H18" s="634"/>
      <c r="I18" s="634"/>
      <c r="J18" s="634"/>
      <c r="K18" s="634"/>
      <c r="L18" s="634"/>
      <c r="M18" s="634"/>
      <c r="N18" s="634"/>
      <c r="O18" s="634"/>
      <c r="P18" s="634"/>
      <c r="Q18" s="634"/>
      <c r="R18" s="634"/>
      <c r="S18" s="635" t="s">
        <v>116</v>
      </c>
      <c r="T18" s="634"/>
      <c r="U18" s="634"/>
      <c r="V18" s="634"/>
      <c r="W18" s="634"/>
      <c r="X18" s="599"/>
    </row>
    <row r="19" spans="1:24">
      <c r="A19" s="635"/>
      <c r="B19" s="635"/>
      <c r="C19" s="635"/>
      <c r="D19" s="634"/>
      <c r="E19" s="634"/>
      <c r="F19" s="634"/>
      <c r="G19" s="636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5"/>
      <c r="T19" s="634"/>
      <c r="U19" s="634"/>
      <c r="V19" s="634"/>
      <c r="W19" s="634"/>
      <c r="X19" s="599"/>
    </row>
    <row r="20" spans="1:24">
      <c r="A20" s="634" t="s">
        <v>1091</v>
      </c>
      <c r="B20" s="634"/>
      <c r="C20" s="634"/>
      <c r="D20" s="634"/>
      <c r="E20" s="634"/>
      <c r="F20" s="634"/>
      <c r="G20" s="636"/>
      <c r="H20" s="645"/>
      <c r="I20" s="645"/>
      <c r="J20" s="645"/>
      <c r="K20" s="645">
        <f>-'Consol SoPL-OCI 24'!AG24</f>
        <v>-560125926033.97498</v>
      </c>
      <c r="L20" s="645"/>
      <c r="M20" s="645"/>
      <c r="N20" s="645">
        <f>-'Consol SoPL-OCI 23 &amp; 22'!AC24</f>
        <v>-799753482326</v>
      </c>
      <c r="O20" s="645"/>
      <c r="P20" s="645"/>
      <c r="Q20" s="645">
        <f>-'Consol SoPL-OCI 23 &amp; 22'!BD24</f>
        <v>-567303595491.94995</v>
      </c>
      <c r="R20" s="634"/>
      <c r="S20" s="634" t="s">
        <v>1093</v>
      </c>
      <c r="T20" s="634"/>
      <c r="U20" s="634"/>
      <c r="V20" s="634"/>
      <c r="W20" s="634"/>
      <c r="X20" s="599"/>
    </row>
    <row r="21" spans="1:24">
      <c r="A21" s="634" t="s">
        <v>1092</v>
      </c>
      <c r="B21" s="634"/>
      <c r="C21" s="634"/>
      <c r="D21" s="634"/>
      <c r="E21" s="634"/>
      <c r="F21" s="634"/>
      <c r="G21" s="636"/>
      <c r="H21" s="645"/>
      <c r="I21" s="645"/>
      <c r="J21" s="645"/>
      <c r="K21" s="645">
        <f>-'Consol SoPL-OCI 24'!AG23</f>
        <v>-7262630508.0249996</v>
      </c>
      <c r="L21" s="645"/>
      <c r="M21" s="645"/>
      <c r="N21" s="645">
        <f>-'Consol SoPL-OCI 23 &amp; 22'!AC23</f>
        <v>-32112230024</v>
      </c>
      <c r="O21" s="645"/>
      <c r="P21" s="645"/>
      <c r="Q21" s="645">
        <f>-'Consol SoPL-OCI 23 &amp; 22'!BD23</f>
        <v>-23395207912.924999</v>
      </c>
      <c r="R21" s="634"/>
      <c r="S21" s="634" t="s">
        <v>1094</v>
      </c>
      <c r="T21" s="634"/>
      <c r="U21" s="634"/>
      <c r="V21" s="634"/>
      <c r="W21" s="634"/>
      <c r="X21" s="599"/>
    </row>
    <row r="22" spans="1:24">
      <c r="A22" s="634" t="s">
        <v>1095</v>
      </c>
      <c r="B22" s="634"/>
      <c r="C22" s="634"/>
      <c r="D22" s="634"/>
      <c r="E22" s="634"/>
      <c r="F22" s="634"/>
      <c r="G22" s="636"/>
      <c r="H22" s="645"/>
      <c r="I22" s="645"/>
      <c r="J22" s="645"/>
      <c r="K22" s="645"/>
      <c r="L22" s="645"/>
      <c r="M22" s="645"/>
      <c r="R22" s="634"/>
      <c r="S22" s="646" t="s">
        <v>1100</v>
      </c>
      <c r="T22" s="634"/>
      <c r="U22" s="634"/>
      <c r="V22" s="634"/>
      <c r="W22" s="634"/>
      <c r="X22" s="599"/>
    </row>
    <row r="23" spans="1:24">
      <c r="A23" s="641" t="s">
        <v>1096</v>
      </c>
      <c r="B23" s="634"/>
      <c r="C23" s="634"/>
      <c r="D23" s="634"/>
      <c r="E23" s="634"/>
      <c r="F23" s="634"/>
      <c r="G23" s="636"/>
      <c r="H23" s="645"/>
      <c r="I23" s="645"/>
      <c r="J23" s="645"/>
      <c r="K23" s="645">
        <f>-'Consol SoPL-OCI 24'!AG27</f>
        <v>0</v>
      </c>
      <c r="L23" s="645"/>
      <c r="M23" s="645"/>
      <c r="N23" s="645">
        <f>-'Consol SoPL-OCI 23 &amp; 22'!AC27</f>
        <v>-32453747018</v>
      </c>
      <c r="O23" s="645"/>
      <c r="P23" s="645"/>
      <c r="Q23" s="645">
        <f>-'Consol SoPL-OCI 23 &amp; 22'!BD27</f>
        <v>1326891251.25</v>
      </c>
      <c r="R23" s="634"/>
      <c r="S23" s="627" t="s">
        <v>1099</v>
      </c>
      <c r="T23" s="634"/>
      <c r="U23" s="634"/>
      <c r="V23" s="634"/>
      <c r="W23" s="634"/>
      <c r="X23" s="599"/>
    </row>
    <row r="24" spans="1:24">
      <c r="A24" s="634" t="s">
        <v>1087</v>
      </c>
      <c r="B24" s="634"/>
      <c r="C24" s="634"/>
      <c r="D24" s="634"/>
      <c r="E24" s="634"/>
      <c r="F24" s="634"/>
      <c r="G24" s="636"/>
      <c r="H24" s="645"/>
      <c r="I24" s="645"/>
      <c r="J24" s="645"/>
      <c r="K24" s="645">
        <f>-'Consol SoPL-OCI 24'!AG25</f>
        <v>-24155198045.474998</v>
      </c>
      <c r="L24" s="645"/>
      <c r="M24" s="645"/>
      <c r="N24" s="645">
        <f>-'Consol SoPL-OCI 23 &amp; 22'!AC25</f>
        <v>-30622890261</v>
      </c>
      <c r="O24" s="645"/>
      <c r="P24" s="645"/>
      <c r="Q24" s="645">
        <f>-'Consol SoPL-OCI 23 &amp; 22'!BD25</f>
        <v>-9215070072.5499992</v>
      </c>
      <c r="R24" s="634"/>
      <c r="S24" s="634" t="s">
        <v>120</v>
      </c>
      <c r="T24" s="634"/>
      <c r="U24" s="634"/>
      <c r="V24" s="634"/>
      <c r="W24" s="634"/>
      <c r="X24" s="599"/>
    </row>
    <row r="25" spans="1:24">
      <c r="A25" s="634" t="s">
        <v>1088</v>
      </c>
      <c r="B25" s="634"/>
      <c r="C25" s="634"/>
      <c r="D25" s="634"/>
      <c r="E25" s="634"/>
      <c r="F25" s="634"/>
      <c r="G25" s="636"/>
      <c r="H25" s="645"/>
      <c r="I25" s="645"/>
      <c r="J25" s="645"/>
      <c r="K25" s="645">
        <f>-'Consol SoPL-OCI 24'!AG26</f>
        <v>-11266205309</v>
      </c>
      <c r="L25" s="645"/>
      <c r="M25" s="645"/>
      <c r="N25" s="645">
        <f>-'Consol SoPL-OCI 23 &amp; 22'!AC26</f>
        <v>-1899458800</v>
      </c>
      <c r="O25" s="645"/>
      <c r="P25" s="645"/>
      <c r="Q25" s="645">
        <f>-'Consol SoPL-OCI 23 &amp; 22'!BD26</f>
        <v>-40868100000.125</v>
      </c>
      <c r="R25" s="634"/>
      <c r="S25" s="634" t="s">
        <v>1069</v>
      </c>
      <c r="T25" s="634"/>
      <c r="U25" s="634"/>
      <c r="V25" s="634"/>
      <c r="W25" s="634"/>
      <c r="X25" s="599"/>
    </row>
    <row r="26" spans="1:24">
      <c r="A26" s="634" t="s">
        <v>1070</v>
      </c>
      <c r="B26" s="634"/>
      <c r="C26" s="634"/>
      <c r="D26" s="634"/>
      <c r="E26" s="634"/>
      <c r="F26" s="634"/>
      <c r="G26" s="636"/>
      <c r="H26" s="645"/>
      <c r="I26" s="645"/>
      <c r="J26" s="645"/>
      <c r="K26" s="642">
        <f>-'Consol SoPL-OCI 24'!AG28-'Consol SoPL-OCI 24'!AG38</f>
        <v>-4255016150.4209995</v>
      </c>
      <c r="L26" s="645"/>
      <c r="M26" s="645"/>
      <c r="N26" s="642">
        <f>-'Consol SoPL-OCI 23 &amp; 22'!AC28-'Consol SoPL-OCI 23 &amp; 22'!AC38</f>
        <v>-24815839951</v>
      </c>
      <c r="O26" s="645"/>
      <c r="P26" s="645"/>
      <c r="Q26" s="642">
        <f>-'Consol SoPL-OCI 23 &amp; 22'!BD28-'Consol SoPL-OCI 23 &amp; 22'!BD38</f>
        <v>29660475.900000572</v>
      </c>
      <c r="R26" s="634"/>
      <c r="S26" s="646" t="s">
        <v>1071</v>
      </c>
      <c r="T26" s="634"/>
      <c r="U26" s="634"/>
      <c r="V26" s="634"/>
      <c r="W26" s="634"/>
      <c r="X26" s="599"/>
    </row>
    <row r="27" spans="1:24" ht="4.5" customHeight="1">
      <c r="A27" s="635"/>
      <c r="B27" s="635"/>
      <c r="C27" s="635"/>
      <c r="D27" s="634"/>
      <c r="E27" s="634"/>
      <c r="F27" s="634"/>
      <c r="G27" s="636"/>
      <c r="H27" s="634"/>
      <c r="I27" s="634"/>
      <c r="J27" s="634"/>
      <c r="K27" s="635"/>
      <c r="L27" s="635"/>
      <c r="M27" s="635"/>
      <c r="N27" s="635"/>
      <c r="O27" s="635"/>
      <c r="P27" s="635"/>
      <c r="Q27" s="635"/>
      <c r="R27" s="634"/>
      <c r="S27" s="635"/>
      <c r="T27" s="634"/>
      <c r="U27" s="634"/>
      <c r="V27" s="634"/>
      <c r="W27" s="634"/>
      <c r="X27" s="599"/>
    </row>
    <row r="28" spans="1:24">
      <c r="A28" s="635" t="s">
        <v>1097</v>
      </c>
      <c r="B28" s="635"/>
      <c r="C28" s="635"/>
      <c r="D28" s="634"/>
      <c r="E28" s="634"/>
      <c r="F28" s="634"/>
      <c r="G28" s="636"/>
      <c r="H28" s="634"/>
      <c r="I28" s="634"/>
      <c r="J28" s="634"/>
      <c r="K28" s="649">
        <f>SUM(K20:K26)</f>
        <v>-607064976046.896</v>
      </c>
      <c r="L28" s="635"/>
      <c r="M28" s="635"/>
      <c r="N28" s="649">
        <f>SUM(N20:N26)</f>
        <v>-921657648380</v>
      </c>
      <c r="O28" s="635"/>
      <c r="P28" s="635"/>
      <c r="Q28" s="649">
        <f>SUM(Q20:Q26)</f>
        <v>-639425421750.40002</v>
      </c>
      <c r="R28" s="634"/>
      <c r="S28" s="635" t="s">
        <v>1098</v>
      </c>
      <c r="T28" s="634"/>
      <c r="U28" s="634"/>
      <c r="V28" s="634"/>
      <c r="W28" s="634"/>
      <c r="X28" s="599"/>
    </row>
    <row r="29" spans="1:24" ht="7.5" customHeight="1">
      <c r="A29" s="635"/>
      <c r="B29" s="635"/>
      <c r="C29" s="635"/>
      <c r="D29" s="634"/>
      <c r="E29" s="634"/>
      <c r="F29" s="634"/>
      <c r="G29" s="636"/>
      <c r="H29" s="634"/>
      <c r="I29" s="634"/>
      <c r="J29" s="634"/>
      <c r="K29" s="634"/>
      <c r="L29" s="634"/>
      <c r="M29" s="634"/>
      <c r="N29" s="634"/>
      <c r="O29" s="634"/>
      <c r="P29" s="634"/>
      <c r="Q29" s="634"/>
      <c r="R29" s="634"/>
      <c r="S29" s="635"/>
      <c r="T29" s="634"/>
      <c r="U29" s="634"/>
      <c r="V29" s="634"/>
      <c r="W29" s="634"/>
      <c r="X29" s="599"/>
    </row>
    <row r="30" spans="1:24">
      <c r="A30" s="635" t="s">
        <v>1101</v>
      </c>
      <c r="B30" s="634"/>
      <c r="C30" s="634"/>
      <c r="D30" s="634"/>
      <c r="E30" s="634"/>
      <c r="F30" s="634"/>
      <c r="G30" s="636"/>
      <c r="H30" s="634"/>
      <c r="I30" s="634"/>
      <c r="J30" s="634"/>
      <c r="K30" s="649">
        <f>K16+K28</f>
        <v>-515779945956.646</v>
      </c>
      <c r="L30" s="635"/>
      <c r="M30" s="635"/>
      <c r="N30" s="649">
        <f>N16+N28</f>
        <v>-974986045153</v>
      </c>
      <c r="O30" s="635"/>
      <c r="P30" s="635"/>
      <c r="Q30" s="649">
        <f>Q16+Q28</f>
        <v>-588624666501.9751</v>
      </c>
      <c r="R30" s="634"/>
      <c r="S30" s="635" t="s">
        <v>1102</v>
      </c>
      <c r="T30" s="634"/>
      <c r="U30" s="634"/>
      <c r="V30" s="634"/>
      <c r="W30" s="634"/>
      <c r="X30" s="599"/>
    </row>
    <row r="31" spans="1:24">
      <c r="A31" s="635"/>
      <c r="B31" s="634"/>
      <c r="C31" s="634"/>
      <c r="D31" s="634"/>
      <c r="E31" s="634"/>
      <c r="F31" s="634"/>
      <c r="G31" s="636"/>
      <c r="H31" s="634"/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5"/>
      <c r="T31" s="634"/>
      <c r="U31" s="634"/>
      <c r="V31" s="634"/>
      <c r="W31" s="634"/>
      <c r="X31" s="599"/>
    </row>
    <row r="32" spans="1:24">
      <c r="A32" s="635" t="s">
        <v>1103</v>
      </c>
      <c r="B32" s="635"/>
      <c r="C32" s="635"/>
      <c r="D32" s="634"/>
      <c r="E32" s="634"/>
      <c r="F32" s="634"/>
      <c r="G32" s="636"/>
      <c r="H32" s="634"/>
      <c r="I32" s="634"/>
      <c r="J32" s="634"/>
      <c r="K32" s="634"/>
      <c r="L32" s="634"/>
      <c r="M32" s="634"/>
      <c r="N32" s="634"/>
      <c r="O32" s="634"/>
      <c r="P32" s="634"/>
      <c r="Q32" s="634"/>
      <c r="R32" s="634"/>
      <c r="S32" s="635" t="s">
        <v>1104</v>
      </c>
      <c r="T32" s="634"/>
      <c r="U32" s="634"/>
      <c r="V32" s="634"/>
      <c r="W32" s="634"/>
      <c r="X32" s="599"/>
    </row>
    <row r="33" spans="1:24">
      <c r="A33" s="634" t="s">
        <v>1105</v>
      </c>
      <c r="B33" s="634"/>
      <c r="C33" s="634"/>
      <c r="D33" s="634"/>
      <c r="E33" s="634"/>
      <c r="F33" s="634"/>
      <c r="G33" s="636"/>
      <c r="H33" s="634"/>
      <c r="I33" s="634"/>
      <c r="J33" s="634"/>
      <c r="K33" s="634">
        <f>-'Consol SoPL-OCI 24'!AG35</f>
        <v>8025553537.3000011</v>
      </c>
      <c r="L33" s="634"/>
      <c r="M33" s="634"/>
      <c r="N33" s="634">
        <f>-'Consol SoPL-OCI 23 &amp; 22'!AC35</f>
        <v>8605882026.5372772</v>
      </c>
      <c r="O33" s="634"/>
      <c r="P33" s="634"/>
      <c r="Q33" s="634">
        <f>-'Consol SoPL-OCI 23 &amp; 22'!BD35</f>
        <v>5640338416.3989992</v>
      </c>
      <c r="R33" s="634"/>
      <c r="S33" s="634" t="s">
        <v>291</v>
      </c>
      <c r="T33" s="634"/>
      <c r="U33" s="634"/>
      <c r="V33" s="634"/>
      <c r="W33" s="634"/>
      <c r="X33" s="599"/>
    </row>
    <row r="34" spans="1:24">
      <c r="A34" s="634" t="s">
        <v>1106</v>
      </c>
      <c r="B34" s="634"/>
      <c r="C34" s="634"/>
      <c r="D34" s="634"/>
      <c r="E34" s="634"/>
      <c r="F34" s="634"/>
      <c r="G34" s="636"/>
      <c r="H34" s="634"/>
      <c r="I34" s="634"/>
      <c r="J34" s="634"/>
      <c r="K34" s="645">
        <f>-'Consol SoPL-OCI 24'!AG36</f>
        <v>-12803154682.65</v>
      </c>
      <c r="L34" s="645"/>
      <c r="M34" s="645"/>
      <c r="N34" s="645">
        <f>-'Consol SoPL-OCI 23 &amp; 22'!AC36</f>
        <v>-31914223806.953632</v>
      </c>
      <c r="O34" s="645"/>
      <c r="P34" s="645"/>
      <c r="Q34" s="645">
        <f>-'Consol SoPL-OCI 23 &amp; 22'!BD36</f>
        <v>-14054873144.594997</v>
      </c>
      <c r="R34" s="634"/>
      <c r="S34" s="634" t="s">
        <v>1107</v>
      </c>
      <c r="T34" s="634"/>
      <c r="U34" s="634"/>
      <c r="V34" s="634"/>
      <c r="W34" s="634"/>
      <c r="X34" s="599"/>
    </row>
    <row r="35" spans="1:24">
      <c r="A35" s="634" t="s">
        <v>1108</v>
      </c>
      <c r="B35" s="634"/>
      <c r="C35" s="634"/>
      <c r="D35" s="634"/>
      <c r="E35" s="634"/>
      <c r="F35" s="634"/>
      <c r="G35" s="636"/>
      <c r="H35" s="634"/>
      <c r="I35" s="634"/>
      <c r="J35" s="634"/>
      <c r="K35" s="642">
        <f>-'Consol SoPL-OCI 24'!AG37</f>
        <v>-939065125</v>
      </c>
      <c r="L35" s="645"/>
      <c r="M35" s="645"/>
      <c r="N35" s="642">
        <f>-'Consol SoPL-OCI 23 &amp; 22'!AC37</f>
        <v>1566688058</v>
      </c>
      <c r="O35" s="645"/>
      <c r="P35" s="645"/>
      <c r="Q35" s="642">
        <f>-'Consol SoPL-OCI 23 &amp; 22'!BD37</f>
        <v>51355510.400000006</v>
      </c>
      <c r="R35" s="634"/>
      <c r="S35" s="634" t="s">
        <v>1109</v>
      </c>
      <c r="T35" s="634"/>
      <c r="U35" s="634"/>
      <c r="V35" s="634"/>
      <c r="W35" s="634"/>
      <c r="X35" s="599"/>
    </row>
    <row r="36" spans="1:24" ht="4.5" customHeight="1">
      <c r="A36" s="635"/>
      <c r="B36" s="635"/>
      <c r="C36" s="635"/>
      <c r="D36" s="634"/>
      <c r="E36" s="634"/>
      <c r="F36" s="634"/>
      <c r="G36" s="636"/>
      <c r="H36" s="634"/>
      <c r="I36" s="634"/>
      <c r="J36" s="634"/>
      <c r="K36" s="635"/>
      <c r="L36" s="635"/>
      <c r="M36" s="635"/>
      <c r="N36" s="635"/>
      <c r="O36" s="635"/>
      <c r="P36" s="635"/>
      <c r="Q36" s="635"/>
      <c r="R36" s="634"/>
      <c r="S36" s="635"/>
      <c r="T36" s="634"/>
      <c r="U36" s="634"/>
      <c r="V36" s="634"/>
      <c r="W36" s="634"/>
      <c r="X36" s="599"/>
    </row>
    <row r="37" spans="1:24">
      <c r="A37" s="635" t="s">
        <v>1110</v>
      </c>
      <c r="B37" s="635"/>
      <c r="C37" s="635"/>
      <c r="D37" s="634"/>
      <c r="E37" s="634"/>
      <c r="F37" s="634"/>
      <c r="G37" s="636"/>
      <c r="H37" s="634"/>
      <c r="I37" s="634"/>
      <c r="J37" s="634"/>
      <c r="K37" s="649">
        <f>SUM(K31:K35)</f>
        <v>-5716666270.3499985</v>
      </c>
      <c r="L37" s="635"/>
      <c r="M37" s="635"/>
      <c r="N37" s="649">
        <f>SUM(N31:N35)</f>
        <v>-21741653722.416355</v>
      </c>
      <c r="O37" s="635"/>
      <c r="P37" s="635"/>
      <c r="Q37" s="649">
        <f>SUM(Q31:Q35)</f>
        <v>-8363179217.7959986</v>
      </c>
      <c r="R37" s="634"/>
      <c r="S37" s="635" t="s">
        <v>1111</v>
      </c>
      <c r="T37" s="634"/>
      <c r="U37" s="634"/>
      <c r="V37" s="634"/>
      <c r="W37" s="634"/>
      <c r="X37" s="599"/>
    </row>
    <row r="38" spans="1:24" ht="7.5" customHeight="1">
      <c r="A38" s="635"/>
      <c r="B38" s="635"/>
      <c r="C38" s="635"/>
      <c r="D38" s="634"/>
      <c r="E38" s="634"/>
      <c r="F38" s="634"/>
      <c r="G38" s="636"/>
      <c r="H38" s="634"/>
      <c r="I38" s="634"/>
      <c r="J38" s="634"/>
      <c r="K38" s="634"/>
      <c r="L38" s="634"/>
      <c r="M38" s="634"/>
      <c r="N38" s="634"/>
      <c r="O38" s="634"/>
      <c r="P38" s="634"/>
      <c r="Q38" s="634"/>
      <c r="R38" s="634"/>
      <c r="S38" s="635"/>
      <c r="T38" s="634"/>
      <c r="U38" s="634"/>
      <c r="V38" s="634"/>
      <c r="W38" s="634"/>
      <c r="X38" s="599"/>
    </row>
    <row r="39" spans="1:24" ht="15.75" customHeight="1">
      <c r="A39" s="635" t="s">
        <v>1113</v>
      </c>
      <c r="B39" s="635"/>
      <c r="C39" s="635"/>
      <c r="D39" s="634"/>
      <c r="E39" s="634"/>
      <c r="F39" s="634"/>
      <c r="G39" s="636"/>
      <c r="H39" s="634"/>
      <c r="I39" s="634"/>
      <c r="J39" s="634"/>
      <c r="K39" s="634"/>
      <c r="L39" s="634"/>
      <c r="M39" s="634"/>
      <c r="N39" s="634"/>
      <c r="O39" s="634"/>
      <c r="P39" s="634"/>
      <c r="Q39" s="634"/>
      <c r="R39" s="634"/>
      <c r="S39" s="635"/>
      <c r="T39" s="634"/>
      <c r="U39" s="634"/>
      <c r="V39" s="634"/>
      <c r="W39" s="634"/>
      <c r="X39" s="599"/>
    </row>
    <row r="40" spans="1:24">
      <c r="A40" s="638" t="s">
        <v>1114</v>
      </c>
      <c r="B40" s="634"/>
      <c r="C40" s="634"/>
      <c r="D40" s="634"/>
      <c r="E40" s="634"/>
      <c r="F40" s="634"/>
      <c r="G40" s="636"/>
      <c r="H40" s="634"/>
      <c r="I40" s="634"/>
      <c r="J40" s="634"/>
      <c r="K40" s="632">
        <f>K30+K37</f>
        <v>-521496612226.99597</v>
      </c>
      <c r="L40" s="635"/>
      <c r="M40" s="635"/>
      <c r="N40" s="632">
        <f>N30+N37</f>
        <v>-996727698875.41638</v>
      </c>
      <c r="O40" s="635"/>
      <c r="P40" s="635"/>
      <c r="Q40" s="632">
        <f>Q30+Q37</f>
        <v>-596987845719.77112</v>
      </c>
      <c r="R40" s="634"/>
      <c r="S40" s="635" t="s">
        <v>1112</v>
      </c>
      <c r="T40" s="634"/>
      <c r="U40" s="634"/>
      <c r="V40" s="634"/>
      <c r="W40" s="634"/>
      <c r="X40" s="598"/>
    </row>
    <row r="41" spans="1:24">
      <c r="A41" s="635"/>
      <c r="B41" s="634"/>
      <c r="C41" s="634"/>
      <c r="D41" s="634"/>
      <c r="E41" s="634"/>
      <c r="F41" s="634"/>
      <c r="G41" s="636"/>
      <c r="H41" s="634"/>
      <c r="I41" s="634"/>
      <c r="J41" s="634"/>
      <c r="K41" s="630"/>
      <c r="L41" s="634"/>
      <c r="M41" s="634"/>
      <c r="N41" s="630"/>
      <c r="O41" s="634"/>
      <c r="P41" s="634"/>
      <c r="Q41" s="634"/>
      <c r="R41" s="634"/>
      <c r="S41" s="635"/>
      <c r="T41" s="634"/>
      <c r="U41" s="634"/>
      <c r="V41" s="634"/>
      <c r="W41" s="634"/>
      <c r="X41" s="599"/>
    </row>
    <row r="42" spans="1:24">
      <c r="A42" s="635" t="s">
        <v>1115</v>
      </c>
      <c r="B42" s="635"/>
      <c r="C42" s="635"/>
      <c r="D42" s="634"/>
      <c r="E42" s="634"/>
      <c r="F42" s="634"/>
      <c r="G42" s="636"/>
      <c r="H42" s="634"/>
      <c r="I42" s="634"/>
      <c r="J42" s="634"/>
      <c r="K42" s="642">
        <v>0</v>
      </c>
      <c r="L42" s="645"/>
      <c r="M42" s="645"/>
      <c r="N42" s="642">
        <f>-'Consol SoPL-OCI 23 &amp; 22'!AC56</f>
        <v>-8372187235</v>
      </c>
      <c r="O42" s="645"/>
      <c r="P42" s="645"/>
      <c r="Q42" s="642">
        <f>-'Consol SoPL-OCI 23 &amp; 22'!BD56</f>
        <v>-3469782200.8499999</v>
      </c>
      <c r="R42" s="634"/>
      <c r="S42" s="635" t="s">
        <v>136</v>
      </c>
      <c r="T42" s="634"/>
      <c r="U42" s="634"/>
      <c r="V42" s="634"/>
      <c r="W42" s="634"/>
      <c r="X42" s="599"/>
    </row>
    <row r="43" spans="1:24">
      <c r="A43" s="638"/>
      <c r="B43" s="634"/>
      <c r="C43" s="634"/>
      <c r="D43" s="634"/>
      <c r="E43" s="634"/>
      <c r="F43" s="634"/>
      <c r="G43" s="636"/>
      <c r="H43" s="634"/>
      <c r="I43" s="634"/>
      <c r="J43" s="634"/>
      <c r="R43" s="634"/>
      <c r="T43" s="634"/>
      <c r="U43" s="634"/>
      <c r="V43" s="634"/>
      <c r="W43" s="634"/>
      <c r="X43" s="599"/>
    </row>
    <row r="44" spans="1:24">
      <c r="A44" s="635" t="s">
        <v>1116</v>
      </c>
      <c r="B44" s="634"/>
      <c r="C44" s="634"/>
      <c r="D44" s="634"/>
      <c r="E44" s="634"/>
      <c r="F44" s="634"/>
      <c r="G44" s="636"/>
      <c r="H44" s="634"/>
      <c r="I44" s="634"/>
      <c r="J44" s="634"/>
      <c r="K44" s="630"/>
      <c r="L44" s="634"/>
      <c r="M44" s="634"/>
      <c r="N44" s="630"/>
      <c r="O44" s="634"/>
      <c r="P44" s="634"/>
      <c r="Q44" s="634"/>
      <c r="R44" s="634"/>
      <c r="S44" s="635" t="s">
        <v>1118</v>
      </c>
      <c r="T44" s="634"/>
      <c r="U44" s="634"/>
      <c r="V44" s="634"/>
      <c r="W44" s="634"/>
      <c r="X44" s="599"/>
    </row>
    <row r="45" spans="1:24">
      <c r="A45" s="640" t="s">
        <v>1120</v>
      </c>
      <c r="B45" s="634"/>
      <c r="C45" s="634"/>
      <c r="D45" s="634"/>
      <c r="E45" s="634"/>
      <c r="F45" s="634"/>
      <c r="G45" s="636"/>
      <c r="H45" s="634"/>
      <c r="I45" s="634"/>
      <c r="J45" s="634"/>
      <c r="K45" s="632">
        <f>K40+K42</f>
        <v>-521496612226.99597</v>
      </c>
      <c r="L45" s="634"/>
      <c r="M45" s="634"/>
      <c r="N45" s="632">
        <f>N40+N42</f>
        <v>-1005099886110.4164</v>
      </c>
      <c r="O45" s="632"/>
      <c r="P45" s="632"/>
      <c r="Q45" s="632">
        <f>Q40+Q42</f>
        <v>-600457627920.62109</v>
      </c>
      <c r="R45" s="634"/>
      <c r="S45" s="640" t="s">
        <v>1119</v>
      </c>
      <c r="T45" s="634"/>
      <c r="U45" s="634"/>
      <c r="V45" s="634"/>
      <c r="W45" s="634"/>
      <c r="X45" s="598"/>
    </row>
    <row r="46" spans="1:24">
      <c r="A46" s="640"/>
      <c r="B46" s="634"/>
      <c r="C46" s="634"/>
      <c r="D46" s="634"/>
      <c r="E46" s="634"/>
      <c r="F46" s="634"/>
      <c r="G46" s="636"/>
      <c r="H46" s="634"/>
      <c r="I46" s="634"/>
      <c r="J46" s="634"/>
      <c r="K46" s="634"/>
      <c r="L46" s="634"/>
      <c r="M46" s="634"/>
      <c r="N46" s="645"/>
      <c r="O46" s="645"/>
      <c r="P46" s="645"/>
      <c r="Q46" s="645"/>
      <c r="R46" s="634"/>
      <c r="S46" s="640"/>
      <c r="T46" s="634"/>
      <c r="U46" s="634"/>
      <c r="V46" s="634"/>
      <c r="W46" s="634"/>
      <c r="X46" s="598"/>
    </row>
    <row r="47" spans="1:24">
      <c r="A47" s="635" t="s">
        <v>1121</v>
      </c>
      <c r="B47" s="634"/>
      <c r="C47" s="634"/>
      <c r="D47" s="634"/>
      <c r="E47" s="634"/>
      <c r="F47" s="634"/>
      <c r="G47" s="636"/>
      <c r="H47" s="634"/>
      <c r="I47" s="634"/>
      <c r="J47" s="634"/>
      <c r="K47" s="634"/>
      <c r="L47" s="634"/>
      <c r="M47" s="634"/>
      <c r="N47" s="645"/>
      <c r="O47" s="645"/>
      <c r="P47" s="645"/>
      <c r="Q47" s="645"/>
      <c r="R47" s="634"/>
      <c r="S47" s="635" t="s">
        <v>1123</v>
      </c>
      <c r="T47" s="634"/>
      <c r="U47" s="634"/>
      <c r="V47" s="634"/>
      <c r="W47" s="634"/>
      <c r="X47" s="598"/>
    </row>
    <row r="48" spans="1:24">
      <c r="A48" s="640" t="s">
        <v>1122</v>
      </c>
      <c r="B48" s="634"/>
      <c r="C48" s="634"/>
      <c r="D48" s="634"/>
      <c r="E48" s="634"/>
      <c r="F48" s="634"/>
      <c r="G48" s="636"/>
      <c r="H48" s="634"/>
      <c r="I48" s="634"/>
      <c r="J48" s="634"/>
      <c r="K48" s="642">
        <f>-'Consol SoPL-OCI 24'!AG61</f>
        <v>6046239731.4340792</v>
      </c>
      <c r="L48" s="645"/>
      <c r="M48" s="645"/>
      <c r="N48" s="642">
        <f>-'Consol SoPL-OCI 23 &amp; 22'!AC61</f>
        <v>58403961762.594269</v>
      </c>
      <c r="O48" s="645"/>
      <c r="P48" s="645"/>
      <c r="Q48" s="642">
        <f>-'Consol SoPL-OCI 23 &amp; 22'!BD61</f>
        <v>33149995310.144566</v>
      </c>
      <c r="R48" s="634"/>
      <c r="S48" s="640" t="s">
        <v>1124</v>
      </c>
      <c r="T48" s="634"/>
      <c r="U48" s="634"/>
      <c r="V48" s="634"/>
      <c r="W48" s="634"/>
      <c r="X48" s="598"/>
    </row>
    <row r="49" spans="1:24" ht="4.5" customHeight="1">
      <c r="A49" s="635"/>
      <c r="B49" s="635"/>
      <c r="C49" s="635"/>
      <c r="D49" s="634"/>
      <c r="E49" s="634"/>
      <c r="F49" s="634"/>
      <c r="G49" s="636"/>
      <c r="H49" s="634"/>
      <c r="I49" s="634"/>
      <c r="J49" s="634"/>
      <c r="K49" s="635"/>
      <c r="L49" s="635"/>
      <c r="M49" s="635"/>
      <c r="N49" s="635"/>
      <c r="O49" s="635"/>
      <c r="P49" s="635"/>
      <c r="Q49" s="635"/>
      <c r="R49" s="634"/>
      <c r="S49" s="635"/>
      <c r="T49" s="634"/>
      <c r="U49" s="634"/>
      <c r="V49" s="634"/>
      <c r="W49" s="634"/>
      <c r="X49" s="599"/>
    </row>
    <row r="50" spans="1:24">
      <c r="A50" s="635" t="s">
        <v>1072</v>
      </c>
      <c r="B50" s="634"/>
      <c r="C50" s="634"/>
      <c r="D50" s="634"/>
      <c r="E50" s="634"/>
      <c r="F50" s="634"/>
      <c r="G50" s="636"/>
      <c r="H50" s="634"/>
      <c r="I50" s="634"/>
      <c r="J50" s="634"/>
      <c r="K50" s="645">
        <f>K48+K45</f>
        <v>-515450372495.56189</v>
      </c>
      <c r="L50" s="634"/>
      <c r="M50" s="634"/>
      <c r="N50" s="645">
        <f>N48+N45</f>
        <v>-946695924347.82214</v>
      </c>
      <c r="O50" s="645"/>
      <c r="P50" s="645"/>
      <c r="Q50" s="645">
        <f>Q48+Q45</f>
        <v>-567307632610.47656</v>
      </c>
      <c r="R50" s="634"/>
      <c r="S50" s="635" t="s">
        <v>1073</v>
      </c>
      <c r="T50" s="634"/>
      <c r="U50" s="634"/>
      <c r="V50" s="634"/>
      <c r="W50" s="634"/>
      <c r="X50" s="598"/>
    </row>
    <row r="51" spans="1:24">
      <c r="A51" s="640"/>
      <c r="B51" s="634"/>
      <c r="C51" s="634"/>
      <c r="D51" s="634"/>
      <c r="E51" s="634"/>
      <c r="F51" s="634"/>
      <c r="G51" s="636"/>
      <c r="H51" s="634"/>
      <c r="I51" s="634"/>
      <c r="J51" s="634"/>
      <c r="K51" s="634"/>
      <c r="L51" s="634"/>
      <c r="M51" s="634"/>
      <c r="N51" s="645"/>
      <c r="O51" s="645"/>
      <c r="P51" s="645"/>
      <c r="Q51" s="645"/>
      <c r="R51" s="634"/>
      <c r="S51" s="640"/>
      <c r="T51" s="634"/>
      <c r="U51" s="634"/>
      <c r="V51" s="634"/>
      <c r="W51" s="634"/>
      <c r="X51" s="598"/>
    </row>
    <row r="52" spans="1:24">
      <c r="A52" s="625" t="s">
        <v>1125</v>
      </c>
      <c r="B52" s="634"/>
      <c r="C52" s="634"/>
      <c r="D52" s="634"/>
      <c r="E52" s="634"/>
      <c r="F52" s="634"/>
      <c r="G52" s="636"/>
      <c r="H52" s="634"/>
      <c r="I52" s="634"/>
      <c r="J52" s="634"/>
      <c r="K52" s="634"/>
      <c r="L52" s="634"/>
      <c r="M52" s="634"/>
      <c r="N52" s="645"/>
      <c r="O52" s="645"/>
      <c r="P52" s="645"/>
      <c r="Q52" s="645"/>
      <c r="R52" s="634"/>
      <c r="S52" s="635" t="s">
        <v>1126</v>
      </c>
      <c r="T52" s="634"/>
      <c r="U52" s="634"/>
      <c r="V52" s="634"/>
      <c r="W52" s="634"/>
      <c r="X52" s="598"/>
    </row>
    <row r="53" spans="1:24">
      <c r="A53" s="634" t="s">
        <v>1074</v>
      </c>
      <c r="B53" s="634"/>
      <c r="C53" s="634"/>
      <c r="D53" s="634"/>
      <c r="E53" s="634"/>
      <c r="F53" s="634"/>
      <c r="G53" s="636"/>
      <c r="H53" s="634"/>
      <c r="I53" s="634"/>
      <c r="J53" s="634"/>
      <c r="K53" s="634"/>
      <c r="L53" s="634"/>
      <c r="M53" s="634"/>
      <c r="N53" s="634"/>
      <c r="O53" s="634"/>
      <c r="P53" s="634"/>
      <c r="Q53" s="634"/>
      <c r="R53" s="634"/>
      <c r="S53" s="634" t="s">
        <v>1075</v>
      </c>
      <c r="T53" s="634"/>
      <c r="U53" s="634"/>
      <c r="V53" s="634"/>
      <c r="W53" s="634"/>
      <c r="X53" s="599"/>
    </row>
    <row r="54" spans="1:24">
      <c r="A54" s="637" t="s">
        <v>1076</v>
      </c>
      <c r="B54" s="634"/>
      <c r="C54" s="634"/>
      <c r="D54" s="634"/>
      <c r="E54" s="634"/>
      <c r="F54" s="634"/>
      <c r="G54" s="636"/>
      <c r="H54" s="634"/>
      <c r="I54" s="634"/>
      <c r="J54" s="634"/>
      <c r="K54" s="634"/>
      <c r="L54" s="634"/>
      <c r="M54" s="634"/>
      <c r="N54" s="634"/>
      <c r="O54" s="634"/>
      <c r="P54" s="634"/>
      <c r="Q54" s="634"/>
      <c r="R54" s="634"/>
      <c r="S54" s="637" t="s">
        <v>1077</v>
      </c>
      <c r="T54" s="634"/>
      <c r="U54" s="634"/>
      <c r="V54" s="634"/>
      <c r="W54" s="634"/>
      <c r="X54" s="598"/>
    </row>
    <row r="55" spans="1:24">
      <c r="A55" s="635"/>
      <c r="B55" s="634" t="s">
        <v>1078</v>
      </c>
      <c r="C55" s="634"/>
      <c r="D55" s="634"/>
      <c r="E55" s="634"/>
      <c r="F55" s="634"/>
      <c r="G55" s="636"/>
      <c r="H55" s="645"/>
      <c r="I55" s="645"/>
      <c r="J55" s="645"/>
      <c r="K55" s="642">
        <v>0</v>
      </c>
      <c r="L55" s="645"/>
      <c r="M55" s="645"/>
      <c r="N55" s="642">
        <f>-SUM('Consol SoPL-OCI 23 &amp; 22'!AC66:AC67)</f>
        <v>614703572.78846216</v>
      </c>
      <c r="O55" s="645"/>
      <c r="P55" s="645"/>
      <c r="Q55" s="642">
        <f>-SUM('Consol SoPL-OCI 23 &amp; 22'!BD66:BD67)</f>
        <v>632359937.80000043</v>
      </c>
      <c r="R55" s="634"/>
      <c r="S55" s="635"/>
      <c r="T55" s="634" t="s">
        <v>1079</v>
      </c>
      <c r="U55" s="634"/>
      <c r="V55" s="634"/>
      <c r="W55" s="628"/>
      <c r="X55" s="598"/>
    </row>
    <row r="56" spans="1:24">
      <c r="A56" s="635"/>
      <c r="B56" s="634"/>
      <c r="C56" s="634"/>
      <c r="D56" s="634"/>
      <c r="E56" s="634"/>
      <c r="F56" s="634"/>
      <c r="G56" s="636"/>
      <c r="H56" s="634"/>
      <c r="I56" s="634"/>
      <c r="J56" s="634"/>
      <c r="K56" s="634"/>
      <c r="L56" s="634"/>
      <c r="M56" s="634"/>
      <c r="N56" s="634"/>
      <c r="O56" s="634"/>
      <c r="P56" s="634"/>
      <c r="Q56" s="634"/>
      <c r="R56" s="634"/>
      <c r="S56" s="635"/>
      <c r="T56" s="634"/>
      <c r="U56" s="634"/>
      <c r="V56" s="634"/>
      <c r="W56" s="634"/>
      <c r="X56" s="598"/>
    </row>
    <row r="57" spans="1:24">
      <c r="A57" s="635" t="s">
        <v>1080</v>
      </c>
      <c r="B57" s="634"/>
      <c r="C57" s="634"/>
      <c r="D57" s="634"/>
      <c r="E57" s="634"/>
      <c r="F57" s="634"/>
      <c r="G57" s="636"/>
      <c r="H57" s="634"/>
      <c r="I57" s="634"/>
      <c r="J57" s="634"/>
      <c r="K57" s="634"/>
      <c r="L57" s="634"/>
      <c r="M57" s="634"/>
      <c r="N57" s="634"/>
      <c r="O57" s="634"/>
      <c r="P57" s="634"/>
      <c r="Q57" s="634"/>
      <c r="R57" s="634"/>
      <c r="S57" s="635" t="s">
        <v>1081</v>
      </c>
      <c r="T57" s="634"/>
      <c r="U57" s="634"/>
      <c r="V57" s="634"/>
      <c r="W57" s="634"/>
      <c r="X57" s="598"/>
    </row>
    <row r="58" spans="1:24" ht="15" thickBot="1">
      <c r="A58" s="634"/>
      <c r="B58" s="635" t="s">
        <v>1082</v>
      </c>
      <c r="C58" s="634"/>
      <c r="D58" s="634"/>
      <c r="E58" s="634"/>
      <c r="F58" s="634"/>
      <c r="G58" s="636"/>
      <c r="H58" s="634"/>
      <c r="I58" s="634"/>
      <c r="J58" s="634"/>
      <c r="K58" s="648">
        <f>K50+K55</f>
        <v>-515450372495.56189</v>
      </c>
      <c r="L58" s="634"/>
      <c r="M58" s="634"/>
      <c r="N58" s="648">
        <f>N50+N55</f>
        <v>-946081220775.03369</v>
      </c>
      <c r="O58" s="634"/>
      <c r="P58" s="634"/>
      <c r="Q58" s="648">
        <f>Q50+Q55</f>
        <v>-566675272672.67651</v>
      </c>
      <c r="R58" s="634"/>
      <c r="S58" s="634"/>
      <c r="T58" s="635" t="s">
        <v>1083</v>
      </c>
      <c r="U58" s="634"/>
      <c r="V58" s="634"/>
      <c r="W58" s="634"/>
      <c r="X58" s="599"/>
    </row>
    <row r="59" spans="1:24" ht="15" thickTop="1">
      <c r="A59" s="634"/>
      <c r="B59" s="634"/>
      <c r="C59" s="634"/>
      <c r="D59" s="634"/>
      <c r="E59" s="634"/>
      <c r="F59" s="634"/>
      <c r="G59" s="636"/>
      <c r="H59" s="634"/>
      <c r="I59" s="634"/>
      <c r="J59" s="634"/>
      <c r="K59" s="630"/>
      <c r="L59" s="634"/>
      <c r="M59" s="634"/>
      <c r="N59" s="630"/>
      <c r="O59" s="634"/>
      <c r="P59" s="634"/>
      <c r="Q59" s="634"/>
      <c r="R59" s="634"/>
      <c r="S59" s="634"/>
      <c r="T59" s="634"/>
      <c r="U59" s="634"/>
      <c r="V59" s="634"/>
      <c r="W59" s="634"/>
      <c r="X59" s="599"/>
    </row>
    <row r="60" spans="1:24">
      <c r="X60" s="599"/>
    </row>
    <row r="61" spans="1:24">
      <c r="X61" s="599"/>
    </row>
    <row r="62" spans="1:24">
      <c r="X62" s="599"/>
    </row>
    <row r="63" spans="1:24">
      <c r="X63" s="599"/>
    </row>
    <row r="64" spans="1:24">
      <c r="X64" s="599"/>
    </row>
    <row r="65" spans="24:24">
      <c r="X65" s="599"/>
    </row>
    <row r="66" spans="24:24">
      <c r="X66" s="599"/>
    </row>
    <row r="67" spans="24:24">
      <c r="X67" s="599"/>
    </row>
    <row r="68" spans="24:24">
      <c r="X68" s="598"/>
    </row>
    <row r="69" spans="24:24">
      <c r="X69" s="599"/>
    </row>
    <row r="70" spans="24:24">
      <c r="X70" s="599"/>
    </row>
    <row r="71" spans="24:24">
      <c r="X71" s="599"/>
    </row>
    <row r="72" spans="24:24">
      <c r="X72" s="599"/>
    </row>
    <row r="73" spans="24:24">
      <c r="X73" s="599"/>
    </row>
    <row r="74" spans="24:24">
      <c r="X74" s="599"/>
    </row>
    <row r="75" spans="24:24">
      <c r="X75" s="599"/>
    </row>
    <row r="76" spans="24:24">
      <c r="X76" s="621"/>
    </row>
    <row r="77" spans="24:24">
      <c r="X77" s="599"/>
    </row>
    <row r="78" spans="24:24">
      <c r="X78" s="599"/>
    </row>
    <row r="79" spans="24:24">
      <c r="X79" s="599"/>
    </row>
    <row r="80" spans="24:24">
      <c r="X80" s="599"/>
    </row>
    <row r="81" spans="24:24">
      <c r="X81" s="599"/>
    </row>
    <row r="82" spans="24:24">
      <c r="X82" s="599"/>
    </row>
    <row r="83" spans="24:24">
      <c r="X83" s="599"/>
    </row>
    <row r="84" spans="24:24">
      <c r="X84" s="599"/>
    </row>
    <row r="85" spans="24:24">
      <c r="X85" s="599"/>
    </row>
    <row r="86" spans="24:24">
      <c r="X86" s="599"/>
    </row>
    <row r="87" spans="24:24">
      <c r="X87" s="599"/>
    </row>
    <row r="88" spans="24:24">
      <c r="X88" s="599"/>
    </row>
    <row r="89" spans="24:24">
      <c r="X89" s="599"/>
    </row>
    <row r="90" spans="24:24">
      <c r="X90" s="599"/>
    </row>
    <row r="91" spans="24:24">
      <c r="X91" s="599"/>
    </row>
    <row r="92" spans="24:24">
      <c r="X92" s="599"/>
    </row>
    <row r="93" spans="24:24">
      <c r="X93" s="599"/>
    </row>
    <row r="94" spans="24:24">
      <c r="X94" s="599"/>
    </row>
    <row r="95" spans="24:24">
      <c r="X95" s="599"/>
    </row>
    <row r="96" spans="24:24">
      <c r="X96" s="599"/>
    </row>
    <row r="97" spans="24:24">
      <c r="X97" s="599"/>
    </row>
    <row r="98" spans="24:24">
      <c r="X98" s="599"/>
    </row>
    <row r="99" spans="24:24">
      <c r="X99" s="599"/>
    </row>
    <row r="100" spans="24:24">
      <c r="X100" s="599"/>
    </row>
    <row r="101" spans="24:24">
      <c r="X101" s="599"/>
    </row>
    <row r="102" spans="24:24">
      <c r="X102" s="599"/>
    </row>
    <row r="103" spans="24:24">
      <c r="X103" s="599"/>
    </row>
    <row r="104" spans="24:24">
      <c r="X104" s="599"/>
    </row>
    <row r="105" spans="24:24">
      <c r="X105" s="599"/>
    </row>
    <row r="106" spans="24:24">
      <c r="X106" s="599"/>
    </row>
    <row r="107" spans="24:24">
      <c r="X107" s="599"/>
    </row>
    <row r="108" spans="24:24">
      <c r="X108" s="599"/>
    </row>
    <row r="109" spans="24:24">
      <c r="X109" s="599"/>
    </row>
    <row r="110" spans="24:24">
      <c r="X110" s="599"/>
    </row>
    <row r="111" spans="24:24">
      <c r="X111" s="599"/>
    </row>
    <row r="112" spans="24:24">
      <c r="X112" s="599"/>
    </row>
    <row r="113" spans="24:24">
      <c r="X113" s="599"/>
    </row>
    <row r="114" spans="24:24">
      <c r="X114" s="599"/>
    </row>
    <row r="115" spans="24:24">
      <c r="X115" s="599"/>
    </row>
    <row r="116" spans="24:24">
      <c r="X116" s="599"/>
    </row>
    <row r="117" spans="24:24">
      <c r="X117" s="599"/>
    </row>
    <row r="118" spans="24:24">
      <c r="X118" s="599"/>
    </row>
    <row r="119" spans="24:24">
      <c r="X119" s="599"/>
    </row>
    <row r="120" spans="24:24">
      <c r="X120" s="599"/>
    </row>
    <row r="121" spans="24:24">
      <c r="X121" s="599"/>
    </row>
    <row r="122" spans="24:24">
      <c r="X122" s="599"/>
    </row>
    <row r="123" spans="24:24">
      <c r="X123" s="599"/>
    </row>
    <row r="124" spans="24:24">
      <c r="X124" s="599"/>
    </row>
    <row r="125" spans="24:24">
      <c r="X125" s="599"/>
    </row>
    <row r="126" spans="24:24">
      <c r="X126" s="599"/>
    </row>
    <row r="127" spans="24:24">
      <c r="X127" s="599"/>
    </row>
    <row r="128" spans="24:24">
      <c r="X128" s="599"/>
    </row>
    <row r="129" spans="24:24">
      <c r="X129" s="599"/>
    </row>
    <row r="130" spans="24:24">
      <c r="X130" s="599"/>
    </row>
    <row r="131" spans="24:24">
      <c r="X131" s="599"/>
    </row>
    <row r="132" spans="24:24">
      <c r="X132" s="599"/>
    </row>
    <row r="133" spans="24:24">
      <c r="X133" s="599"/>
    </row>
    <row r="134" spans="24:24">
      <c r="X134" s="599"/>
    </row>
    <row r="135" spans="24:24">
      <c r="X135" s="599"/>
    </row>
    <row r="136" spans="24:24">
      <c r="X136" s="599"/>
    </row>
    <row r="137" spans="24:24">
      <c r="X137" s="599"/>
    </row>
    <row r="138" spans="24:24">
      <c r="X138" s="599"/>
    </row>
    <row r="139" spans="24:24">
      <c r="X139" s="599"/>
    </row>
    <row r="140" spans="24:24">
      <c r="X140" s="599"/>
    </row>
    <row r="141" spans="24:24">
      <c r="X141" s="599"/>
    </row>
    <row r="142" spans="24:24">
      <c r="X142" s="599"/>
    </row>
    <row r="143" spans="24:24">
      <c r="X143" s="599"/>
    </row>
    <row r="144" spans="24:24">
      <c r="X144" s="599"/>
    </row>
    <row r="145" spans="24:24">
      <c r="X145" s="599"/>
    </row>
    <row r="146" spans="24:24">
      <c r="X146" s="599"/>
    </row>
    <row r="147" spans="24:24">
      <c r="X147" s="599"/>
    </row>
    <row r="148" spans="24:24">
      <c r="X148" s="599"/>
    </row>
    <row r="149" spans="24:24">
      <c r="X149" s="599"/>
    </row>
    <row r="150" spans="24:24">
      <c r="X150" s="599"/>
    </row>
    <row r="151" spans="24:24">
      <c r="X151" s="599"/>
    </row>
    <row r="152" spans="24:24">
      <c r="X152" s="599"/>
    </row>
    <row r="153" spans="24:24">
      <c r="X153" s="599"/>
    </row>
    <row r="154" spans="24:24">
      <c r="X154" s="599"/>
    </row>
    <row r="155" spans="24:24">
      <c r="X155" s="599"/>
    </row>
    <row r="156" spans="24:24">
      <c r="X156" s="599"/>
    </row>
    <row r="157" spans="24:24">
      <c r="X157" s="599"/>
    </row>
    <row r="158" spans="24:24">
      <c r="X158" s="599"/>
    </row>
    <row r="159" spans="24:24">
      <c r="X159" s="599"/>
    </row>
    <row r="160" spans="24:24">
      <c r="X160" s="599"/>
    </row>
    <row r="161" spans="24:24">
      <c r="X161" s="599"/>
    </row>
    <row r="162" spans="24:24">
      <c r="X162" s="599"/>
    </row>
    <row r="163" spans="24:24">
      <c r="X163" s="599"/>
    </row>
    <row r="164" spans="24:24">
      <c r="X164" s="599"/>
    </row>
    <row r="165" spans="24:24">
      <c r="X165" s="599"/>
    </row>
    <row r="166" spans="24:24">
      <c r="X166" s="599"/>
    </row>
    <row r="167" spans="24:24">
      <c r="X167" s="599"/>
    </row>
    <row r="168" spans="24:24">
      <c r="X168" s="599"/>
    </row>
    <row r="169" spans="24:24">
      <c r="X169" s="599"/>
    </row>
    <row r="170" spans="24:24">
      <c r="X170" s="599"/>
    </row>
    <row r="171" spans="24:24">
      <c r="X171" s="599"/>
    </row>
    <row r="172" spans="24:24">
      <c r="X172" s="599"/>
    </row>
    <row r="173" spans="24:24">
      <c r="X173" s="599"/>
    </row>
    <row r="174" spans="24:24">
      <c r="X174" s="599"/>
    </row>
    <row r="175" spans="24:24">
      <c r="X175" s="599"/>
    </row>
    <row r="176" spans="24:24">
      <c r="X176" s="599"/>
    </row>
    <row r="177" spans="24:24">
      <c r="X177" s="599"/>
    </row>
    <row r="178" spans="24:24">
      <c r="X178" s="599"/>
    </row>
    <row r="179" spans="24:24">
      <c r="X179" s="599"/>
    </row>
    <row r="180" spans="24:24">
      <c r="X180" s="599"/>
    </row>
    <row r="181" spans="24:24">
      <c r="X181" s="599"/>
    </row>
    <row r="182" spans="24:24">
      <c r="X182" s="599"/>
    </row>
    <row r="183" spans="24:24">
      <c r="X183" s="599"/>
    </row>
    <row r="184" spans="24:24">
      <c r="X184" s="599"/>
    </row>
    <row r="185" spans="24:24">
      <c r="X185" s="599"/>
    </row>
    <row r="186" spans="24:24">
      <c r="X186" s="599"/>
    </row>
    <row r="187" spans="24:24">
      <c r="X187" s="599"/>
    </row>
    <row r="188" spans="24:24">
      <c r="X188" s="599"/>
    </row>
    <row r="189" spans="24:24">
      <c r="X189" s="599"/>
    </row>
    <row r="190" spans="24:24">
      <c r="X190" s="599"/>
    </row>
    <row r="191" spans="24:24">
      <c r="X191" s="599"/>
    </row>
    <row r="192" spans="24:24">
      <c r="X192" s="599"/>
    </row>
    <row r="193" spans="24:24">
      <c r="X193" s="599"/>
    </row>
    <row r="194" spans="24:24">
      <c r="X194" s="599"/>
    </row>
    <row r="195" spans="24:24">
      <c r="X195" s="599"/>
    </row>
    <row r="196" spans="24:24">
      <c r="X196" s="599"/>
    </row>
    <row r="197" spans="24:24">
      <c r="X197" s="599"/>
    </row>
    <row r="198" spans="24:24">
      <c r="X198" s="599"/>
    </row>
    <row r="199" spans="24:24">
      <c r="X199" s="599"/>
    </row>
    <row r="200" spans="24:24">
      <c r="X200" s="599"/>
    </row>
    <row r="201" spans="24:24">
      <c r="X201" s="599"/>
    </row>
    <row r="202" spans="24:24">
      <c r="X202" s="599"/>
    </row>
    <row r="203" spans="24:24">
      <c r="X203" s="599"/>
    </row>
    <row r="204" spans="24:24">
      <c r="X204" s="599"/>
    </row>
    <row r="205" spans="24:24">
      <c r="X205" s="599"/>
    </row>
    <row r="206" spans="24:24">
      <c r="X206" s="599"/>
    </row>
    <row r="207" spans="24:24">
      <c r="X207" s="599"/>
    </row>
    <row r="208" spans="24:24">
      <c r="X208" s="599"/>
    </row>
    <row r="209" spans="24:24">
      <c r="X209" s="599"/>
    </row>
    <row r="210" spans="24:24">
      <c r="X210" s="599"/>
    </row>
    <row r="211" spans="24:24">
      <c r="X211" s="599"/>
    </row>
    <row r="212" spans="24:24">
      <c r="X212" s="599"/>
    </row>
    <row r="213" spans="24:24">
      <c r="X213" s="599"/>
    </row>
    <row r="214" spans="24:24">
      <c r="X214" s="599"/>
    </row>
    <row r="215" spans="24:24">
      <c r="X215" s="599"/>
    </row>
    <row r="216" spans="24:24">
      <c r="X216" s="599"/>
    </row>
    <row r="217" spans="24:24">
      <c r="X217" s="599"/>
    </row>
    <row r="218" spans="24:24">
      <c r="X218" s="599"/>
    </row>
    <row r="219" spans="24:24">
      <c r="X219" s="599"/>
    </row>
    <row r="220" spans="24:24">
      <c r="X220" s="599"/>
    </row>
    <row r="221" spans="24:24">
      <c r="X221" s="599"/>
    </row>
    <row r="222" spans="24:24">
      <c r="X222" s="599"/>
    </row>
    <row r="223" spans="24:24">
      <c r="X223" s="599"/>
    </row>
    <row r="224" spans="24:24">
      <c r="X224" s="599"/>
    </row>
    <row r="225" spans="24:24">
      <c r="X225" s="599"/>
    </row>
    <row r="226" spans="24:24">
      <c r="X226" s="599"/>
    </row>
    <row r="227" spans="24:24">
      <c r="X227" s="599"/>
    </row>
    <row r="228" spans="24:24">
      <c r="X228" s="599"/>
    </row>
    <row r="229" spans="24:24">
      <c r="X229" s="599"/>
    </row>
    <row r="230" spans="24:24">
      <c r="X230" s="599"/>
    </row>
    <row r="231" spans="24:24">
      <c r="X231" s="599"/>
    </row>
    <row r="232" spans="24:24">
      <c r="X232" s="599"/>
    </row>
    <row r="233" spans="24:24">
      <c r="X233" s="599"/>
    </row>
    <row r="234" spans="24:24">
      <c r="X234" s="599"/>
    </row>
    <row r="235" spans="24:24">
      <c r="X235" s="599"/>
    </row>
    <row r="236" spans="24:24">
      <c r="X236" s="599"/>
    </row>
    <row r="237" spans="24:24">
      <c r="X237" s="599"/>
    </row>
    <row r="238" spans="24:24">
      <c r="X238" s="599"/>
    </row>
    <row r="239" spans="24:24">
      <c r="X239" s="599"/>
    </row>
    <row r="240" spans="24:24">
      <c r="X240" s="599"/>
    </row>
    <row r="241" spans="24:24">
      <c r="X241" s="599"/>
    </row>
    <row r="242" spans="24:24">
      <c r="X242" s="599"/>
    </row>
    <row r="243" spans="24:24">
      <c r="X243" s="599"/>
    </row>
    <row r="244" spans="24:24">
      <c r="X244" s="599"/>
    </row>
    <row r="245" spans="24:24">
      <c r="X245" s="599"/>
    </row>
    <row r="246" spans="24:24">
      <c r="X246" s="599"/>
    </row>
    <row r="247" spans="24:24">
      <c r="X247" s="599"/>
    </row>
    <row r="248" spans="24:24">
      <c r="X248" s="599"/>
    </row>
    <row r="249" spans="24:24">
      <c r="X249" s="599"/>
    </row>
    <row r="250" spans="24:24">
      <c r="X250" s="599"/>
    </row>
    <row r="251" spans="24:24">
      <c r="X251" s="599"/>
    </row>
    <row r="252" spans="24:24">
      <c r="X252" s="599"/>
    </row>
    <row r="253" spans="24:24">
      <c r="X253" s="599"/>
    </row>
    <row r="254" spans="24:24">
      <c r="X254" s="599"/>
    </row>
    <row r="255" spans="24:24">
      <c r="X255" s="599"/>
    </row>
    <row r="256" spans="24:24">
      <c r="X256" s="599"/>
    </row>
    <row r="257" spans="24:24">
      <c r="X257" s="599"/>
    </row>
    <row r="258" spans="24:24">
      <c r="X258" s="599"/>
    </row>
    <row r="259" spans="24:24">
      <c r="X259" s="599"/>
    </row>
    <row r="260" spans="24:24">
      <c r="X260" s="599"/>
    </row>
    <row r="261" spans="24:24">
      <c r="X261" s="599"/>
    </row>
    <row r="262" spans="24:24">
      <c r="X262" s="599"/>
    </row>
    <row r="263" spans="24:24">
      <c r="X263" s="599"/>
    </row>
    <row r="264" spans="24:24">
      <c r="X264" s="599"/>
    </row>
    <row r="265" spans="24:24">
      <c r="X265" s="599"/>
    </row>
    <row r="266" spans="24:24">
      <c r="X266" s="599"/>
    </row>
    <row r="267" spans="24:24">
      <c r="X267" s="599"/>
    </row>
    <row r="268" spans="24:24">
      <c r="X268" s="599"/>
    </row>
    <row r="269" spans="24:24">
      <c r="X269" s="599"/>
    </row>
    <row r="270" spans="24:24">
      <c r="X270" s="599"/>
    </row>
    <row r="271" spans="24:24">
      <c r="X271" s="599"/>
    </row>
    <row r="272" spans="24:24">
      <c r="X272" s="599"/>
    </row>
    <row r="273" spans="24:24">
      <c r="X273" s="599"/>
    </row>
    <row r="274" spans="24:24">
      <c r="X274" s="599"/>
    </row>
    <row r="275" spans="24:24">
      <c r="X275" s="599"/>
    </row>
    <row r="276" spans="24:24">
      <c r="X276" s="599"/>
    </row>
    <row r="277" spans="24:24">
      <c r="X277" s="599"/>
    </row>
    <row r="278" spans="24:24">
      <c r="X278" s="599"/>
    </row>
    <row r="279" spans="24:24">
      <c r="X279" s="599"/>
    </row>
    <row r="280" spans="24:24">
      <c r="X280" s="599"/>
    </row>
    <row r="281" spans="24:24">
      <c r="X281" s="599"/>
    </row>
    <row r="282" spans="24:24">
      <c r="X282" s="599"/>
    </row>
    <row r="283" spans="24:24">
      <c r="X283" s="599"/>
    </row>
    <row r="284" spans="24:24">
      <c r="X284" s="599"/>
    </row>
    <row r="285" spans="24:24">
      <c r="X285" s="599"/>
    </row>
    <row r="286" spans="24:24">
      <c r="X286" s="599"/>
    </row>
    <row r="287" spans="24:24">
      <c r="X287" s="599"/>
    </row>
    <row r="288" spans="24:24">
      <c r="X288" s="599"/>
    </row>
    <row r="289" spans="24:24">
      <c r="X289" s="599"/>
    </row>
    <row r="290" spans="24:24">
      <c r="X290" s="599"/>
    </row>
    <row r="291" spans="24:24">
      <c r="X291" s="599"/>
    </row>
    <row r="292" spans="24:24">
      <c r="X292" s="599"/>
    </row>
    <row r="293" spans="24:24">
      <c r="X293" s="599"/>
    </row>
    <row r="294" spans="24:24">
      <c r="X294" s="599"/>
    </row>
    <row r="295" spans="24:24">
      <c r="X295" s="599"/>
    </row>
    <row r="296" spans="24:24">
      <c r="X296" s="599"/>
    </row>
    <row r="297" spans="24:24">
      <c r="X297" s="599"/>
    </row>
    <row r="298" spans="24:24">
      <c r="X298" s="599"/>
    </row>
    <row r="299" spans="24:24">
      <c r="X299" s="599"/>
    </row>
    <row r="300" spans="24:24">
      <c r="X300" s="599"/>
    </row>
    <row r="301" spans="24:24">
      <c r="X301" s="599"/>
    </row>
    <row r="302" spans="24:24">
      <c r="X302" s="599"/>
    </row>
    <row r="303" spans="24:24">
      <c r="X303" s="599"/>
    </row>
    <row r="304" spans="24:24">
      <c r="X304" s="599"/>
    </row>
    <row r="305" spans="24:24">
      <c r="X305" s="599"/>
    </row>
    <row r="306" spans="24:24">
      <c r="X306" s="599"/>
    </row>
    <row r="307" spans="24:24">
      <c r="X307" s="599"/>
    </row>
    <row r="308" spans="24:24">
      <c r="X308" s="599"/>
    </row>
    <row r="309" spans="24:24">
      <c r="X309" s="599"/>
    </row>
    <row r="310" spans="24:24">
      <c r="X310" s="599"/>
    </row>
    <row r="311" spans="24:24">
      <c r="X311" s="599"/>
    </row>
    <row r="312" spans="24:24">
      <c r="X312" s="599"/>
    </row>
    <row r="313" spans="24:24">
      <c r="X313" s="599"/>
    </row>
    <row r="314" spans="24:24">
      <c r="X314" s="599"/>
    </row>
    <row r="315" spans="24:24">
      <c r="X315" s="599"/>
    </row>
    <row r="316" spans="24:24">
      <c r="X316" s="599"/>
    </row>
    <row r="317" spans="24:24">
      <c r="X317" s="599"/>
    </row>
    <row r="318" spans="24:24">
      <c r="X318" s="599"/>
    </row>
    <row r="319" spans="24:24">
      <c r="X319" s="599"/>
    </row>
    <row r="320" spans="24:24">
      <c r="X320" s="599"/>
    </row>
    <row r="321" spans="24:24">
      <c r="X321" s="599"/>
    </row>
    <row r="322" spans="24:24">
      <c r="X322" s="599"/>
    </row>
    <row r="323" spans="24:24">
      <c r="X323" s="599"/>
    </row>
    <row r="324" spans="24:24">
      <c r="X324" s="599"/>
    </row>
    <row r="325" spans="24:24">
      <c r="X325" s="599"/>
    </row>
    <row r="326" spans="24:24">
      <c r="X326" s="599"/>
    </row>
    <row r="327" spans="24:24">
      <c r="X327" s="599"/>
    </row>
    <row r="328" spans="24:24">
      <c r="X328" s="599"/>
    </row>
    <row r="329" spans="24:24">
      <c r="X329" s="599"/>
    </row>
    <row r="330" spans="24:24">
      <c r="X330" s="599"/>
    </row>
    <row r="331" spans="24:24">
      <c r="X331" s="599"/>
    </row>
    <row r="332" spans="24:24">
      <c r="X332" s="599"/>
    </row>
    <row r="333" spans="24:24">
      <c r="X333" s="599"/>
    </row>
    <row r="334" spans="24:24">
      <c r="X334" s="599"/>
    </row>
    <row r="335" spans="24:24">
      <c r="X335" s="599"/>
    </row>
    <row r="336" spans="24:24">
      <c r="X336" s="599"/>
    </row>
    <row r="337" spans="24:24">
      <c r="X337" s="599"/>
    </row>
    <row r="338" spans="24:24">
      <c r="X338" s="599"/>
    </row>
    <row r="339" spans="24:24">
      <c r="X339" s="599"/>
    </row>
    <row r="340" spans="24:24">
      <c r="X340" s="599"/>
    </row>
    <row r="341" spans="24:24">
      <c r="X341" s="599"/>
    </row>
    <row r="342" spans="24:24">
      <c r="X342" s="599"/>
    </row>
    <row r="343" spans="24:24">
      <c r="X343" s="599"/>
    </row>
    <row r="344" spans="24:24">
      <c r="X344" s="599"/>
    </row>
    <row r="345" spans="24:24">
      <c r="X345" s="599"/>
    </row>
    <row r="346" spans="24:24">
      <c r="X346" s="599"/>
    </row>
    <row r="347" spans="24:24">
      <c r="X347" s="599"/>
    </row>
    <row r="348" spans="24:24">
      <c r="X348" s="599"/>
    </row>
    <row r="349" spans="24:24">
      <c r="X349" s="599"/>
    </row>
    <row r="350" spans="24:24">
      <c r="X350" s="599"/>
    </row>
    <row r="351" spans="24:24">
      <c r="X351" s="599"/>
    </row>
    <row r="352" spans="24:24">
      <c r="X352" s="599"/>
    </row>
    <row r="353" spans="24:24">
      <c r="X353" s="599"/>
    </row>
    <row r="354" spans="24:24">
      <c r="X354" s="599"/>
    </row>
    <row r="355" spans="24:24">
      <c r="X355" s="599"/>
    </row>
    <row r="356" spans="24:24">
      <c r="X356" s="599"/>
    </row>
    <row r="357" spans="24:24">
      <c r="X357" s="599"/>
    </row>
    <row r="358" spans="24:24">
      <c r="X358" s="599"/>
    </row>
    <row r="359" spans="24:24">
      <c r="X359" s="599"/>
    </row>
    <row r="360" spans="24:24">
      <c r="X360" s="599"/>
    </row>
    <row r="361" spans="24:24">
      <c r="X361" s="599"/>
    </row>
    <row r="362" spans="24:24">
      <c r="X362" s="599"/>
    </row>
    <row r="363" spans="24:24">
      <c r="X363" s="599"/>
    </row>
    <row r="364" spans="24:24">
      <c r="X364" s="599"/>
    </row>
    <row r="365" spans="24:24">
      <c r="X365" s="599"/>
    </row>
    <row r="366" spans="24:24">
      <c r="X366" s="599"/>
    </row>
    <row r="367" spans="24:24">
      <c r="X367" s="599"/>
    </row>
    <row r="368" spans="24:24">
      <c r="X368" s="599"/>
    </row>
    <row r="369" spans="24:24">
      <c r="X369" s="599"/>
    </row>
    <row r="370" spans="24:24">
      <c r="X370" s="599"/>
    </row>
    <row r="371" spans="24:24">
      <c r="X371" s="599"/>
    </row>
    <row r="372" spans="24:24">
      <c r="X372" s="599"/>
    </row>
    <row r="373" spans="24:24">
      <c r="X373" s="599"/>
    </row>
    <row r="374" spans="24:24">
      <c r="X374" s="599"/>
    </row>
    <row r="375" spans="24:24">
      <c r="X375" s="599"/>
    </row>
    <row r="376" spans="24:24">
      <c r="X376" s="599"/>
    </row>
    <row r="377" spans="24:24">
      <c r="X377" s="599"/>
    </row>
    <row r="378" spans="24:24">
      <c r="X378" s="599"/>
    </row>
    <row r="379" spans="24:24">
      <c r="X379" s="599"/>
    </row>
    <row r="380" spans="24:24">
      <c r="X380" s="599"/>
    </row>
    <row r="381" spans="24:24">
      <c r="X381" s="599"/>
    </row>
    <row r="382" spans="24:24">
      <c r="X382" s="599"/>
    </row>
    <row r="383" spans="24:24">
      <c r="X383" s="599"/>
    </row>
    <row r="384" spans="24:24">
      <c r="X384" s="599"/>
    </row>
    <row r="385" spans="24:24">
      <c r="X385" s="599"/>
    </row>
    <row r="386" spans="24:24">
      <c r="X386" s="599"/>
    </row>
    <row r="387" spans="24:24">
      <c r="X387" s="599"/>
    </row>
    <row r="388" spans="24:24">
      <c r="X388" s="599"/>
    </row>
    <row r="389" spans="24:24">
      <c r="X389" s="599"/>
    </row>
    <row r="390" spans="24:24">
      <c r="X390" s="599"/>
    </row>
    <row r="391" spans="24:24">
      <c r="X391" s="599"/>
    </row>
    <row r="392" spans="24:24">
      <c r="X392" s="599"/>
    </row>
    <row r="393" spans="24:24">
      <c r="X393" s="599"/>
    </row>
    <row r="394" spans="24:24">
      <c r="X394" s="599"/>
    </row>
    <row r="395" spans="24:24">
      <c r="X395" s="599"/>
    </row>
    <row r="396" spans="24:24">
      <c r="X396" s="599"/>
    </row>
    <row r="397" spans="24:24">
      <c r="X397" s="599"/>
    </row>
    <row r="398" spans="24:24">
      <c r="X398" s="599"/>
    </row>
    <row r="399" spans="24:24">
      <c r="X399" s="599"/>
    </row>
    <row r="400" spans="24:24">
      <c r="X400" s="599"/>
    </row>
    <row r="401" spans="24:24">
      <c r="X401" s="599"/>
    </row>
    <row r="402" spans="24:24">
      <c r="X402" s="599"/>
    </row>
    <row r="403" spans="24:24">
      <c r="X403" s="599"/>
    </row>
    <row r="404" spans="24:24">
      <c r="X404" s="599"/>
    </row>
    <row r="405" spans="24:24">
      <c r="X405" s="599"/>
    </row>
    <row r="406" spans="24:24">
      <c r="X406" s="599"/>
    </row>
    <row r="407" spans="24:24">
      <c r="X407" s="599"/>
    </row>
    <row r="408" spans="24:24">
      <c r="X408" s="599"/>
    </row>
    <row r="409" spans="24:24">
      <c r="X409" s="599"/>
    </row>
    <row r="410" spans="24:24">
      <c r="X410" s="599"/>
    </row>
    <row r="411" spans="24:24">
      <c r="X411" s="599"/>
    </row>
    <row r="412" spans="24:24">
      <c r="X412" s="599"/>
    </row>
    <row r="413" spans="24:24">
      <c r="X413" s="599"/>
    </row>
    <row r="414" spans="24:24">
      <c r="X414" s="599"/>
    </row>
    <row r="415" spans="24:24">
      <c r="X415" s="599"/>
    </row>
    <row r="416" spans="24:24">
      <c r="X416" s="599"/>
    </row>
    <row r="417" spans="24:24">
      <c r="X417" s="599"/>
    </row>
    <row r="418" spans="24:24">
      <c r="X418" s="599"/>
    </row>
    <row r="419" spans="24:24">
      <c r="X419" s="599"/>
    </row>
    <row r="420" spans="24:24">
      <c r="X420" s="599"/>
    </row>
    <row r="421" spans="24:24">
      <c r="X421" s="599"/>
    </row>
    <row r="422" spans="24:24">
      <c r="X422" s="599"/>
    </row>
    <row r="423" spans="24:24">
      <c r="X423" s="599"/>
    </row>
    <row r="424" spans="24:24">
      <c r="X424" s="599"/>
    </row>
    <row r="425" spans="24:24">
      <c r="X425" s="599"/>
    </row>
    <row r="426" spans="24:24">
      <c r="X426" s="599"/>
    </row>
    <row r="427" spans="24:24">
      <c r="X427" s="599"/>
    </row>
    <row r="428" spans="24:24">
      <c r="X428" s="599"/>
    </row>
    <row r="429" spans="24:24">
      <c r="X429" s="599"/>
    </row>
    <row r="430" spans="24:24">
      <c r="X430" s="599"/>
    </row>
    <row r="431" spans="24:24">
      <c r="X431" s="599"/>
    </row>
    <row r="432" spans="24:24">
      <c r="X432" s="599"/>
    </row>
    <row r="433" spans="24:24">
      <c r="X433" s="599"/>
    </row>
    <row r="434" spans="24:24">
      <c r="X434" s="599"/>
    </row>
    <row r="435" spans="24:24">
      <c r="X435" s="599"/>
    </row>
    <row r="436" spans="24:24">
      <c r="X436" s="599"/>
    </row>
    <row r="437" spans="24:24">
      <c r="X437" s="599"/>
    </row>
    <row r="438" spans="24:24">
      <c r="X438" s="599"/>
    </row>
    <row r="439" spans="24:24">
      <c r="X439" s="599"/>
    </row>
    <row r="440" spans="24:24">
      <c r="X440" s="599"/>
    </row>
    <row r="441" spans="24:24">
      <c r="X441" s="599"/>
    </row>
    <row r="442" spans="24:24">
      <c r="X442" s="599"/>
    </row>
    <row r="443" spans="24:24">
      <c r="X443" s="599"/>
    </row>
    <row r="444" spans="24:24">
      <c r="X444" s="599"/>
    </row>
    <row r="445" spans="24:24">
      <c r="X445" s="599"/>
    </row>
    <row r="446" spans="24:24">
      <c r="X446" s="599"/>
    </row>
    <row r="447" spans="24:24">
      <c r="X447" s="599"/>
    </row>
    <row r="448" spans="24:24">
      <c r="X448" s="599"/>
    </row>
    <row r="449" spans="24:24">
      <c r="X449" s="599"/>
    </row>
    <row r="450" spans="24:24">
      <c r="X450" s="599"/>
    </row>
    <row r="451" spans="24:24">
      <c r="X451" s="599"/>
    </row>
    <row r="452" spans="24:24">
      <c r="X452" s="599"/>
    </row>
    <row r="453" spans="24:24">
      <c r="X453" s="599"/>
    </row>
    <row r="454" spans="24:24">
      <c r="X454" s="599"/>
    </row>
    <row r="455" spans="24:24">
      <c r="X455" s="599"/>
    </row>
    <row r="456" spans="24:24">
      <c r="X456" s="599"/>
    </row>
    <row r="457" spans="24:24">
      <c r="X457" s="599"/>
    </row>
    <row r="458" spans="24:24">
      <c r="X458" s="599"/>
    </row>
    <row r="459" spans="24:24">
      <c r="X459" s="599"/>
    </row>
    <row r="460" spans="24:24">
      <c r="X460" s="599"/>
    </row>
    <row r="461" spans="24:24">
      <c r="X461" s="599"/>
    </row>
    <row r="462" spans="24:24">
      <c r="X462" s="599"/>
    </row>
    <row r="463" spans="24:24">
      <c r="X463" s="599"/>
    </row>
    <row r="464" spans="24:24">
      <c r="X464" s="599"/>
    </row>
    <row r="465" spans="24:24">
      <c r="X465" s="599"/>
    </row>
    <row r="466" spans="24:24">
      <c r="X466" s="599"/>
    </row>
    <row r="467" spans="24:24">
      <c r="X467" s="599"/>
    </row>
    <row r="468" spans="24:24">
      <c r="X468" s="599"/>
    </row>
    <row r="469" spans="24:24">
      <c r="X469" s="599"/>
    </row>
    <row r="470" spans="24:24">
      <c r="X470" s="599"/>
    </row>
    <row r="471" spans="24:24">
      <c r="X471" s="599"/>
    </row>
    <row r="472" spans="24:24">
      <c r="X472" s="599"/>
    </row>
    <row r="473" spans="24:24">
      <c r="X473" s="599"/>
    </row>
    <row r="474" spans="24:24">
      <c r="X474" s="599"/>
    </row>
    <row r="475" spans="24:24">
      <c r="X475" s="599"/>
    </row>
    <row r="476" spans="24:24">
      <c r="X476" s="599"/>
    </row>
    <row r="477" spans="24:24">
      <c r="X477" s="599"/>
    </row>
    <row r="478" spans="24:24">
      <c r="X478" s="599"/>
    </row>
    <row r="479" spans="24:24">
      <c r="X479" s="599"/>
    </row>
    <row r="480" spans="24:24">
      <c r="X480" s="599"/>
    </row>
    <row r="481" spans="24:24">
      <c r="X481" s="599"/>
    </row>
    <row r="482" spans="24:24">
      <c r="X482" s="599"/>
    </row>
    <row r="483" spans="24:24">
      <c r="X483" s="599"/>
    </row>
    <row r="484" spans="24:24">
      <c r="X484" s="599"/>
    </row>
    <row r="485" spans="24:24">
      <c r="X485" s="599"/>
    </row>
    <row r="486" spans="24:24">
      <c r="X486" s="599"/>
    </row>
    <row r="487" spans="24:24">
      <c r="X487" s="599"/>
    </row>
    <row r="488" spans="24:24">
      <c r="X488" s="599"/>
    </row>
    <row r="489" spans="24:24">
      <c r="X489" s="599"/>
    </row>
    <row r="490" spans="24:24">
      <c r="X490" s="599"/>
    </row>
    <row r="491" spans="24:24">
      <c r="X491" s="599"/>
    </row>
    <row r="492" spans="24:24">
      <c r="X492" s="599"/>
    </row>
    <row r="493" spans="24:24">
      <c r="X493" s="599"/>
    </row>
    <row r="494" spans="24:24">
      <c r="X494" s="599"/>
    </row>
    <row r="495" spans="24:24">
      <c r="X495" s="599"/>
    </row>
    <row r="496" spans="24:24">
      <c r="X496" s="599"/>
    </row>
    <row r="497" spans="24:24">
      <c r="X497" s="599"/>
    </row>
    <row r="498" spans="24:24">
      <c r="X498" s="599"/>
    </row>
    <row r="499" spans="24:24">
      <c r="X499" s="599"/>
    </row>
    <row r="500" spans="24:24">
      <c r="X500" s="599"/>
    </row>
    <row r="501" spans="24:24">
      <c r="X501" s="599"/>
    </row>
    <row r="502" spans="24:24">
      <c r="X502" s="599"/>
    </row>
    <row r="503" spans="24:24">
      <c r="X503" s="599"/>
    </row>
    <row r="504" spans="24:24">
      <c r="X504" s="599"/>
    </row>
    <row r="505" spans="24:24">
      <c r="X505" s="599"/>
    </row>
    <row r="506" spans="24:24">
      <c r="X506" s="599"/>
    </row>
    <row r="507" spans="24:24">
      <c r="X507" s="599"/>
    </row>
    <row r="508" spans="24:24">
      <c r="X508" s="599"/>
    </row>
    <row r="509" spans="24:24">
      <c r="X509" s="599"/>
    </row>
    <row r="510" spans="24:24">
      <c r="X510" s="599"/>
    </row>
    <row r="511" spans="24:24">
      <c r="X511" s="599"/>
    </row>
    <row r="512" spans="24:24">
      <c r="X512" s="599"/>
    </row>
    <row r="513" spans="24:24">
      <c r="X513" s="599"/>
    </row>
    <row r="514" spans="24:24">
      <c r="X514" s="599"/>
    </row>
    <row r="515" spans="24:24">
      <c r="X515" s="599"/>
    </row>
    <row r="516" spans="24:24">
      <c r="X516" s="599"/>
    </row>
    <row r="517" spans="24:24">
      <c r="X517" s="599"/>
    </row>
    <row r="518" spans="24:24">
      <c r="X518" s="599"/>
    </row>
    <row r="519" spans="24:24">
      <c r="X519" s="599"/>
    </row>
    <row r="520" spans="24:24">
      <c r="X520" s="599"/>
    </row>
    <row r="521" spans="24:24">
      <c r="X521" s="599"/>
    </row>
    <row r="522" spans="24:24">
      <c r="X522" s="599"/>
    </row>
    <row r="523" spans="24:24">
      <c r="X523" s="599"/>
    </row>
    <row r="524" spans="24:24">
      <c r="X524" s="599"/>
    </row>
    <row r="525" spans="24:24">
      <c r="X525" s="599"/>
    </row>
    <row r="526" spans="24:24">
      <c r="X526" s="599"/>
    </row>
    <row r="527" spans="24:24">
      <c r="X527" s="599"/>
    </row>
    <row r="528" spans="24:24">
      <c r="X528" s="599"/>
    </row>
    <row r="529" spans="24:24">
      <c r="X529" s="599"/>
    </row>
    <row r="530" spans="24:24">
      <c r="X530" s="599"/>
    </row>
    <row r="531" spans="24:24">
      <c r="X531" s="599"/>
    </row>
    <row r="532" spans="24:24">
      <c r="X532" s="599"/>
    </row>
    <row r="533" spans="24:24">
      <c r="X533" s="599"/>
    </row>
    <row r="534" spans="24:24">
      <c r="X534" s="599"/>
    </row>
    <row r="535" spans="24:24">
      <c r="X535" s="599"/>
    </row>
    <row r="536" spans="24:24">
      <c r="X536" s="599"/>
    </row>
    <row r="537" spans="24:24">
      <c r="X537" s="599"/>
    </row>
    <row r="538" spans="24:24">
      <c r="X538" s="599"/>
    </row>
    <row r="539" spans="24:24">
      <c r="X539" s="599"/>
    </row>
    <row r="540" spans="24:24">
      <c r="X540" s="599"/>
    </row>
    <row r="541" spans="24:24">
      <c r="X541" s="599"/>
    </row>
    <row r="542" spans="24:24">
      <c r="X542" s="599"/>
    </row>
    <row r="543" spans="24:24">
      <c r="X543" s="599"/>
    </row>
    <row r="544" spans="24:24">
      <c r="X544" s="599"/>
    </row>
    <row r="545" spans="24:24">
      <c r="X545" s="599"/>
    </row>
    <row r="546" spans="24:24">
      <c r="X546" s="599"/>
    </row>
    <row r="547" spans="24:24">
      <c r="X547" s="599"/>
    </row>
    <row r="548" spans="24:24">
      <c r="X548" s="599"/>
    </row>
    <row r="549" spans="24:24">
      <c r="X549" s="599"/>
    </row>
    <row r="550" spans="24:24">
      <c r="X550" s="599"/>
    </row>
    <row r="551" spans="24:24">
      <c r="X551" s="599"/>
    </row>
    <row r="552" spans="24:24">
      <c r="X552" s="599"/>
    </row>
    <row r="553" spans="24:24">
      <c r="X553" s="599"/>
    </row>
    <row r="554" spans="24:24">
      <c r="X554" s="599"/>
    </row>
    <row r="555" spans="24:24">
      <c r="X555" s="599"/>
    </row>
    <row r="556" spans="24:24">
      <c r="X556" s="599"/>
    </row>
    <row r="557" spans="24:24">
      <c r="X557" s="599"/>
    </row>
    <row r="558" spans="24:24">
      <c r="X558" s="599"/>
    </row>
    <row r="559" spans="24:24">
      <c r="X559" s="599"/>
    </row>
    <row r="560" spans="24:24">
      <c r="X560" s="599"/>
    </row>
    <row r="561" spans="24:24">
      <c r="X561" s="599"/>
    </row>
    <row r="562" spans="24:24">
      <c r="X562" s="599"/>
    </row>
    <row r="563" spans="24:24">
      <c r="X563" s="599"/>
    </row>
    <row r="564" spans="24:24">
      <c r="X564" s="599"/>
    </row>
    <row r="565" spans="24:24">
      <c r="X565" s="599"/>
    </row>
    <row r="566" spans="24:24">
      <c r="X566" s="599"/>
    </row>
    <row r="567" spans="24:24">
      <c r="X567" s="599"/>
    </row>
    <row r="568" spans="24:24">
      <c r="X568" s="599"/>
    </row>
    <row r="569" spans="24:24">
      <c r="X569" s="599"/>
    </row>
    <row r="570" spans="24:24">
      <c r="X570" s="599"/>
    </row>
    <row r="571" spans="24:24">
      <c r="X571" s="599"/>
    </row>
    <row r="572" spans="24:24">
      <c r="X572" s="599"/>
    </row>
    <row r="573" spans="24:24">
      <c r="X573" s="599"/>
    </row>
    <row r="574" spans="24:24">
      <c r="X574" s="599"/>
    </row>
    <row r="575" spans="24:24">
      <c r="X575" s="599"/>
    </row>
    <row r="576" spans="24:24">
      <c r="X576" s="599"/>
    </row>
    <row r="577" spans="24:24">
      <c r="X577" s="599"/>
    </row>
    <row r="578" spans="24:24">
      <c r="X578" s="599"/>
    </row>
    <row r="579" spans="24:24">
      <c r="X579" s="599"/>
    </row>
    <row r="580" spans="24:24">
      <c r="X580" s="599"/>
    </row>
    <row r="581" spans="24:24">
      <c r="X581" s="599"/>
    </row>
    <row r="582" spans="24:24">
      <c r="X582" s="599"/>
    </row>
    <row r="583" spans="24:24">
      <c r="X583" s="599"/>
    </row>
    <row r="584" spans="24:24">
      <c r="X584" s="599"/>
    </row>
    <row r="585" spans="24:24">
      <c r="X585" s="599"/>
    </row>
    <row r="586" spans="24:24">
      <c r="X586" s="599"/>
    </row>
    <row r="587" spans="24:24">
      <c r="X587" s="599"/>
    </row>
    <row r="588" spans="24:24">
      <c r="X588" s="599"/>
    </row>
    <row r="589" spans="24:24">
      <c r="X589" s="599"/>
    </row>
    <row r="590" spans="24:24">
      <c r="X590" s="599"/>
    </row>
    <row r="591" spans="24:24">
      <c r="X591" s="599"/>
    </row>
    <row r="592" spans="24:24">
      <c r="X592" s="599"/>
    </row>
    <row r="593" spans="24:24">
      <c r="X593" s="599"/>
    </row>
    <row r="594" spans="24:24">
      <c r="X594" s="599"/>
    </row>
    <row r="595" spans="24:24">
      <c r="X595" s="599"/>
    </row>
    <row r="596" spans="24:24">
      <c r="X596" s="599"/>
    </row>
    <row r="597" spans="24:24">
      <c r="X597" s="599"/>
    </row>
    <row r="598" spans="24:24">
      <c r="X598" s="599"/>
    </row>
    <row r="599" spans="24:24">
      <c r="X599" s="599"/>
    </row>
    <row r="600" spans="24:24">
      <c r="X600" s="599"/>
    </row>
    <row r="601" spans="24:24">
      <c r="X601" s="599"/>
    </row>
    <row r="602" spans="24:24">
      <c r="X602" s="599"/>
    </row>
    <row r="603" spans="24:24">
      <c r="X603" s="599"/>
    </row>
    <row r="604" spans="24:24">
      <c r="X604" s="599"/>
    </row>
    <row r="605" spans="24:24">
      <c r="X605" s="599"/>
    </row>
    <row r="606" spans="24:24">
      <c r="X606" s="599"/>
    </row>
    <row r="607" spans="24:24">
      <c r="X607" s="599"/>
    </row>
    <row r="608" spans="24:24">
      <c r="X608" s="599"/>
    </row>
    <row r="609" spans="24:24">
      <c r="X609" s="599"/>
    </row>
    <row r="610" spans="24:24">
      <c r="X610" s="599"/>
    </row>
    <row r="611" spans="24:24">
      <c r="X611" s="599"/>
    </row>
    <row r="612" spans="24:24">
      <c r="X612" s="599"/>
    </row>
    <row r="613" spans="24:24">
      <c r="X613" s="599"/>
    </row>
    <row r="614" spans="24:24">
      <c r="X614" s="599"/>
    </row>
    <row r="615" spans="24:24">
      <c r="X615" s="599"/>
    </row>
    <row r="616" spans="24:24">
      <c r="X616" s="599"/>
    </row>
    <row r="617" spans="24:24">
      <c r="X617" s="599"/>
    </row>
    <row r="618" spans="24:24">
      <c r="X618" s="599"/>
    </row>
    <row r="619" spans="24:24">
      <c r="X619" s="599"/>
    </row>
    <row r="620" spans="24:24">
      <c r="X620" s="599"/>
    </row>
    <row r="621" spans="24:24">
      <c r="X621" s="599"/>
    </row>
    <row r="622" spans="24:24">
      <c r="X622" s="599"/>
    </row>
    <row r="623" spans="24:24">
      <c r="X623" s="599"/>
    </row>
    <row r="624" spans="24:24">
      <c r="X624" s="599"/>
    </row>
    <row r="625" spans="24:24">
      <c r="X625" s="599"/>
    </row>
    <row r="626" spans="24:24">
      <c r="X626" s="599"/>
    </row>
    <row r="627" spans="24:24">
      <c r="X627" s="599"/>
    </row>
    <row r="628" spans="24:24">
      <c r="X628" s="599"/>
    </row>
    <row r="629" spans="24:24">
      <c r="X629" s="599"/>
    </row>
    <row r="630" spans="24:24">
      <c r="X630" s="599"/>
    </row>
    <row r="631" spans="24:24">
      <c r="X631" s="599"/>
    </row>
    <row r="632" spans="24:24">
      <c r="X632" s="599"/>
    </row>
    <row r="633" spans="24:24">
      <c r="X633" s="599"/>
    </row>
    <row r="634" spans="24:24">
      <c r="X634" s="599"/>
    </row>
    <row r="635" spans="24:24">
      <c r="X635" s="599"/>
    </row>
    <row r="636" spans="24:24">
      <c r="X636" s="599"/>
    </row>
    <row r="637" spans="24:24">
      <c r="X637" s="599"/>
    </row>
    <row r="638" spans="24:24">
      <c r="X638" s="599"/>
    </row>
    <row r="639" spans="24:24">
      <c r="X639" s="599"/>
    </row>
    <row r="640" spans="24:24">
      <c r="X640" s="599"/>
    </row>
    <row r="641" spans="24:24">
      <c r="X641" s="599"/>
    </row>
    <row r="642" spans="24:24">
      <c r="X642" s="599"/>
    </row>
    <row r="643" spans="24:24">
      <c r="X643" s="599"/>
    </row>
    <row r="644" spans="24:24">
      <c r="X644" s="599"/>
    </row>
    <row r="645" spans="24:24">
      <c r="X645" s="599"/>
    </row>
    <row r="646" spans="24:24">
      <c r="X646" s="599"/>
    </row>
    <row r="647" spans="24:24">
      <c r="X647" s="599"/>
    </row>
    <row r="648" spans="24:24">
      <c r="X648" s="599"/>
    </row>
    <row r="649" spans="24:24">
      <c r="X649" s="599"/>
    </row>
    <row r="650" spans="24:24">
      <c r="X650" s="599"/>
    </row>
    <row r="651" spans="24:24">
      <c r="X651" s="599"/>
    </row>
    <row r="652" spans="24:24">
      <c r="X652" s="599"/>
    </row>
    <row r="653" spans="24:24">
      <c r="X653" s="599"/>
    </row>
    <row r="654" spans="24:24">
      <c r="X654" s="599"/>
    </row>
    <row r="655" spans="24:24">
      <c r="X655" s="599"/>
    </row>
    <row r="656" spans="24:24">
      <c r="X656" s="599"/>
    </row>
    <row r="657" spans="24:24">
      <c r="X657" s="599"/>
    </row>
    <row r="658" spans="24:24">
      <c r="X658" s="599"/>
    </row>
    <row r="659" spans="24:24">
      <c r="X659" s="599"/>
    </row>
    <row r="660" spans="24:24">
      <c r="X660" s="599"/>
    </row>
    <row r="661" spans="24:24">
      <c r="X661" s="599"/>
    </row>
    <row r="662" spans="24:24">
      <c r="X662" s="599"/>
    </row>
    <row r="663" spans="24:24">
      <c r="X663" s="599"/>
    </row>
    <row r="664" spans="24:24">
      <c r="X664" s="599"/>
    </row>
    <row r="665" spans="24:24">
      <c r="X665" s="599"/>
    </row>
    <row r="666" spans="24:24">
      <c r="X666" s="599"/>
    </row>
    <row r="667" spans="24:24">
      <c r="X667" s="599"/>
    </row>
    <row r="668" spans="24:24">
      <c r="X668" s="599"/>
    </row>
    <row r="669" spans="24:24">
      <c r="X669" s="599"/>
    </row>
    <row r="670" spans="24:24">
      <c r="X670" s="599"/>
    </row>
    <row r="671" spans="24:24">
      <c r="X671" s="599"/>
    </row>
    <row r="672" spans="24:24">
      <c r="X672" s="599"/>
    </row>
    <row r="673" spans="24:24">
      <c r="X673" s="599"/>
    </row>
    <row r="674" spans="24:24">
      <c r="X674" s="599"/>
    </row>
    <row r="675" spans="24:24">
      <c r="X675" s="599"/>
    </row>
    <row r="676" spans="24:24">
      <c r="X676" s="599"/>
    </row>
    <row r="677" spans="24:24">
      <c r="X677" s="599"/>
    </row>
    <row r="678" spans="24:24">
      <c r="X678" s="599"/>
    </row>
    <row r="679" spans="24:24">
      <c r="X679" s="599"/>
    </row>
    <row r="680" spans="24:24">
      <c r="X680" s="599"/>
    </row>
    <row r="681" spans="24:24">
      <c r="X681" s="599"/>
    </row>
    <row r="682" spans="24:24">
      <c r="X682" s="599"/>
    </row>
    <row r="683" spans="24:24">
      <c r="X683" s="599"/>
    </row>
    <row r="684" spans="24:24">
      <c r="X684" s="599"/>
    </row>
    <row r="685" spans="24:24">
      <c r="X685" s="599"/>
    </row>
    <row r="686" spans="24:24">
      <c r="X686" s="599"/>
    </row>
    <row r="687" spans="24:24">
      <c r="X687" s="599"/>
    </row>
    <row r="688" spans="24:24">
      <c r="X688" s="599"/>
    </row>
    <row r="689" spans="24:24">
      <c r="X689" s="599"/>
    </row>
    <row r="690" spans="24:24">
      <c r="X690" s="599"/>
    </row>
    <row r="691" spans="24:24">
      <c r="X691" s="599"/>
    </row>
    <row r="692" spans="24:24">
      <c r="X692" s="599"/>
    </row>
    <row r="693" spans="24:24">
      <c r="X693" s="599"/>
    </row>
    <row r="694" spans="24:24">
      <c r="X694" s="599"/>
    </row>
    <row r="695" spans="24:24">
      <c r="X695" s="599"/>
    </row>
    <row r="696" spans="24:24">
      <c r="X696" s="599"/>
    </row>
    <row r="697" spans="24:24">
      <c r="X697" s="599"/>
    </row>
    <row r="698" spans="24:24">
      <c r="X698" s="599"/>
    </row>
    <row r="699" spans="24:24">
      <c r="X699" s="599"/>
    </row>
    <row r="700" spans="24:24">
      <c r="X700" s="599"/>
    </row>
    <row r="701" spans="24:24">
      <c r="X701" s="599"/>
    </row>
    <row r="702" spans="24:24">
      <c r="X702" s="599"/>
    </row>
    <row r="703" spans="24:24">
      <c r="X703" s="599"/>
    </row>
    <row r="704" spans="24:24">
      <c r="X704" s="599"/>
    </row>
    <row r="705" spans="24:24">
      <c r="X705" s="599"/>
    </row>
    <row r="706" spans="24:24">
      <c r="X706" s="599"/>
    </row>
    <row r="707" spans="24:24">
      <c r="X707" s="599"/>
    </row>
    <row r="708" spans="24:24">
      <c r="X708" s="599"/>
    </row>
    <row r="709" spans="24:24">
      <c r="X709" s="599"/>
    </row>
    <row r="710" spans="24:24">
      <c r="X710" s="599"/>
    </row>
    <row r="711" spans="24:24">
      <c r="X711" s="599"/>
    </row>
    <row r="712" spans="24:24">
      <c r="X712" s="599"/>
    </row>
    <row r="713" spans="24:24">
      <c r="X713" s="599"/>
    </row>
    <row r="714" spans="24:24">
      <c r="X714" s="599"/>
    </row>
    <row r="715" spans="24:24">
      <c r="X715" s="599"/>
    </row>
    <row r="716" spans="24:24">
      <c r="X716" s="599"/>
    </row>
    <row r="717" spans="24:24">
      <c r="X717" s="599"/>
    </row>
    <row r="718" spans="24:24">
      <c r="X718" s="599"/>
    </row>
    <row r="719" spans="24:24">
      <c r="X719" s="599"/>
    </row>
    <row r="720" spans="24:24">
      <c r="X720" s="599"/>
    </row>
    <row r="721" spans="24:24">
      <c r="X721" s="599"/>
    </row>
    <row r="722" spans="24:24">
      <c r="X722" s="599"/>
    </row>
    <row r="723" spans="24:24">
      <c r="X723" s="599"/>
    </row>
    <row r="724" spans="24:24">
      <c r="X724" s="599"/>
    </row>
    <row r="725" spans="24:24">
      <c r="X725" s="599"/>
    </row>
    <row r="726" spans="24:24">
      <c r="X726" s="599"/>
    </row>
    <row r="727" spans="24:24">
      <c r="X727" s="599"/>
    </row>
    <row r="728" spans="24:24">
      <c r="X728" s="599"/>
    </row>
    <row r="729" spans="24:24">
      <c r="X729" s="599"/>
    </row>
    <row r="730" spans="24:24">
      <c r="X730" s="599"/>
    </row>
    <row r="731" spans="24:24">
      <c r="X731" s="599"/>
    </row>
    <row r="732" spans="24:24">
      <c r="X732" s="599"/>
    </row>
    <row r="733" spans="24:24">
      <c r="X733" s="599"/>
    </row>
    <row r="734" spans="24:24">
      <c r="X734" s="599"/>
    </row>
    <row r="735" spans="24:24">
      <c r="X735" s="599"/>
    </row>
    <row r="736" spans="24:24">
      <c r="X736" s="599"/>
    </row>
    <row r="737" spans="24:24">
      <c r="X737" s="599"/>
    </row>
    <row r="738" spans="24:24">
      <c r="X738" s="599"/>
    </row>
    <row r="739" spans="24:24">
      <c r="X739" s="599"/>
    </row>
    <row r="740" spans="24:24">
      <c r="X740" s="599"/>
    </row>
    <row r="741" spans="24:24">
      <c r="X741" s="599"/>
    </row>
    <row r="742" spans="24:24">
      <c r="X742" s="599"/>
    </row>
    <row r="743" spans="24:24">
      <c r="X743" s="599"/>
    </row>
    <row r="744" spans="24:24">
      <c r="X744" s="599"/>
    </row>
    <row r="745" spans="24:24">
      <c r="X745" s="599"/>
    </row>
    <row r="746" spans="24:24">
      <c r="X746" s="599"/>
    </row>
    <row r="747" spans="24:24">
      <c r="X747" s="599"/>
    </row>
    <row r="748" spans="24:24">
      <c r="X748" s="599"/>
    </row>
    <row r="749" spans="24:24">
      <c r="X749" s="599"/>
    </row>
    <row r="750" spans="24:24">
      <c r="X750" s="599"/>
    </row>
    <row r="751" spans="24:24">
      <c r="X751" s="599"/>
    </row>
    <row r="752" spans="24:24">
      <c r="X752" s="599"/>
    </row>
    <row r="753" spans="24:24">
      <c r="X753" s="599"/>
    </row>
    <row r="754" spans="24:24">
      <c r="X754" s="599"/>
    </row>
    <row r="755" spans="24:24">
      <c r="X755" s="599"/>
    </row>
    <row r="756" spans="24:24">
      <c r="X756" s="599"/>
    </row>
    <row r="757" spans="24:24">
      <c r="X757" s="599"/>
    </row>
    <row r="758" spans="24:24">
      <c r="X758" s="599"/>
    </row>
    <row r="759" spans="24:24">
      <c r="X759" s="599"/>
    </row>
    <row r="760" spans="24:24">
      <c r="X760" s="599"/>
    </row>
    <row r="761" spans="24:24">
      <c r="X761" s="599"/>
    </row>
    <row r="762" spans="24:24">
      <c r="X762" s="599"/>
    </row>
    <row r="763" spans="24:24">
      <c r="X763" s="599"/>
    </row>
    <row r="764" spans="24:24">
      <c r="X764" s="599"/>
    </row>
    <row r="765" spans="24:24">
      <c r="X765" s="599"/>
    </row>
    <row r="766" spans="24:24">
      <c r="X766" s="599"/>
    </row>
    <row r="767" spans="24:24">
      <c r="X767" s="599"/>
    </row>
    <row r="768" spans="24:24">
      <c r="X768" s="599"/>
    </row>
    <row r="769" spans="24:24">
      <c r="X769" s="599"/>
    </row>
    <row r="770" spans="24:24">
      <c r="X770" s="599"/>
    </row>
    <row r="771" spans="24:24">
      <c r="X771" s="599"/>
    </row>
    <row r="772" spans="24:24">
      <c r="X772" s="599"/>
    </row>
    <row r="773" spans="24:24">
      <c r="X773" s="599"/>
    </row>
    <row r="774" spans="24:24">
      <c r="X774" s="599"/>
    </row>
    <row r="775" spans="24:24">
      <c r="X775" s="599"/>
    </row>
    <row r="776" spans="24:24">
      <c r="X776" s="599"/>
    </row>
    <row r="777" spans="24:24">
      <c r="X777" s="599"/>
    </row>
    <row r="778" spans="24:24">
      <c r="X778" s="599"/>
    </row>
    <row r="779" spans="24:24">
      <c r="X779" s="599"/>
    </row>
    <row r="780" spans="24:24">
      <c r="X780" s="599"/>
    </row>
    <row r="781" spans="24:24">
      <c r="X781" s="599"/>
    </row>
    <row r="782" spans="24:24">
      <c r="X782" s="599"/>
    </row>
    <row r="783" spans="24:24">
      <c r="X783" s="599"/>
    </row>
    <row r="784" spans="24:24">
      <c r="X784" s="599"/>
    </row>
    <row r="785" spans="24:24">
      <c r="X785" s="599"/>
    </row>
    <row r="786" spans="24:24">
      <c r="X786" s="599"/>
    </row>
    <row r="787" spans="24:24">
      <c r="X787" s="599"/>
    </row>
    <row r="788" spans="24:24">
      <c r="X788" s="599"/>
    </row>
    <row r="789" spans="24:24">
      <c r="X789" s="599"/>
    </row>
    <row r="790" spans="24:24">
      <c r="X790" s="599"/>
    </row>
    <row r="791" spans="24:24">
      <c r="X791" s="599"/>
    </row>
    <row r="792" spans="24:24">
      <c r="X792" s="599"/>
    </row>
    <row r="793" spans="24:24">
      <c r="X793" s="599"/>
    </row>
    <row r="794" spans="24:24">
      <c r="X794" s="599"/>
    </row>
    <row r="795" spans="24:24">
      <c r="X795" s="599"/>
    </row>
    <row r="796" spans="24:24">
      <c r="X796" s="599"/>
    </row>
    <row r="797" spans="24:24">
      <c r="X797" s="599"/>
    </row>
    <row r="798" spans="24:24">
      <c r="X798" s="599"/>
    </row>
    <row r="799" spans="24:24">
      <c r="X799" s="599"/>
    </row>
    <row r="800" spans="24:24">
      <c r="X800" s="599"/>
    </row>
    <row r="801" spans="24:24">
      <c r="X801" s="599"/>
    </row>
    <row r="802" spans="24:24">
      <c r="X802" s="599"/>
    </row>
    <row r="803" spans="24:24">
      <c r="X803" s="599"/>
    </row>
    <row r="804" spans="24:24">
      <c r="X804" s="599"/>
    </row>
    <row r="805" spans="24:24">
      <c r="X805" s="599"/>
    </row>
    <row r="806" spans="24:24">
      <c r="X806" s="599"/>
    </row>
    <row r="807" spans="24:24">
      <c r="X807" s="599"/>
    </row>
    <row r="808" spans="24:24">
      <c r="X808" s="599"/>
    </row>
    <row r="809" spans="24:24">
      <c r="X809" s="599"/>
    </row>
    <row r="810" spans="24:24">
      <c r="X810" s="599"/>
    </row>
    <row r="811" spans="24:24">
      <c r="X811" s="599"/>
    </row>
    <row r="812" spans="24:24">
      <c r="X812" s="599"/>
    </row>
    <row r="813" spans="24:24">
      <c r="X813" s="599"/>
    </row>
    <row r="814" spans="24:24">
      <c r="X814" s="599"/>
    </row>
    <row r="815" spans="24:24">
      <c r="X815" s="599"/>
    </row>
    <row r="816" spans="24:24">
      <c r="X816" s="599"/>
    </row>
    <row r="817" spans="24:24">
      <c r="X817" s="599"/>
    </row>
    <row r="818" spans="24:24">
      <c r="X818" s="599"/>
    </row>
    <row r="819" spans="24:24">
      <c r="X819" s="599"/>
    </row>
    <row r="820" spans="24:24">
      <c r="X820" s="599"/>
    </row>
    <row r="821" spans="24:24">
      <c r="X821" s="599"/>
    </row>
    <row r="822" spans="24:24">
      <c r="X822" s="599"/>
    </row>
    <row r="823" spans="24:24">
      <c r="X823" s="599"/>
    </row>
    <row r="824" spans="24:24">
      <c r="X824" s="599"/>
    </row>
    <row r="825" spans="24:24">
      <c r="X825" s="599"/>
    </row>
    <row r="826" spans="24:24">
      <c r="X826" s="599"/>
    </row>
    <row r="827" spans="24:24">
      <c r="X827" s="599"/>
    </row>
    <row r="828" spans="24:24">
      <c r="X828" s="599"/>
    </row>
    <row r="829" spans="24:24">
      <c r="X829" s="599"/>
    </row>
    <row r="830" spans="24:24">
      <c r="X830" s="599"/>
    </row>
    <row r="831" spans="24:24">
      <c r="X831" s="599"/>
    </row>
    <row r="832" spans="24:24">
      <c r="X832" s="599"/>
    </row>
    <row r="833" spans="24:24">
      <c r="X833" s="599"/>
    </row>
    <row r="834" spans="24:24">
      <c r="X834" s="599"/>
    </row>
    <row r="835" spans="24:24">
      <c r="X835" s="599"/>
    </row>
    <row r="836" spans="24:24">
      <c r="X836" s="599"/>
    </row>
    <row r="837" spans="24:24">
      <c r="X837" s="599"/>
    </row>
    <row r="838" spans="24:24">
      <c r="X838" s="599"/>
    </row>
    <row r="839" spans="24:24">
      <c r="X839" s="599"/>
    </row>
    <row r="840" spans="24:24">
      <c r="X840" s="599"/>
    </row>
    <row r="841" spans="24:24">
      <c r="X841" s="599"/>
    </row>
    <row r="842" spans="24:24">
      <c r="X842" s="599"/>
    </row>
    <row r="843" spans="24:24">
      <c r="X843" s="599"/>
    </row>
    <row r="844" spans="24:24">
      <c r="X844" s="599"/>
    </row>
    <row r="845" spans="24:24">
      <c r="X845" s="599"/>
    </row>
    <row r="846" spans="24:24">
      <c r="X846" s="599"/>
    </row>
    <row r="847" spans="24:24">
      <c r="X847" s="599"/>
    </row>
    <row r="848" spans="24:24">
      <c r="X848" s="599"/>
    </row>
    <row r="849" spans="24:24">
      <c r="X849" s="599"/>
    </row>
    <row r="850" spans="24:24">
      <c r="X850" s="599"/>
    </row>
    <row r="851" spans="24:24">
      <c r="X851" s="599"/>
    </row>
    <row r="852" spans="24:24">
      <c r="X852" s="599"/>
    </row>
    <row r="853" spans="24:24">
      <c r="X853" s="599"/>
    </row>
    <row r="854" spans="24:24">
      <c r="X854" s="599"/>
    </row>
    <row r="855" spans="24:24">
      <c r="X855" s="599"/>
    </row>
    <row r="856" spans="24:24">
      <c r="X856" s="599"/>
    </row>
    <row r="857" spans="24:24">
      <c r="X857" s="599"/>
    </row>
    <row r="858" spans="24:24">
      <c r="X858" s="599"/>
    </row>
    <row r="859" spans="24:24">
      <c r="X859" s="599"/>
    </row>
    <row r="860" spans="24:24">
      <c r="X860" s="599"/>
    </row>
    <row r="861" spans="24:24">
      <c r="X861" s="599"/>
    </row>
    <row r="862" spans="24:24">
      <c r="X862" s="599"/>
    </row>
    <row r="863" spans="24:24">
      <c r="X863" s="599"/>
    </row>
    <row r="864" spans="24:24">
      <c r="X864" s="599"/>
    </row>
    <row r="865" spans="24:24">
      <c r="X865" s="599"/>
    </row>
    <row r="866" spans="24:24">
      <c r="X866" s="599"/>
    </row>
    <row r="867" spans="24:24">
      <c r="X867" s="599"/>
    </row>
    <row r="868" spans="24:24">
      <c r="X868" s="599"/>
    </row>
    <row r="869" spans="24:24">
      <c r="X869" s="599"/>
    </row>
    <row r="870" spans="24:24">
      <c r="X870" s="599"/>
    </row>
    <row r="871" spans="24:24">
      <c r="X871" s="599"/>
    </row>
    <row r="872" spans="24:24">
      <c r="X872" s="599"/>
    </row>
    <row r="873" spans="24:24">
      <c r="X873" s="599"/>
    </row>
    <row r="874" spans="24:24">
      <c r="X874" s="599"/>
    </row>
    <row r="875" spans="24:24">
      <c r="X875" s="599"/>
    </row>
    <row r="876" spans="24:24">
      <c r="X876" s="599"/>
    </row>
    <row r="877" spans="24:24">
      <c r="X877" s="599"/>
    </row>
    <row r="878" spans="24:24">
      <c r="X878" s="599"/>
    </row>
    <row r="879" spans="24:24">
      <c r="X879" s="599"/>
    </row>
    <row r="880" spans="24:24">
      <c r="X880" s="599"/>
    </row>
    <row r="881" spans="24:24">
      <c r="X881" s="599"/>
    </row>
    <row r="882" spans="24:24">
      <c r="X882" s="599"/>
    </row>
    <row r="883" spans="24:24">
      <c r="X883" s="599"/>
    </row>
    <row r="884" spans="24:24">
      <c r="X884" s="599"/>
    </row>
    <row r="885" spans="24:24">
      <c r="X885" s="599"/>
    </row>
    <row r="886" spans="24:24">
      <c r="X886" s="599"/>
    </row>
    <row r="887" spans="24:24">
      <c r="X887" s="599"/>
    </row>
    <row r="888" spans="24:24">
      <c r="X888" s="599"/>
    </row>
    <row r="889" spans="24:24">
      <c r="X889" s="599"/>
    </row>
    <row r="890" spans="24:24">
      <c r="X890" s="599"/>
    </row>
    <row r="891" spans="24:24">
      <c r="X891" s="599"/>
    </row>
    <row r="892" spans="24:24">
      <c r="X892" s="599"/>
    </row>
    <row r="893" spans="24:24">
      <c r="X893" s="599"/>
    </row>
    <row r="894" spans="24:24">
      <c r="X894" s="599"/>
    </row>
    <row r="895" spans="24:24">
      <c r="X895" s="599"/>
    </row>
    <row r="896" spans="24:24">
      <c r="X896" s="599"/>
    </row>
    <row r="897" spans="24:24">
      <c r="X897" s="599"/>
    </row>
    <row r="898" spans="24:24">
      <c r="X898" s="599"/>
    </row>
    <row r="899" spans="24:24">
      <c r="X899" s="599"/>
    </row>
    <row r="900" spans="24:24">
      <c r="X900" s="599"/>
    </row>
    <row r="901" spans="24:24">
      <c r="X901" s="599"/>
    </row>
    <row r="902" spans="24:24">
      <c r="X902" s="599"/>
    </row>
    <row r="903" spans="24:24">
      <c r="X903" s="599"/>
    </row>
    <row r="904" spans="24:24">
      <c r="X904" s="599"/>
    </row>
    <row r="905" spans="24:24">
      <c r="X905" s="599"/>
    </row>
    <row r="906" spans="24:24">
      <c r="X906" s="599"/>
    </row>
    <row r="907" spans="24:24">
      <c r="X907" s="599"/>
    </row>
    <row r="908" spans="24:24">
      <c r="X908" s="599"/>
    </row>
    <row r="909" spans="24:24">
      <c r="X909" s="599"/>
    </row>
    <row r="910" spans="24:24">
      <c r="X910" s="599"/>
    </row>
    <row r="911" spans="24:24">
      <c r="X911" s="599"/>
    </row>
    <row r="912" spans="24:24">
      <c r="X912" s="599"/>
    </row>
    <row r="913" spans="24:24">
      <c r="X913" s="599"/>
    </row>
    <row r="914" spans="24:24">
      <c r="X914" s="599"/>
    </row>
    <row r="915" spans="24:24">
      <c r="X915" s="599"/>
    </row>
    <row r="916" spans="24:24">
      <c r="X916" s="599"/>
    </row>
    <row r="917" spans="24:24">
      <c r="X917" s="599"/>
    </row>
    <row r="918" spans="24:24">
      <c r="X918" s="599"/>
    </row>
    <row r="919" spans="24:24">
      <c r="X919" s="599"/>
    </row>
    <row r="920" spans="24:24">
      <c r="X920" s="599"/>
    </row>
    <row r="921" spans="24:24">
      <c r="X921" s="599"/>
    </row>
    <row r="922" spans="24:24">
      <c r="X922" s="599"/>
    </row>
    <row r="923" spans="24:24">
      <c r="X923" s="599"/>
    </row>
    <row r="924" spans="24:24">
      <c r="X924" s="599"/>
    </row>
    <row r="925" spans="24:24">
      <c r="X925" s="599"/>
    </row>
    <row r="926" spans="24:24">
      <c r="X926" s="599"/>
    </row>
    <row r="927" spans="24:24">
      <c r="X927" s="599"/>
    </row>
    <row r="928" spans="24:24">
      <c r="X928" s="599"/>
    </row>
    <row r="929" spans="24:24">
      <c r="X929" s="599"/>
    </row>
    <row r="930" spans="24:24">
      <c r="X930" s="599"/>
    </row>
    <row r="931" spans="24:24">
      <c r="X931" s="599"/>
    </row>
    <row r="932" spans="24:24">
      <c r="X932" s="599"/>
    </row>
    <row r="933" spans="24:24">
      <c r="X933" s="599"/>
    </row>
    <row r="934" spans="24:24">
      <c r="X934" s="599"/>
    </row>
    <row r="935" spans="24:24">
      <c r="X935" s="599"/>
    </row>
    <row r="936" spans="24:24">
      <c r="X936" s="599"/>
    </row>
    <row r="937" spans="24:24">
      <c r="X937" s="599"/>
    </row>
    <row r="938" spans="24:24">
      <c r="X938" s="599"/>
    </row>
    <row r="939" spans="24:24">
      <c r="X939" s="599"/>
    </row>
    <row r="940" spans="24:24">
      <c r="X940" s="599"/>
    </row>
    <row r="941" spans="24:24">
      <c r="X941" s="599"/>
    </row>
    <row r="942" spans="24:24">
      <c r="X942" s="599"/>
    </row>
    <row r="943" spans="24:24">
      <c r="X943" s="599"/>
    </row>
    <row r="944" spans="24:24">
      <c r="X944" s="599"/>
    </row>
    <row r="945" spans="24:24">
      <c r="X945" s="599"/>
    </row>
    <row r="946" spans="24:24">
      <c r="X946" s="599"/>
    </row>
    <row r="947" spans="24:24">
      <c r="X947" s="599"/>
    </row>
    <row r="948" spans="24:24">
      <c r="X948" s="599"/>
    </row>
    <row r="949" spans="24:24">
      <c r="X949" s="599"/>
    </row>
    <row r="950" spans="24:24">
      <c r="X950" s="599"/>
    </row>
    <row r="951" spans="24:24">
      <c r="X951" s="599"/>
    </row>
    <row r="952" spans="24:24">
      <c r="X952" s="599"/>
    </row>
    <row r="953" spans="24:24">
      <c r="X953" s="599"/>
    </row>
    <row r="954" spans="24:24">
      <c r="X954" s="599"/>
    </row>
    <row r="955" spans="24:24">
      <c r="X955" s="599"/>
    </row>
    <row r="956" spans="24:24">
      <c r="X956" s="599"/>
    </row>
    <row r="957" spans="24:24">
      <c r="X957" s="599"/>
    </row>
    <row r="958" spans="24:24">
      <c r="X958" s="599"/>
    </row>
    <row r="959" spans="24:24">
      <c r="X959" s="599"/>
    </row>
    <row r="960" spans="24:24">
      <c r="X960" s="599"/>
    </row>
    <row r="961" spans="24:24">
      <c r="X961" s="599"/>
    </row>
    <row r="962" spans="24:24">
      <c r="X962" s="599"/>
    </row>
    <row r="963" spans="24:24">
      <c r="X963" s="599"/>
    </row>
    <row r="964" spans="24:24">
      <c r="X964" s="599"/>
    </row>
    <row r="965" spans="24:24">
      <c r="X965" s="599"/>
    </row>
    <row r="966" spans="24:24">
      <c r="X966" s="599"/>
    </row>
    <row r="967" spans="24:24">
      <c r="X967" s="599"/>
    </row>
    <row r="968" spans="24:24">
      <c r="X968" s="599"/>
    </row>
    <row r="969" spans="24:24">
      <c r="X969" s="599"/>
    </row>
    <row r="970" spans="24:24">
      <c r="X970" s="599"/>
    </row>
    <row r="971" spans="24:24">
      <c r="X971" s="599"/>
    </row>
    <row r="972" spans="24:24">
      <c r="X972" s="599"/>
    </row>
    <row r="973" spans="24:24">
      <c r="X973" s="599"/>
    </row>
    <row r="974" spans="24:24">
      <c r="X974" s="599"/>
    </row>
    <row r="975" spans="24:24">
      <c r="X975" s="599"/>
    </row>
    <row r="976" spans="24:24">
      <c r="X976" s="599"/>
    </row>
    <row r="977" spans="24:24">
      <c r="X977" s="599"/>
    </row>
    <row r="978" spans="24:24">
      <c r="X978" s="599"/>
    </row>
    <row r="979" spans="24:24">
      <c r="X979" s="599"/>
    </row>
    <row r="980" spans="24:24">
      <c r="X980" s="599"/>
    </row>
    <row r="981" spans="24:24">
      <c r="X981" s="599"/>
    </row>
    <row r="982" spans="24:24">
      <c r="X982" s="599"/>
    </row>
    <row r="983" spans="24:24">
      <c r="X983" s="599"/>
    </row>
    <row r="984" spans="24:24">
      <c r="X984" s="599"/>
    </row>
    <row r="985" spans="24:24">
      <c r="X985" s="599"/>
    </row>
    <row r="986" spans="24:24">
      <c r="X986" s="599"/>
    </row>
    <row r="987" spans="24:24">
      <c r="X987" s="599"/>
    </row>
    <row r="988" spans="24:24">
      <c r="X988" s="599"/>
    </row>
    <row r="989" spans="24:24">
      <c r="X989" s="599"/>
    </row>
    <row r="990" spans="24:24">
      <c r="X990" s="599"/>
    </row>
    <row r="991" spans="24:24">
      <c r="X991" s="599"/>
    </row>
    <row r="992" spans="24:24">
      <c r="X992" s="599"/>
    </row>
    <row r="993" spans="24:24">
      <c r="X993" s="599"/>
    </row>
    <row r="994" spans="24:24">
      <c r="X994" s="599"/>
    </row>
    <row r="995" spans="24:24">
      <c r="X995" s="599"/>
    </row>
    <row r="996" spans="24:24">
      <c r="X996" s="599"/>
    </row>
    <row r="997" spans="24:24">
      <c r="X997" s="599"/>
    </row>
    <row r="998" spans="24:24">
      <c r="X998" s="599"/>
    </row>
    <row r="999" spans="24:24">
      <c r="X999" s="599"/>
    </row>
    <row r="1000" spans="24:24">
      <c r="X1000" s="599"/>
    </row>
    <row r="1001" spans="24:24">
      <c r="X1001" s="599"/>
    </row>
    <row r="1002" spans="24:24">
      <c r="X1002" s="599"/>
    </row>
    <row r="1003" spans="24:24">
      <c r="X1003" s="599"/>
    </row>
    <row r="1004" spans="24:24">
      <c r="X1004" s="599"/>
    </row>
    <row r="1005" spans="24:24">
      <c r="X1005" s="599"/>
    </row>
    <row r="1006" spans="24:24">
      <c r="X1006" s="599"/>
    </row>
    <row r="1007" spans="24:24">
      <c r="X1007" s="59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FD77-3D73-4C0D-9880-239176EDE5CF}">
  <dimension ref="A2:Z86"/>
  <sheetViews>
    <sheetView zoomScale="72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H7" sqref="H7"/>
    </sheetView>
  </sheetViews>
  <sheetFormatPr defaultColWidth="9.1796875" defaultRowHeight="12.5"/>
  <cols>
    <col min="1" max="1" width="3.1796875" style="27" customWidth="1"/>
    <col min="2" max="2" width="11.26953125" style="27" customWidth="1"/>
    <col min="3" max="3" width="34.453125" style="27" customWidth="1"/>
    <col min="4" max="4" width="7.81640625" style="27" customWidth="1"/>
    <col min="5" max="5" width="3" style="27" customWidth="1"/>
    <col min="6" max="6" width="19.26953125" style="27" customWidth="1"/>
    <col min="7" max="7" width="3" style="27" customWidth="1"/>
    <col min="8" max="8" width="19.26953125" style="27" customWidth="1"/>
    <col min="9" max="9" width="3" style="27" customWidth="1"/>
    <col min="10" max="10" width="19.26953125" style="27" customWidth="1"/>
    <col min="11" max="11" width="3" style="27" customWidth="1"/>
    <col min="12" max="12" width="19.26953125" style="27" customWidth="1"/>
    <col min="13" max="13" width="3" style="27" customWidth="1"/>
    <col min="14" max="14" width="19.26953125" style="27" customWidth="1"/>
    <col min="15" max="15" width="3" style="27" customWidth="1"/>
    <col min="16" max="16" width="19.26953125" style="27" customWidth="1"/>
    <col min="17" max="17" width="3" style="27" customWidth="1"/>
    <col min="18" max="18" width="19.26953125" style="27" customWidth="1"/>
    <col min="19" max="19" width="3" style="27" customWidth="1"/>
    <col min="20" max="20" width="19.26953125" style="27" customWidth="1"/>
    <col min="21" max="21" width="3" style="27" customWidth="1"/>
    <col min="22" max="22" width="19.26953125" style="27" customWidth="1"/>
    <col min="23" max="23" width="3" style="27" customWidth="1"/>
    <col min="24" max="24" width="21.81640625" style="27" bestFit="1" customWidth="1"/>
    <col min="25" max="25" width="2.1796875" style="27" bestFit="1" customWidth="1"/>
    <col min="26" max="26" width="21" style="27" bestFit="1" customWidth="1"/>
    <col min="27" max="27" width="9.1796875" style="27"/>
    <col min="28" max="28" width="16.1796875" style="27" bestFit="1" customWidth="1"/>
    <col min="29" max="16384" width="9.1796875" style="27"/>
  </cols>
  <sheetData>
    <row r="2" spans="1:26" s="153" customFormat="1" ht="13">
      <c r="A2" s="152" t="s">
        <v>472</v>
      </c>
    </row>
    <row r="3" spans="1:26" s="153" customFormat="1" ht="13">
      <c r="A3" s="152" t="s">
        <v>170</v>
      </c>
    </row>
    <row r="4" spans="1:26" s="153" customFormat="1" ht="13">
      <c r="A4" s="152" t="s">
        <v>557</v>
      </c>
      <c r="V4" s="153" t="s">
        <v>171</v>
      </c>
    </row>
    <row r="5" spans="1:26" ht="14.9" customHeight="1">
      <c r="B5" s="40"/>
      <c r="C5" s="154"/>
      <c r="D5" s="40"/>
      <c r="Z5" s="467"/>
    </row>
    <row r="6" spans="1:26" ht="14.9" customHeight="1">
      <c r="B6" s="40"/>
      <c r="C6" s="154"/>
      <c r="D6" s="40"/>
      <c r="R6" s="151"/>
      <c r="Z6" s="467"/>
    </row>
    <row r="7" spans="1:26" ht="78">
      <c r="D7" s="155" t="s">
        <v>172</v>
      </c>
      <c r="E7" s="156"/>
      <c r="F7" s="155" t="s">
        <v>173</v>
      </c>
      <c r="G7" s="156"/>
      <c r="H7" s="155" t="s">
        <v>89</v>
      </c>
      <c r="I7" s="156"/>
      <c r="J7" s="155" t="s">
        <v>90</v>
      </c>
      <c r="K7" s="156"/>
      <c r="L7" s="155" t="s">
        <v>174</v>
      </c>
      <c r="M7" s="156"/>
      <c r="N7" s="155" t="s">
        <v>175</v>
      </c>
      <c r="O7" s="156"/>
      <c r="P7" s="155" t="s">
        <v>176</v>
      </c>
      <c r="Q7" s="156"/>
      <c r="R7" s="155" t="s">
        <v>177</v>
      </c>
      <c r="S7" s="156"/>
      <c r="T7" s="155" t="s">
        <v>178</v>
      </c>
      <c r="U7" s="156"/>
      <c r="V7" s="155" t="s">
        <v>103</v>
      </c>
      <c r="W7" s="156"/>
      <c r="X7" s="155" t="s">
        <v>179</v>
      </c>
      <c r="Y7" s="157"/>
      <c r="Z7" s="468" t="s">
        <v>111</v>
      </c>
    </row>
    <row r="8" spans="1:26" ht="13">
      <c r="D8" s="157" t="s">
        <v>1135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7"/>
      <c r="U8" s="157"/>
      <c r="V8" s="157"/>
      <c r="W8" s="157"/>
      <c r="X8" s="158"/>
      <c r="Y8" s="158"/>
      <c r="Z8" s="469"/>
    </row>
    <row r="9" spans="1:26" ht="13">
      <c r="D9" s="157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7"/>
      <c r="U9" s="157"/>
      <c r="V9" s="157"/>
      <c r="W9" s="157"/>
      <c r="X9" s="158"/>
      <c r="Y9" s="158"/>
      <c r="Z9" s="469"/>
    </row>
    <row r="10" spans="1:26" s="40" customFormat="1" ht="13">
      <c r="B10" s="40" t="s">
        <v>473</v>
      </c>
      <c r="E10" s="159"/>
      <c r="F10" s="159">
        <v>142427250000</v>
      </c>
      <c r="G10" s="159"/>
      <c r="H10" s="159">
        <f>-'Consol SoFP 23 &amp; 22'!AJ94</f>
        <v>357853579197.97498</v>
      </c>
      <c r="I10" s="159"/>
      <c r="J10" s="159"/>
      <c r="K10" s="159"/>
      <c r="L10" s="159"/>
      <c r="M10" s="159"/>
      <c r="N10" s="159">
        <f>-'Consol SoFP 23 &amp; 22'!AJ105-'Consol SoFP 23 &amp; 22'!AJ104</f>
        <v>890579715.375</v>
      </c>
      <c r="O10" s="159"/>
      <c r="P10" s="159">
        <f>-SUM('Consol SoFP 23 &amp; 22'!AJ97:AJ98)</f>
        <v>28533901860.449997</v>
      </c>
      <c r="Q10" s="159"/>
      <c r="R10" s="159">
        <f>-'Consol SoFP 23 &amp; 22'!AJ102-'Consol SoFP 23 &amp; 22'!AJ101</f>
        <v>-323673912324.67499</v>
      </c>
      <c r="S10" s="159"/>
      <c r="T10" s="159">
        <f>SUM(F10,H10,J10,L10,N10,P10,R10)</f>
        <v>206031398449.125</v>
      </c>
      <c r="U10" s="159"/>
      <c r="V10" s="159"/>
      <c r="W10" s="159"/>
      <c r="X10" s="159">
        <f>SUM(T10:V10)</f>
        <v>206031398449.125</v>
      </c>
      <c r="Y10" s="160"/>
      <c r="Z10" s="469"/>
    </row>
    <row r="11" spans="1:26" ht="13"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0"/>
      <c r="Z11" s="469"/>
    </row>
    <row r="12" spans="1:26" ht="13">
      <c r="B12" s="27" t="s">
        <v>182</v>
      </c>
      <c r="E12" s="162"/>
      <c r="F12" s="162"/>
      <c r="G12" s="162"/>
      <c r="H12" s="162"/>
      <c r="I12" s="162"/>
      <c r="J12" s="162"/>
      <c r="K12" s="162"/>
      <c r="L12" s="162">
        <v>0</v>
      </c>
      <c r="M12" s="162"/>
      <c r="N12" s="162"/>
      <c r="O12" s="162"/>
      <c r="P12" s="162"/>
      <c r="Q12" s="162"/>
      <c r="R12" s="162"/>
      <c r="S12" s="162"/>
      <c r="T12" s="159">
        <f>SUM(F12,H12,J12,L12,N12,P12,R12)</f>
        <v>0</v>
      </c>
      <c r="U12" s="164"/>
      <c r="V12" s="163"/>
      <c r="W12" s="163"/>
      <c r="X12" s="159">
        <f>SUM(T12:V12)</f>
        <v>0</v>
      </c>
      <c r="Y12" s="160"/>
      <c r="Z12" s="470">
        <v>0</v>
      </c>
    </row>
    <row r="13" spans="1:26" ht="13"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1"/>
      <c r="U13" s="162"/>
      <c r="V13" s="162"/>
      <c r="W13" s="162"/>
      <c r="X13" s="162"/>
      <c r="Y13" s="160"/>
      <c r="Z13" s="469"/>
    </row>
    <row r="14" spans="1:26" ht="13">
      <c r="B14" s="27" t="s">
        <v>183</v>
      </c>
      <c r="E14" s="162"/>
      <c r="F14" s="162"/>
      <c r="G14" s="162"/>
      <c r="H14" s="162"/>
      <c r="I14" s="162"/>
      <c r="J14" s="162"/>
      <c r="K14" s="162"/>
      <c r="L14" s="162">
        <f>-'Proforma Adjustment'!R15</f>
        <v>35078824664.238449</v>
      </c>
      <c r="M14" s="162"/>
      <c r="N14" s="162"/>
      <c r="O14" s="162"/>
      <c r="P14" s="162"/>
      <c r="Q14" s="162"/>
      <c r="R14" s="162"/>
      <c r="S14" s="162"/>
      <c r="T14" s="159">
        <f>SUM(F14,H14,J14,L14,N14,P14,R14)</f>
        <v>35078824664.238449</v>
      </c>
      <c r="U14" s="164"/>
      <c r="V14" s="163">
        <f>-SUM('NCI Detail &amp; Movement'!P48,'NCI Detail &amp; Movement'!P49,'NCI Detail &amp; Movement'!P51,'NCI Detail &amp; Movement'!P56)</f>
        <v>519210096211.63654</v>
      </c>
      <c r="W14" s="163"/>
      <c r="X14" s="159">
        <f>SUM(T14:V14)</f>
        <v>554288920875.875</v>
      </c>
      <c r="Y14" s="160"/>
      <c r="Z14" s="470">
        <v>0</v>
      </c>
    </row>
    <row r="15" spans="1:26" ht="13"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1"/>
      <c r="U15" s="162"/>
      <c r="V15" s="162"/>
      <c r="W15" s="162"/>
      <c r="X15" s="162"/>
      <c r="Y15" s="160"/>
      <c r="Z15" s="469"/>
    </row>
    <row r="16" spans="1:26" ht="13">
      <c r="B16" s="27" t="s">
        <v>184</v>
      </c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0"/>
      <c r="Z16" s="469"/>
    </row>
    <row r="17" spans="2:26" ht="13">
      <c r="B17" s="165" t="s">
        <v>185</v>
      </c>
      <c r="E17" s="162"/>
      <c r="F17" s="162"/>
      <c r="G17" s="162"/>
      <c r="H17" s="162"/>
      <c r="I17" s="162"/>
      <c r="J17" s="162"/>
      <c r="K17" s="162"/>
      <c r="L17" s="162">
        <f>-'Proforma Adjustment'!S15</f>
        <v>-33149995310.144566</v>
      </c>
      <c r="M17" s="162"/>
      <c r="N17" s="162"/>
      <c r="O17" s="162"/>
      <c r="P17" s="162"/>
      <c r="Q17" s="162"/>
      <c r="R17" s="162"/>
      <c r="S17" s="162"/>
      <c r="T17" s="159">
        <f>SUM(F17,H17,J17,L17,N17,P17,R17)</f>
        <v>-33149995310.144566</v>
      </c>
      <c r="U17" s="164"/>
      <c r="V17" s="163">
        <f>-'NCI Detail &amp; Movement'!P50</f>
        <v>-389373874499.80139</v>
      </c>
      <c r="W17" s="163"/>
      <c r="X17" s="159">
        <f>SUM(T17:V17)</f>
        <v>-422523869809.94598</v>
      </c>
      <c r="Y17" s="160"/>
      <c r="Z17" s="470">
        <v>0</v>
      </c>
    </row>
    <row r="18" spans="2:26" ht="13">
      <c r="B18" s="165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59"/>
      <c r="U18" s="164"/>
      <c r="V18" s="163"/>
      <c r="W18" s="163"/>
      <c r="X18" s="159"/>
      <c r="Y18" s="160"/>
      <c r="Z18" s="470"/>
    </row>
    <row r="19" spans="2:26" ht="13">
      <c r="B19" s="27" t="s">
        <v>184</v>
      </c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0"/>
      <c r="Z19" s="469"/>
    </row>
    <row r="20" spans="2:26" ht="13">
      <c r="B20" s="165" t="s">
        <v>186</v>
      </c>
      <c r="E20" s="162"/>
      <c r="F20" s="162"/>
      <c r="G20" s="162"/>
      <c r="H20" s="162"/>
      <c r="I20" s="162"/>
      <c r="J20" s="162"/>
      <c r="K20" s="162"/>
      <c r="L20" s="162">
        <f>-'Proforma Adjustment'!U15</f>
        <v>107557597.84770001</v>
      </c>
      <c r="M20" s="162"/>
      <c r="N20" s="162"/>
      <c r="O20" s="162"/>
      <c r="P20" s="162"/>
      <c r="Q20" s="162"/>
      <c r="R20" s="162"/>
      <c r="S20" s="162"/>
      <c r="T20" s="159">
        <f>SUM(F20,H20,J20,L20,N20,P20,R20)</f>
        <v>107557597.84770001</v>
      </c>
      <c r="U20" s="164"/>
      <c r="V20" s="163">
        <f>-'NCI Detail &amp; Movement'!P52</f>
        <v>3151763549.0523</v>
      </c>
      <c r="W20" s="163"/>
      <c r="X20" s="159">
        <f>SUM(T20:V20)</f>
        <v>3259321146.9000001</v>
      </c>
      <c r="Y20" s="160"/>
      <c r="Z20" s="470">
        <v>0</v>
      </c>
    </row>
    <row r="21" spans="2:26" ht="13">
      <c r="B21" s="165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59"/>
      <c r="U21" s="164"/>
      <c r="V21" s="163"/>
      <c r="W21" s="163"/>
      <c r="X21" s="159"/>
      <c r="Y21" s="160"/>
      <c r="Z21" s="470"/>
    </row>
    <row r="22" spans="2:26" ht="13">
      <c r="B22" s="27" t="s">
        <v>184</v>
      </c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0"/>
      <c r="Z22" s="469"/>
    </row>
    <row r="23" spans="2:26" ht="13">
      <c r="B23" s="165" t="s">
        <v>187</v>
      </c>
      <c r="E23" s="162"/>
      <c r="F23" s="162"/>
      <c r="G23" s="162"/>
      <c r="H23" s="162"/>
      <c r="I23" s="162"/>
      <c r="J23" s="162"/>
      <c r="K23" s="162"/>
      <c r="L23" s="162">
        <f>-'Proforma Adjustment'!T15</f>
        <v>57332943.687842295</v>
      </c>
      <c r="M23" s="162"/>
      <c r="N23" s="162"/>
      <c r="O23" s="162"/>
      <c r="P23" s="162"/>
      <c r="Q23" s="162"/>
      <c r="R23" s="162"/>
      <c r="S23" s="162"/>
      <c r="T23" s="159">
        <f>SUM(F23,H23,J23,L23,N23,P23,R23)</f>
        <v>57332943.687842295</v>
      </c>
      <c r="U23" s="164"/>
      <c r="V23" s="163">
        <f>-'NCI Detail &amp; Movement'!P54</f>
        <v>1680028986.2467725</v>
      </c>
      <c r="W23" s="163"/>
      <c r="X23" s="159">
        <f>SUM(T23:V23)</f>
        <v>1737361929.9346149</v>
      </c>
      <c r="Y23" s="160"/>
      <c r="Z23" s="470">
        <v>0</v>
      </c>
    </row>
    <row r="25" spans="2:26" ht="15" customHeight="1" thickBot="1">
      <c r="B25" s="40" t="s">
        <v>474</v>
      </c>
      <c r="C25" s="40"/>
      <c r="D25" s="40"/>
      <c r="E25" s="156"/>
      <c r="F25" s="166">
        <f>SUM(F10,F12,F14,F17,F20,F23)</f>
        <v>142427250000</v>
      </c>
      <c r="G25" s="163"/>
      <c r="H25" s="166">
        <f>SUM(H10,H12,H14,H17,H20,H23)</f>
        <v>357853579197.97498</v>
      </c>
      <c r="I25" s="163"/>
      <c r="J25" s="166">
        <f>SUM(J10,J12,J14,J17,J20,J23)</f>
        <v>0</v>
      </c>
      <c r="K25" s="163"/>
      <c r="L25" s="166">
        <f>SUM(L10,L12,L14,L17,L20,L23)</f>
        <v>2093719895.629426</v>
      </c>
      <c r="M25" s="163"/>
      <c r="N25" s="166">
        <f>SUM(N10,N12,N14,N17,N20,N23)</f>
        <v>890579715.375</v>
      </c>
      <c r="O25" s="163"/>
      <c r="P25" s="166">
        <f>SUM(P10,P12,P14,P17,P20,P23)</f>
        <v>28533901860.449997</v>
      </c>
      <c r="Q25" s="163"/>
      <c r="R25" s="166">
        <f>SUM(R10,R12,R14,R17,R20,R23)</f>
        <v>-323673912324.67499</v>
      </c>
      <c r="S25" s="163"/>
      <c r="T25" s="166">
        <f>SUM(T10,T12,T14,T17,T20,T23)</f>
        <v>208125118344.75443</v>
      </c>
      <c r="U25" s="163"/>
      <c r="V25" s="166">
        <f>SUM(V10,V12,V14,V17,V20,V23)</f>
        <v>134668014247.13422</v>
      </c>
      <c r="W25" s="163"/>
      <c r="X25" s="166">
        <f>SUM(X10,X12,X14,X17,X20,X23)</f>
        <v>342793132591.88867</v>
      </c>
    </row>
    <row r="26" spans="2:26" ht="13" thickTop="1"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</row>
    <row r="27" spans="2:26" s="40" customFormat="1" ht="13">
      <c r="B27" s="168" t="s">
        <v>188</v>
      </c>
      <c r="C27" s="168"/>
      <c r="D27" s="168"/>
      <c r="E27" s="169"/>
      <c r="F27" s="169">
        <f>'Consol SoFP 23 &amp; 22'!BF93</f>
        <v>-142427250000</v>
      </c>
      <c r="G27" s="169"/>
      <c r="H27" s="169">
        <f>'Consol SoFP 23 &amp; 22'!BF94</f>
        <v>-357853579198</v>
      </c>
      <c r="I27" s="169"/>
      <c r="J27" s="169">
        <f>'Consol SoFP 23 &amp; 22'!BF95</f>
        <v>0</v>
      </c>
      <c r="K27" s="169"/>
      <c r="L27" s="169">
        <f>'Consol SoFP 23 &amp; 22'!BF106</f>
        <v>-2093719896</v>
      </c>
      <c r="M27" s="169"/>
      <c r="N27" s="169">
        <f>SUM('Consol SoFP 23 &amp; 22'!BF104:BF105)</f>
        <v>-890579715</v>
      </c>
      <c r="O27" s="169"/>
      <c r="P27" s="169">
        <f>SUM('Consol SoFP 23 &amp; 22'!BF97:BF98)</f>
        <v>-28533901860</v>
      </c>
      <c r="Q27" s="169"/>
      <c r="R27" s="169">
        <f>SUM('Consol SoFP 23 &amp; 22'!BF101:BF102)</f>
        <v>323673912325</v>
      </c>
      <c r="S27" s="169"/>
      <c r="T27" s="169">
        <f>'Consol SoFP 23 &amp; 22'!BF109</f>
        <v>-208125118344</v>
      </c>
      <c r="U27" s="169"/>
      <c r="V27" s="169">
        <f>'Consol SoFP 23 &amp; 22'!BF110</f>
        <v>-134668014247</v>
      </c>
      <c r="W27" s="169"/>
      <c r="X27" s="169">
        <f>'Consol SoFP 23 &amp; 22'!BF112</f>
        <v>-342793132591</v>
      </c>
    </row>
    <row r="28" spans="2:26" s="40" customFormat="1" ht="13">
      <c r="B28" s="168" t="s">
        <v>189</v>
      </c>
      <c r="C28" s="168"/>
      <c r="D28" s="168"/>
      <c r="E28" s="169"/>
      <c r="F28" s="169">
        <f t="shared" ref="F28" si="0">ROUND(F25+F27,0)</f>
        <v>0</v>
      </c>
      <c r="G28" s="169"/>
      <c r="H28" s="169">
        <f t="shared" ref="H28" si="1">ROUND(H25+H27,0)</f>
        <v>0</v>
      </c>
      <c r="I28" s="169"/>
      <c r="J28" s="169">
        <f t="shared" ref="J28" si="2">ROUND(J25+J27,0)</f>
        <v>0</v>
      </c>
      <c r="K28" s="169"/>
      <c r="L28" s="169">
        <f t="shared" ref="L28" si="3">ROUND(L25+L27,0)</f>
        <v>0</v>
      </c>
      <c r="M28" s="169"/>
      <c r="N28" s="169">
        <f t="shared" ref="N28" si="4">ROUND(N25+N27,0)</f>
        <v>0</v>
      </c>
      <c r="O28" s="169"/>
      <c r="P28" s="169">
        <f t="shared" ref="P28" si="5">ROUND(P25+P27,0)</f>
        <v>0</v>
      </c>
      <c r="Q28" s="169"/>
      <c r="R28" s="169">
        <f t="shared" ref="R28" si="6">ROUND(R25+R27,0)</f>
        <v>0</v>
      </c>
      <c r="S28" s="169"/>
      <c r="T28" s="169">
        <f t="shared" ref="T28" si="7">ROUND(T25+T27,0)</f>
        <v>1</v>
      </c>
      <c r="U28" s="169"/>
      <c r="V28" s="169">
        <f>ROUND(V25+V27,0)</f>
        <v>0</v>
      </c>
      <c r="W28" s="169"/>
      <c r="X28" s="169">
        <f>ROUND(X25+X27,0)</f>
        <v>1</v>
      </c>
    </row>
    <row r="29" spans="2:26">
      <c r="E29" s="162"/>
      <c r="F29" s="161"/>
      <c r="G29" s="162"/>
      <c r="H29" s="161">
        <f>-H28</f>
        <v>0</v>
      </c>
      <c r="I29" s="162"/>
      <c r="J29" s="161"/>
      <c r="K29" s="162"/>
      <c r="L29" s="161"/>
      <c r="M29" s="162"/>
      <c r="N29" s="162"/>
      <c r="O29" s="162"/>
      <c r="P29" s="162"/>
      <c r="Q29" s="162"/>
      <c r="R29" s="162"/>
      <c r="S29" s="162"/>
      <c r="T29" s="161"/>
      <c r="U29" s="161"/>
      <c r="V29" s="161"/>
      <c r="W29" s="161"/>
      <c r="X29" s="161"/>
    </row>
    <row r="30" spans="2:26" ht="13">
      <c r="B30" s="27" t="s">
        <v>190</v>
      </c>
      <c r="E30" s="162"/>
      <c r="F30" s="161">
        <v>0</v>
      </c>
      <c r="G30" s="162"/>
      <c r="H30" s="161">
        <v>989702895645.44995</v>
      </c>
      <c r="I30" s="162"/>
      <c r="J30" s="161"/>
      <c r="K30" s="162"/>
      <c r="L30" s="161"/>
      <c r="M30" s="162"/>
      <c r="N30" s="162"/>
      <c r="O30" s="162"/>
      <c r="P30" s="162"/>
      <c r="Q30" s="162"/>
      <c r="R30" s="162">
        <v>0</v>
      </c>
      <c r="S30" s="162"/>
      <c r="T30" s="163">
        <f>SUM(F30,H30,J30,L30,N30,P30,R30)</f>
        <v>989702895645.44995</v>
      </c>
      <c r="U30" s="163"/>
      <c r="V30" s="163"/>
      <c r="W30" s="163"/>
      <c r="X30" s="159">
        <f>SUM(T30:V30)</f>
        <v>989702895645.44995</v>
      </c>
    </row>
    <row r="31" spans="2:26" ht="13">
      <c r="B31" s="40"/>
      <c r="E31" s="163"/>
      <c r="F31" s="163"/>
      <c r="G31" s="163"/>
      <c r="H31" s="161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</row>
    <row r="32" spans="2:26" ht="13">
      <c r="B32" s="27" t="s">
        <v>191</v>
      </c>
      <c r="E32" s="162"/>
      <c r="F32" s="161">
        <v>344280825000</v>
      </c>
      <c r="G32" s="162"/>
      <c r="H32" s="161">
        <f>-F32</f>
        <v>-344280825000</v>
      </c>
      <c r="I32" s="162"/>
      <c r="J32" s="161"/>
      <c r="K32" s="162"/>
      <c r="L32" s="161"/>
      <c r="M32" s="162"/>
      <c r="N32" s="162"/>
      <c r="O32" s="162"/>
      <c r="P32" s="162"/>
      <c r="Q32" s="162"/>
      <c r="R32" s="162"/>
      <c r="S32" s="162"/>
      <c r="T32" s="163">
        <f>SUM(F32,H32,J32,L32,N32,P32,R32)</f>
        <v>0</v>
      </c>
      <c r="U32" s="163"/>
      <c r="V32" s="163"/>
      <c r="W32" s="163"/>
      <c r="X32" s="159">
        <f>SUM(T32:V32)</f>
        <v>0</v>
      </c>
    </row>
    <row r="33" spans="2:24" ht="13">
      <c r="B33" s="40"/>
      <c r="E33" s="163"/>
      <c r="F33" s="163"/>
      <c r="G33" s="163"/>
      <c r="H33" s="161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</row>
    <row r="34" spans="2:24" ht="13">
      <c r="B34" s="27" t="s">
        <v>192</v>
      </c>
      <c r="E34" s="162"/>
      <c r="F34" s="162"/>
      <c r="G34" s="162"/>
      <c r="H34" s="161"/>
      <c r="I34" s="162"/>
      <c r="J34" s="162"/>
      <c r="K34" s="162"/>
      <c r="L34" s="162"/>
      <c r="M34" s="162"/>
      <c r="N34" s="162"/>
      <c r="O34" s="162"/>
      <c r="P34" s="162"/>
      <c r="Q34" s="162"/>
      <c r="R34" s="162">
        <f>-'Consol SoPL-OCI 23 &amp; 22'!AC86</f>
        <v>-326205816417.49524</v>
      </c>
      <c r="S34" s="162"/>
      <c r="T34" s="163">
        <f>SUM(F34,H34,J34,L34,N34,P34,R34)</f>
        <v>-326205816417.49524</v>
      </c>
      <c r="U34" s="163"/>
      <c r="V34" s="163"/>
      <c r="W34" s="163"/>
      <c r="X34" s="159">
        <f>SUM(T34:V34)</f>
        <v>-326205816417.49524</v>
      </c>
    </row>
    <row r="35" spans="2:24" ht="13">
      <c r="B35" s="40"/>
      <c r="E35" s="163"/>
      <c r="F35" s="163"/>
      <c r="G35" s="163"/>
      <c r="H35" s="16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</row>
    <row r="36" spans="2:24" ht="13">
      <c r="B36" s="27" t="s">
        <v>180</v>
      </c>
      <c r="E36" s="162"/>
      <c r="F36" s="162"/>
      <c r="G36" s="162"/>
      <c r="H36" s="161"/>
      <c r="I36" s="162"/>
      <c r="J36" s="162"/>
      <c r="K36" s="162"/>
      <c r="L36" s="162"/>
      <c r="M36" s="162"/>
      <c r="N36" s="162">
        <f>-'Consol SoFP 23 &amp; 22'!AE105</f>
        <v>614703573</v>
      </c>
      <c r="O36" s="162"/>
      <c r="P36" s="162"/>
      <c r="Q36" s="162"/>
      <c r="R36" s="162">
        <f>-'Consol SoPL-OCI 23 &amp; 22'!AC88</f>
        <v>0</v>
      </c>
      <c r="S36" s="162"/>
      <c r="T36" s="163">
        <f>SUM(F36,H36,J36,L36,N36,P36,R36)</f>
        <v>614703573</v>
      </c>
      <c r="U36" s="163"/>
      <c r="V36" s="163"/>
      <c r="W36" s="163"/>
      <c r="X36" s="159">
        <f>SUM(T36:V36)</f>
        <v>614703573</v>
      </c>
    </row>
    <row r="37" spans="2:24" ht="13">
      <c r="E37" s="163"/>
      <c r="F37" s="163"/>
      <c r="G37" s="163"/>
      <c r="H37" s="16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</row>
    <row r="38" spans="2:24" ht="13">
      <c r="B38" s="27" t="s">
        <v>181</v>
      </c>
      <c r="E38" s="162"/>
      <c r="F38" s="162"/>
      <c r="G38" s="162"/>
      <c r="H38" s="161"/>
      <c r="I38" s="162"/>
      <c r="J38" s="162"/>
      <c r="K38" s="162"/>
      <c r="L38" s="162"/>
      <c r="M38" s="162"/>
      <c r="N38" s="162"/>
      <c r="O38" s="162"/>
      <c r="P38" s="162">
        <f>-'Consol SoFP 23 &amp; 22'!AE98</f>
        <v>13850428637</v>
      </c>
      <c r="Q38" s="162"/>
      <c r="R38" s="162">
        <f>-'Consol SoPL-OCI 23 &amp; 22'!AC90</f>
        <v>0</v>
      </c>
      <c r="S38" s="162"/>
      <c r="T38" s="163">
        <f>SUM(F38,H38,J38,L38,N38,P38,R38)</f>
        <v>13850428637</v>
      </c>
      <c r="U38" s="163"/>
      <c r="V38" s="163"/>
      <c r="W38" s="163"/>
      <c r="X38" s="159">
        <f>SUM(T38:V38)</f>
        <v>13850428637</v>
      </c>
    </row>
    <row r="39" spans="2:24" ht="13">
      <c r="B39" s="40"/>
      <c r="E39" s="163"/>
      <c r="F39" s="163"/>
      <c r="G39" s="163"/>
      <c r="H39" s="16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</row>
    <row r="40" spans="2:24" ht="13">
      <c r="B40" s="27" t="s">
        <v>193</v>
      </c>
      <c r="E40" s="162"/>
      <c r="F40" s="162"/>
      <c r="G40" s="162"/>
      <c r="H40" s="161"/>
      <c r="I40" s="162"/>
      <c r="J40" s="162"/>
      <c r="K40" s="162"/>
      <c r="L40" s="162"/>
      <c r="M40" s="162"/>
      <c r="N40" s="162"/>
      <c r="O40" s="162"/>
      <c r="P40" s="162"/>
      <c r="Q40" s="162"/>
      <c r="R40" s="163"/>
      <c r="S40" s="162"/>
      <c r="T40" s="163"/>
      <c r="U40" s="163"/>
      <c r="V40" s="163"/>
      <c r="W40" s="163"/>
      <c r="X40" s="163"/>
    </row>
    <row r="41" spans="2:24" ht="13">
      <c r="B41" s="165" t="s">
        <v>194</v>
      </c>
      <c r="E41" s="162"/>
      <c r="F41" s="161"/>
      <c r="G41" s="162"/>
      <c r="H41" s="161"/>
      <c r="I41" s="162"/>
      <c r="J41" s="161"/>
      <c r="K41" s="162"/>
      <c r="L41" s="161">
        <f>-'Proforma Adjustment'!E78+'Proforma Adjustment'!D97</f>
        <v>1045543711.3348504</v>
      </c>
      <c r="M41" s="162"/>
      <c r="N41" s="162"/>
      <c r="O41" s="162"/>
      <c r="P41" s="162"/>
      <c r="Q41" s="162"/>
      <c r="R41" s="162">
        <v>0</v>
      </c>
      <c r="S41" s="162"/>
      <c r="T41" s="163">
        <f>SUM(F41,H41,J41,L41,N41,P41,R41)</f>
        <v>1045543711.3348504</v>
      </c>
      <c r="U41" s="163"/>
      <c r="V41" s="163">
        <f>-'NCI Detail &amp; Movement'!F200</f>
        <v>5025951329.1151619</v>
      </c>
      <c r="W41" s="163"/>
      <c r="X41" s="159">
        <f>SUM(T41:V41)</f>
        <v>6071495040.4500122</v>
      </c>
    </row>
    <row r="42" spans="2:24" ht="13">
      <c r="B42" s="165"/>
      <c r="E42" s="163"/>
      <c r="F42" s="163"/>
      <c r="G42" s="163"/>
      <c r="H42" s="161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</row>
    <row r="43" spans="2:24" ht="13">
      <c r="B43" s="27" t="s">
        <v>184</v>
      </c>
      <c r="E43" s="162"/>
      <c r="F43" s="162"/>
      <c r="G43" s="162"/>
      <c r="H43" s="161"/>
      <c r="I43" s="162"/>
      <c r="J43" s="162"/>
      <c r="K43" s="162"/>
      <c r="L43" s="162"/>
      <c r="M43" s="162"/>
      <c r="N43" s="162"/>
      <c r="O43" s="162"/>
      <c r="P43" s="162"/>
      <c r="Q43" s="162"/>
      <c r="R43" s="163"/>
      <c r="S43" s="162"/>
      <c r="T43" s="163"/>
      <c r="U43" s="163"/>
      <c r="V43" s="163"/>
      <c r="W43" s="163"/>
      <c r="X43" s="163"/>
    </row>
    <row r="44" spans="2:24" ht="13">
      <c r="B44" s="165" t="s">
        <v>195</v>
      </c>
      <c r="E44" s="162"/>
      <c r="F44" s="162"/>
      <c r="G44" s="162"/>
      <c r="H44" s="161"/>
      <c r="I44" s="162"/>
      <c r="J44" s="162"/>
      <c r="K44" s="162"/>
      <c r="L44" s="162">
        <f>-'Capital Proforma Control'!P61</f>
        <v>-58403961762.274269</v>
      </c>
      <c r="M44" s="162"/>
      <c r="N44" s="162"/>
      <c r="O44" s="162"/>
      <c r="P44" s="162"/>
      <c r="Q44" s="162"/>
      <c r="R44" s="163"/>
      <c r="S44" s="162"/>
      <c r="T44" s="163">
        <f>SUM(F44,H44,J44,L44,N44,P44,R44)</f>
        <v>-58403961762.274269</v>
      </c>
      <c r="U44" s="163"/>
      <c r="V44" s="163">
        <f>-'Consol SoPL-OCI 23 &amp; 22'!AC87</f>
        <v>-620490107930.3269</v>
      </c>
      <c r="W44" s="163"/>
      <c r="X44" s="159">
        <f>SUM(T44:V44)</f>
        <v>-678894069692.6012</v>
      </c>
    </row>
    <row r="45" spans="2:24" ht="13">
      <c r="E45" s="162"/>
      <c r="F45" s="162"/>
      <c r="G45" s="162"/>
      <c r="H45" s="161"/>
      <c r="I45" s="162"/>
      <c r="J45" s="162"/>
      <c r="K45" s="162"/>
      <c r="L45" s="162"/>
      <c r="M45" s="162"/>
      <c r="N45" s="162"/>
      <c r="O45" s="162"/>
      <c r="P45" s="162"/>
      <c r="Q45" s="162"/>
      <c r="R45" s="163"/>
      <c r="S45" s="162"/>
      <c r="T45" s="163"/>
      <c r="U45" s="163"/>
      <c r="V45" s="163"/>
      <c r="W45" s="163"/>
      <c r="X45" s="163"/>
    </row>
    <row r="46" spans="2:24" ht="13">
      <c r="B46" s="27" t="s">
        <v>184</v>
      </c>
      <c r="E46" s="162"/>
      <c r="F46" s="162"/>
      <c r="G46" s="162"/>
      <c r="H46" s="161"/>
      <c r="I46" s="162"/>
      <c r="J46" s="162"/>
      <c r="K46" s="162"/>
      <c r="L46" s="162"/>
      <c r="M46" s="162"/>
      <c r="N46" s="162"/>
      <c r="O46" s="162"/>
      <c r="P46" s="162"/>
      <c r="Q46" s="162"/>
      <c r="R46" s="163"/>
      <c r="S46" s="162"/>
      <c r="T46" s="163"/>
      <c r="U46" s="163"/>
      <c r="V46" s="163"/>
      <c r="W46" s="163"/>
      <c r="X46" s="163"/>
    </row>
    <row r="47" spans="2:24" ht="13">
      <c r="B47" s="165" t="s">
        <v>186</v>
      </c>
      <c r="E47" s="162"/>
      <c r="F47" s="162"/>
      <c r="G47" s="162"/>
      <c r="H47" s="161"/>
      <c r="I47" s="162"/>
      <c r="J47" s="162"/>
      <c r="K47" s="162"/>
      <c r="L47" s="162">
        <f>-'Proforma Adjustment'!E86</f>
        <v>231177233</v>
      </c>
      <c r="M47" s="162"/>
      <c r="N47" s="162"/>
      <c r="O47" s="162"/>
      <c r="P47" s="162"/>
      <c r="Q47" s="162"/>
      <c r="R47" s="163"/>
      <c r="S47" s="162"/>
      <c r="T47" s="163">
        <f>SUM(F47,H47,J47,L47,N47,P47,R47)</f>
        <v>231177233</v>
      </c>
      <c r="U47" s="163"/>
      <c r="V47" s="163">
        <f>-'NCI Detail &amp; Movement'!L200</f>
        <v>6774193467.3593245</v>
      </c>
      <c r="W47" s="163"/>
      <c r="X47" s="159">
        <f>SUM(T47:V47)</f>
        <v>7005370700.3593245</v>
      </c>
    </row>
    <row r="48" spans="2:24" ht="13">
      <c r="B48" s="165"/>
      <c r="E48" s="162"/>
      <c r="F48" s="162"/>
      <c r="G48" s="162"/>
      <c r="H48" s="161"/>
      <c r="I48" s="162"/>
      <c r="J48" s="162"/>
      <c r="K48" s="162"/>
      <c r="L48" s="162"/>
      <c r="M48" s="162"/>
      <c r="N48" s="162"/>
      <c r="O48" s="162"/>
      <c r="P48" s="162"/>
      <c r="Q48" s="162"/>
      <c r="R48" s="170"/>
      <c r="S48" s="162"/>
      <c r="T48" s="163"/>
      <c r="U48" s="162"/>
      <c r="V48" s="162"/>
      <c r="W48" s="162"/>
      <c r="X48" s="163"/>
    </row>
    <row r="49" spans="2:26" ht="13">
      <c r="B49" s="27" t="s">
        <v>184</v>
      </c>
      <c r="E49" s="162"/>
      <c r="F49" s="162"/>
      <c r="G49" s="162"/>
      <c r="H49" s="161"/>
      <c r="I49" s="162"/>
      <c r="J49" s="162"/>
      <c r="K49" s="162"/>
      <c r="L49" s="162"/>
      <c r="M49" s="162"/>
      <c r="N49" s="162"/>
      <c r="O49" s="162"/>
      <c r="P49" s="162"/>
      <c r="Q49" s="162"/>
      <c r="R49" s="163"/>
      <c r="S49" s="162"/>
      <c r="T49" s="163"/>
      <c r="U49" s="163"/>
      <c r="V49" s="163"/>
      <c r="W49" s="163"/>
      <c r="X49" s="163"/>
    </row>
    <row r="50" spans="2:26" ht="13">
      <c r="B50" s="165" t="s">
        <v>187</v>
      </c>
      <c r="E50" s="162"/>
      <c r="F50" s="162"/>
      <c r="G50" s="162"/>
      <c r="H50" s="161"/>
      <c r="I50" s="162"/>
      <c r="J50" s="162"/>
      <c r="K50" s="162"/>
      <c r="L50" s="162">
        <f>-'Proforma Adjustment'!E90</f>
        <v>27756416</v>
      </c>
      <c r="M50" s="162"/>
      <c r="N50" s="162"/>
      <c r="O50" s="162"/>
      <c r="P50" s="162"/>
      <c r="Q50" s="162"/>
      <c r="R50" s="163"/>
      <c r="S50" s="162"/>
      <c r="T50" s="163">
        <f>SUM(F50,H50,J50,L50,N50,P50,R50)</f>
        <v>27756416</v>
      </c>
      <c r="U50" s="163"/>
      <c r="V50" s="163">
        <f>-('Consol SoPL-OCI 23 &amp; 22'!AB94-'Consol SoPL-OCI 23 &amp; 22'!AB87)</f>
        <v>813347100.99999976</v>
      </c>
      <c r="W50" s="163"/>
      <c r="X50" s="159">
        <f>SUM(T50:V50)</f>
        <v>841103516.99999976</v>
      </c>
    </row>
    <row r="51" spans="2:26" ht="13">
      <c r="C51" s="40"/>
      <c r="D51" s="40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3"/>
    </row>
    <row r="52" spans="2:26" ht="17.25" customHeight="1" thickBot="1">
      <c r="B52" s="40" t="s">
        <v>1064</v>
      </c>
      <c r="E52" s="163"/>
      <c r="F52" s="166">
        <f>SUM(F25,F30,F32,F34,F36,F38,F41,F44,F47,F50)</f>
        <v>486708075000</v>
      </c>
      <c r="G52" s="163"/>
      <c r="H52" s="166">
        <f>SUM(H25,H30,H32,H34,H36,H38,H41,H44,H47,H50)</f>
        <v>1003275649843.4248</v>
      </c>
      <c r="I52" s="163"/>
      <c r="J52" s="166">
        <f>SUM(J25,J30,J32,J34,J36,J38,J41,J44,J47,J50)</f>
        <v>0</v>
      </c>
      <c r="K52" s="163"/>
      <c r="L52" s="166">
        <f>SUM(L25,L30,L32,L34,L36,L38,L41,L44,L47,L50)</f>
        <v>-55005764506.30999</v>
      </c>
      <c r="M52" s="163"/>
      <c r="N52" s="166">
        <f>SUM(N25,N30,N32,N34,N36,N38,N41,N44,N47,N50)</f>
        <v>1505283288.375</v>
      </c>
      <c r="O52" s="163"/>
      <c r="P52" s="166">
        <f>SUM(P25,P30,P32,P34,P36,P38,P41,P44,P47,P50)</f>
        <v>42384330497.449997</v>
      </c>
      <c r="Q52" s="163"/>
      <c r="R52" s="166">
        <f>SUM(R25,R30,R32,R34,R36,R38,R41,R44,R47,R50)</f>
        <v>-649879728742.17017</v>
      </c>
      <c r="S52" s="163"/>
      <c r="T52" s="166">
        <f>SUM(T25,T30,T32,T34,T36,T38,T41,T44,T47,T50)</f>
        <v>828987845380.76965</v>
      </c>
      <c r="U52" s="163"/>
      <c r="V52" s="166">
        <f>SUM(V25,V30,V32,V34,V36,V38,V41,V44,V47,V50)</f>
        <v>-473208601785.7182</v>
      </c>
      <c r="W52" s="163"/>
      <c r="X52" s="166">
        <f>SUM(X25,X30,X32,X34,X36,X38,X41,X44,X47,X50)</f>
        <v>355779243595.05157</v>
      </c>
    </row>
    <row r="53" spans="2:26" ht="13" thickTop="1">
      <c r="E53" s="167"/>
      <c r="F53" s="167"/>
      <c r="G53" s="167"/>
      <c r="H53" s="162"/>
      <c r="I53" s="167"/>
      <c r="J53" s="162"/>
      <c r="K53" s="167"/>
      <c r="L53" s="162"/>
      <c r="M53" s="167"/>
      <c r="N53" s="167"/>
      <c r="O53" s="167"/>
      <c r="P53" s="167"/>
      <c r="Q53" s="167"/>
      <c r="R53" s="167"/>
      <c r="S53" s="167"/>
      <c r="T53" s="162"/>
      <c r="U53" s="162"/>
      <c r="V53" s="162"/>
      <c r="W53" s="162"/>
      <c r="X53" s="167"/>
    </row>
    <row r="54" spans="2:26" s="40" customFormat="1" ht="13">
      <c r="B54" s="168" t="s">
        <v>188</v>
      </c>
      <c r="C54" s="168"/>
      <c r="D54" s="168"/>
      <c r="E54" s="169"/>
      <c r="F54" s="169">
        <f>'Consol SoFP 23 &amp; 22'!AE93</f>
        <v>-486708075000</v>
      </c>
      <c r="G54" s="169"/>
      <c r="H54" s="169">
        <f>'Consol SoFP 23 &amp; 22'!AE94</f>
        <v>-1003275649843</v>
      </c>
      <c r="I54" s="169"/>
      <c r="J54" s="169">
        <f>SUM('Consol SoFP 23 &amp; 22'!AE95)</f>
        <v>0</v>
      </c>
      <c r="K54" s="169"/>
      <c r="L54" s="169">
        <f>'Consol SoFP 23 &amp; 22'!AE106</f>
        <v>55005764507</v>
      </c>
      <c r="M54" s="169"/>
      <c r="N54" s="169">
        <f>SUM('Consol SoFP 23 &amp; 22'!AE104:AE105)</f>
        <v>-1505283288</v>
      </c>
      <c r="O54" s="169"/>
      <c r="P54" s="169">
        <f>SUM('Consol SoFP 23 &amp; 22'!AE97:AE98)</f>
        <v>-42384330497</v>
      </c>
      <c r="Q54" s="169"/>
      <c r="R54" s="169">
        <f>SUM('Consol SoFP 23 &amp; 22'!AE101:AE102)</f>
        <v>649879728743</v>
      </c>
      <c r="S54" s="169"/>
      <c r="T54" s="169">
        <f>'Consol SoFP 23 &amp; 22'!AE109</f>
        <v>-828987845378</v>
      </c>
      <c r="U54" s="169"/>
      <c r="V54" s="169">
        <f>'Consol SoFP 23 &amp; 22'!AE110</f>
        <v>473208601783.68762</v>
      </c>
      <c r="W54" s="169"/>
      <c r="X54" s="169">
        <f>'Consol SoFP 23 &amp; 22'!AE112</f>
        <v>-355779243594.31238</v>
      </c>
    </row>
    <row r="55" spans="2:26" s="40" customFormat="1" ht="13">
      <c r="B55" s="168" t="s">
        <v>189</v>
      </c>
      <c r="C55" s="168"/>
      <c r="D55" s="168"/>
      <c r="E55" s="169"/>
      <c r="F55" s="169">
        <f t="shared" ref="F55:L55" si="8">ROUND(F52+F54,0)</f>
        <v>0</v>
      </c>
      <c r="G55" s="169"/>
      <c r="H55" s="169">
        <f t="shared" si="8"/>
        <v>0</v>
      </c>
      <c r="I55" s="169"/>
      <c r="J55" s="169">
        <f t="shared" si="8"/>
        <v>0</v>
      </c>
      <c r="K55" s="169"/>
      <c r="L55" s="169">
        <f t="shared" si="8"/>
        <v>1</v>
      </c>
      <c r="M55" s="169"/>
      <c r="N55" s="169">
        <f>N52+N54</f>
        <v>0.375</v>
      </c>
      <c r="O55" s="169"/>
      <c r="P55" s="169">
        <f t="shared" ref="P55:X55" si="9">ROUND(P52+P54,0)</f>
        <v>0</v>
      </c>
      <c r="Q55" s="169"/>
      <c r="R55" s="169">
        <f t="shared" si="9"/>
        <v>1</v>
      </c>
      <c r="S55" s="169"/>
      <c r="T55" s="169">
        <f t="shared" si="9"/>
        <v>3</v>
      </c>
      <c r="U55" s="169"/>
      <c r="V55" s="169">
        <f t="shared" si="9"/>
        <v>-2</v>
      </c>
      <c r="W55" s="169"/>
      <c r="X55" s="169">
        <f t="shared" si="9"/>
        <v>1</v>
      </c>
    </row>
    <row r="57" spans="2:26" ht="13">
      <c r="B57" s="27" t="s">
        <v>190</v>
      </c>
      <c r="E57" s="162"/>
      <c r="F57" s="161">
        <v>0</v>
      </c>
      <c r="G57" s="162"/>
      <c r="H57" s="161"/>
      <c r="I57" s="162"/>
      <c r="J57" s="161"/>
      <c r="K57" s="162"/>
      <c r="L57" s="161"/>
      <c r="M57" s="162"/>
      <c r="N57" s="162"/>
      <c r="O57" s="162"/>
      <c r="P57" s="162"/>
      <c r="Q57" s="162"/>
      <c r="R57" s="162">
        <v>0</v>
      </c>
      <c r="S57" s="162"/>
      <c r="T57" s="163">
        <f>SUM(F57,H57,J57,L57,N57,P57,R57)</f>
        <v>0</v>
      </c>
      <c r="U57" s="163"/>
      <c r="V57" s="163"/>
      <c r="W57" s="163"/>
      <c r="X57" s="159">
        <f>SUM(T57:V57)</f>
        <v>0</v>
      </c>
      <c r="Y57" s="160"/>
    </row>
    <row r="58" spans="2:26" ht="13">
      <c r="B58" s="40"/>
      <c r="E58" s="163"/>
      <c r="F58" s="163"/>
      <c r="G58" s="163"/>
      <c r="H58" s="161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0"/>
      <c r="Z58" s="151"/>
    </row>
    <row r="59" spans="2:26" ht="13">
      <c r="B59" s="27" t="s">
        <v>191</v>
      </c>
      <c r="E59" s="162"/>
      <c r="F59" s="161"/>
      <c r="G59" s="162"/>
      <c r="H59" s="161">
        <v>604970548439</v>
      </c>
      <c r="I59" s="162"/>
      <c r="J59" s="161"/>
      <c r="K59" s="162"/>
      <c r="L59" s="161"/>
      <c r="M59" s="162"/>
      <c r="N59" s="162"/>
      <c r="O59" s="162"/>
      <c r="P59" s="162"/>
      <c r="Q59" s="162"/>
      <c r="R59" s="162"/>
      <c r="S59" s="162"/>
      <c r="T59" s="163">
        <f>SUM(F59,H59,J59,L59,N59,P59,R59)</f>
        <v>604970548439</v>
      </c>
      <c r="U59" s="163"/>
      <c r="V59" s="163"/>
      <c r="W59" s="163"/>
      <c r="X59" s="159">
        <f>SUM(T59:V59)</f>
        <v>604970548439</v>
      </c>
      <c r="Y59" s="160"/>
    </row>
    <row r="60" spans="2:26" ht="13">
      <c r="B60" s="40"/>
      <c r="E60" s="163"/>
      <c r="F60" s="163"/>
      <c r="G60" s="163"/>
      <c r="H60" s="161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0"/>
      <c r="Z60" s="151"/>
    </row>
    <row r="61" spans="2:26" ht="13">
      <c r="B61" s="27" t="s">
        <v>196</v>
      </c>
      <c r="E61" s="163"/>
      <c r="F61" s="163"/>
      <c r="G61" s="163"/>
      <c r="H61" s="161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0"/>
      <c r="Z61" s="151"/>
    </row>
    <row r="62" spans="2:26" ht="13">
      <c r="B62" s="165" t="s">
        <v>197</v>
      </c>
      <c r="E62" s="162"/>
      <c r="F62" s="162"/>
      <c r="G62" s="162"/>
      <c r="H62" s="161"/>
      <c r="I62" s="162"/>
      <c r="J62" s="162"/>
      <c r="K62" s="162"/>
      <c r="L62" s="162"/>
      <c r="M62" s="162"/>
      <c r="N62" s="162"/>
      <c r="O62" s="162"/>
      <c r="P62" s="162"/>
      <c r="Q62" s="162"/>
      <c r="R62" s="162">
        <v>0</v>
      </c>
      <c r="S62" s="162"/>
      <c r="T62" s="163">
        <f>SUM(F62,H62,J62,L62,N62,P62,R62)</f>
        <v>0</v>
      </c>
      <c r="U62" s="163"/>
      <c r="V62" s="163">
        <v>0</v>
      </c>
      <c r="W62" s="163"/>
      <c r="X62" s="159">
        <f>SUM(T62:V62)</f>
        <v>0</v>
      </c>
      <c r="Y62" s="160"/>
    </row>
    <row r="63" spans="2:26" ht="13">
      <c r="B63" s="40"/>
      <c r="E63" s="163"/>
      <c r="F63" s="163"/>
      <c r="G63" s="163"/>
      <c r="H63" s="161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0"/>
      <c r="Z63" s="151"/>
    </row>
    <row r="64" spans="2:26" ht="13">
      <c r="B64" s="27" t="s">
        <v>192</v>
      </c>
      <c r="E64" s="162"/>
      <c r="F64" s="162"/>
      <c r="G64" s="162"/>
      <c r="H64" s="161"/>
      <c r="I64" s="162"/>
      <c r="J64" s="162"/>
      <c r="K64" s="162"/>
      <c r="L64" s="162"/>
      <c r="M64" s="162"/>
      <c r="N64" s="162"/>
      <c r="O64" s="162"/>
      <c r="P64" s="162"/>
      <c r="Q64" s="162"/>
      <c r="R64" s="162">
        <f>-'Consol SoPL-OCI 24'!AG87</f>
        <v>-252352390589.87088</v>
      </c>
      <c r="S64" s="162"/>
      <c r="T64" s="163">
        <f>SUM(F64,H64,J64,L64,N64,P64,R64)</f>
        <v>-252352390589.87088</v>
      </c>
      <c r="U64" s="163"/>
      <c r="V64" s="163">
        <f>-'Consol SoPL-OCI 24'!AG88</f>
        <v>-263097981905.69095</v>
      </c>
      <c r="W64" s="163"/>
      <c r="X64" s="159">
        <f>SUM(T64:V64)</f>
        <v>-515450372495.56183</v>
      </c>
      <c r="Y64" s="160"/>
    </row>
    <row r="65" spans="2:26" ht="13">
      <c r="B65" s="40"/>
      <c r="E65" s="163"/>
      <c r="F65" s="163"/>
      <c r="G65" s="163"/>
      <c r="H65" s="161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0"/>
      <c r="Z65" s="151"/>
    </row>
    <row r="66" spans="2:26" ht="13">
      <c r="B66" s="27" t="s">
        <v>180</v>
      </c>
      <c r="E66" s="162"/>
      <c r="F66" s="162"/>
      <c r="G66" s="162"/>
      <c r="H66" s="161"/>
      <c r="I66" s="162"/>
      <c r="J66" s="162"/>
      <c r="K66" s="162"/>
      <c r="L66" s="162"/>
      <c r="M66" s="162"/>
      <c r="N66" s="162">
        <v>0</v>
      </c>
      <c r="O66" s="162"/>
      <c r="P66" s="162"/>
      <c r="Q66" s="162"/>
      <c r="R66" s="162">
        <v>0</v>
      </c>
      <c r="S66" s="162"/>
      <c r="T66" s="163">
        <f>SUM(F66,H66,J66,L66,N66,P66,R66)</f>
        <v>0</v>
      </c>
      <c r="U66" s="163"/>
      <c r="V66" s="163">
        <v>0</v>
      </c>
      <c r="W66" s="163"/>
      <c r="X66" s="159">
        <f>SUM(T66:V66)</f>
        <v>0</v>
      </c>
      <c r="Y66" s="160"/>
    </row>
    <row r="67" spans="2:26" ht="13">
      <c r="E67" s="163"/>
      <c r="F67" s="163"/>
      <c r="G67" s="163"/>
      <c r="H67" s="161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0"/>
      <c r="Z67" s="151"/>
    </row>
    <row r="68" spans="2:26" ht="13">
      <c r="B68" s="27" t="s">
        <v>181</v>
      </c>
      <c r="E68" s="162"/>
      <c r="F68" s="162"/>
      <c r="G68" s="162"/>
      <c r="H68" s="161"/>
      <c r="I68" s="162"/>
      <c r="J68" s="162"/>
      <c r="K68" s="162"/>
      <c r="L68" s="162"/>
      <c r="M68" s="162"/>
      <c r="N68" s="162"/>
      <c r="O68" s="162"/>
      <c r="P68" s="162">
        <v>0</v>
      </c>
      <c r="Q68" s="162"/>
      <c r="R68" s="162">
        <v>0</v>
      </c>
      <c r="S68" s="162"/>
      <c r="T68" s="163">
        <f>SUM(F68,H68,J68,L68,N68,P68,R68)</f>
        <v>0</v>
      </c>
      <c r="U68" s="163"/>
      <c r="V68" s="163">
        <v>0</v>
      </c>
      <c r="W68" s="163"/>
      <c r="X68" s="159">
        <f>SUM(T68:V68)</f>
        <v>0</v>
      </c>
      <c r="Y68" s="160"/>
    </row>
    <row r="69" spans="2:26" ht="13">
      <c r="B69" s="40"/>
      <c r="E69" s="163"/>
      <c r="F69" s="163"/>
      <c r="G69" s="163"/>
      <c r="H69" s="161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0"/>
      <c r="Z69" s="151"/>
    </row>
    <row r="70" spans="2:26" ht="13">
      <c r="B70" s="27" t="s">
        <v>193</v>
      </c>
      <c r="E70" s="162"/>
      <c r="F70" s="162"/>
      <c r="G70" s="162"/>
      <c r="H70" s="161"/>
      <c r="I70" s="162"/>
      <c r="J70" s="162"/>
      <c r="K70" s="162"/>
      <c r="L70" s="162"/>
      <c r="M70" s="162"/>
      <c r="N70" s="162"/>
      <c r="O70" s="162"/>
      <c r="P70" s="162"/>
      <c r="Q70" s="162"/>
      <c r="R70" s="163"/>
      <c r="S70" s="162"/>
      <c r="T70" s="163"/>
      <c r="U70" s="163"/>
      <c r="V70" s="163"/>
      <c r="W70" s="163"/>
      <c r="X70" s="163"/>
      <c r="Y70" s="160"/>
    </row>
    <row r="71" spans="2:26" ht="13">
      <c r="B71" s="165" t="s">
        <v>194</v>
      </c>
      <c r="E71" s="162"/>
      <c r="F71" s="161"/>
      <c r="G71" s="162"/>
      <c r="H71" s="161"/>
      <c r="I71" s="162"/>
      <c r="J71" s="161"/>
      <c r="K71" s="162"/>
      <c r="L71" s="161"/>
      <c r="M71" s="162"/>
      <c r="N71" s="162"/>
      <c r="O71" s="162"/>
      <c r="P71" s="162"/>
      <c r="Q71" s="162"/>
      <c r="R71" s="162">
        <v>0</v>
      </c>
      <c r="S71" s="162"/>
      <c r="T71" s="163">
        <f>SUM(F71,H71,J71,L71,N71,P71,R71)</f>
        <v>0</v>
      </c>
      <c r="U71" s="163"/>
      <c r="V71" s="163">
        <v>0</v>
      </c>
      <c r="W71" s="163"/>
      <c r="X71" s="159">
        <f>SUM(T71:V71)</f>
        <v>0</v>
      </c>
      <c r="Y71" s="160"/>
    </row>
    <row r="72" spans="2:26" ht="13">
      <c r="B72" s="165"/>
      <c r="E72" s="163"/>
      <c r="F72" s="163"/>
      <c r="G72" s="163"/>
      <c r="H72" s="161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0"/>
      <c r="Z72" s="151"/>
    </row>
    <row r="73" spans="2:26" ht="13">
      <c r="B73" s="27" t="s">
        <v>184</v>
      </c>
      <c r="E73" s="162"/>
      <c r="F73" s="162"/>
      <c r="G73" s="162"/>
      <c r="H73" s="161"/>
      <c r="I73" s="162"/>
      <c r="J73" s="162"/>
      <c r="K73" s="162"/>
      <c r="L73" s="162"/>
      <c r="M73" s="162"/>
      <c r="N73" s="162"/>
      <c r="O73" s="162"/>
      <c r="P73" s="162"/>
      <c r="Q73" s="162"/>
      <c r="R73" s="163"/>
      <c r="S73" s="162"/>
      <c r="T73" s="163"/>
      <c r="U73" s="163"/>
      <c r="V73" s="163"/>
      <c r="W73" s="163"/>
      <c r="X73" s="163"/>
      <c r="Y73" s="160"/>
    </row>
    <row r="74" spans="2:26" ht="13">
      <c r="B74" s="165" t="s">
        <v>195</v>
      </c>
      <c r="E74" s="162"/>
      <c r="F74" s="162"/>
      <c r="G74" s="162"/>
      <c r="H74" s="161"/>
      <c r="I74" s="162"/>
      <c r="J74" s="162"/>
      <c r="K74" s="162"/>
      <c r="L74" s="162">
        <f>'Consol SoPL-OCI 24'!AA61</f>
        <v>-6046239731.4340792</v>
      </c>
      <c r="M74" s="162"/>
      <c r="N74" s="162"/>
      <c r="O74" s="162"/>
      <c r="P74" s="162"/>
      <c r="Q74" s="162"/>
      <c r="R74" s="163"/>
      <c r="S74" s="162"/>
      <c r="T74" s="163">
        <f>SUM(F74,H74,J74,L74,N74,P74,R74)</f>
        <v>-6046239731.4340792</v>
      </c>
      <c r="U74" s="163"/>
      <c r="V74" s="163"/>
      <c r="W74" s="163"/>
      <c r="X74" s="159">
        <f>SUM(T74:V74)</f>
        <v>-6046239731.4340792</v>
      </c>
      <c r="Y74" s="160"/>
    </row>
    <row r="75" spans="2:26" ht="13">
      <c r="E75" s="162"/>
      <c r="F75" s="162"/>
      <c r="G75" s="162"/>
      <c r="H75" s="161"/>
      <c r="I75" s="162"/>
      <c r="J75" s="162"/>
      <c r="K75" s="162"/>
      <c r="L75" s="162"/>
      <c r="M75" s="162"/>
      <c r="N75" s="162"/>
      <c r="O75" s="162"/>
      <c r="P75" s="162"/>
      <c r="Q75" s="162"/>
      <c r="R75" s="163"/>
      <c r="S75" s="162"/>
      <c r="T75" s="163"/>
      <c r="U75" s="163"/>
      <c r="V75" s="163"/>
      <c r="W75" s="163"/>
      <c r="X75" s="163"/>
      <c r="Y75" s="160"/>
    </row>
    <row r="76" spans="2:26" ht="13">
      <c r="B76" s="27" t="s">
        <v>198</v>
      </c>
      <c r="E76" s="162"/>
      <c r="F76" s="162"/>
      <c r="G76" s="162"/>
      <c r="H76" s="161"/>
      <c r="I76" s="162"/>
      <c r="J76" s="162"/>
      <c r="K76" s="162"/>
      <c r="L76" s="162"/>
      <c r="M76" s="162"/>
      <c r="N76" s="162"/>
      <c r="O76" s="162"/>
      <c r="P76" s="162"/>
      <c r="Q76" s="162"/>
      <c r="R76" s="163"/>
      <c r="S76" s="162"/>
      <c r="T76" s="163"/>
      <c r="U76" s="163"/>
      <c r="V76" s="163"/>
      <c r="W76" s="163"/>
      <c r="X76" s="163"/>
      <c r="Y76" s="160"/>
    </row>
    <row r="77" spans="2:26" ht="13">
      <c r="B77" s="165" t="s">
        <v>199</v>
      </c>
      <c r="E77" s="162"/>
      <c r="F77" s="162"/>
      <c r="G77" s="162"/>
      <c r="H77" s="161"/>
      <c r="I77" s="162"/>
      <c r="J77" s="162">
        <f>'Capital Proforma Control'!T146</f>
        <v>-85320141312.569885</v>
      </c>
      <c r="K77" s="162"/>
      <c r="L77" s="162">
        <f>'Capital Proforma Control'!N146</f>
        <v>61052004237.56987</v>
      </c>
      <c r="M77" s="162"/>
      <c r="N77" s="162"/>
      <c r="O77" s="162"/>
      <c r="P77" s="162"/>
      <c r="Q77" s="162"/>
      <c r="R77" s="163"/>
      <c r="S77" s="162"/>
      <c r="T77" s="163">
        <f>SUM(F77,H77,J77,L77,N77,P77,R77)</f>
        <v>-24268137075.000015</v>
      </c>
      <c r="U77" s="163"/>
      <c r="V77" s="163"/>
      <c r="W77" s="163"/>
      <c r="X77" s="159">
        <f>SUM(T77:V77)</f>
        <v>-24268137075.000015</v>
      </c>
      <c r="Y77" s="160"/>
    </row>
    <row r="78" spans="2:26" ht="13">
      <c r="B78" s="165"/>
      <c r="E78" s="162"/>
      <c r="F78" s="162"/>
      <c r="G78" s="162"/>
      <c r="H78" s="161"/>
      <c r="I78" s="162"/>
      <c r="J78" s="162"/>
      <c r="K78" s="162"/>
      <c r="L78" s="162"/>
      <c r="M78" s="162"/>
      <c r="N78" s="162"/>
      <c r="O78" s="162"/>
      <c r="P78" s="162"/>
      <c r="Q78" s="162"/>
      <c r="R78" s="170"/>
      <c r="S78" s="162"/>
      <c r="T78" s="163"/>
      <c r="U78" s="162"/>
      <c r="V78" s="162"/>
      <c r="W78" s="162"/>
      <c r="X78" s="163"/>
      <c r="Y78" s="160"/>
    </row>
    <row r="79" spans="2:26" ht="13">
      <c r="B79" s="27" t="s">
        <v>184</v>
      </c>
      <c r="E79" s="162"/>
      <c r="F79" s="162"/>
      <c r="G79" s="162"/>
      <c r="H79" s="161"/>
      <c r="I79" s="162"/>
      <c r="J79" s="162"/>
      <c r="K79" s="162"/>
      <c r="L79" s="162"/>
      <c r="M79" s="162"/>
      <c r="N79" s="162"/>
      <c r="O79" s="162"/>
      <c r="P79" s="162"/>
      <c r="Q79" s="162"/>
      <c r="R79" s="163"/>
      <c r="S79" s="162"/>
      <c r="T79" s="163"/>
      <c r="U79" s="163"/>
      <c r="V79" s="163"/>
      <c r="W79" s="163"/>
      <c r="X79" s="163"/>
      <c r="Y79" s="160"/>
    </row>
    <row r="80" spans="2:26" ht="13">
      <c r="B80" s="165" t="s">
        <v>187</v>
      </c>
      <c r="E80" s="162"/>
      <c r="F80" s="162"/>
      <c r="G80" s="162"/>
      <c r="H80" s="161"/>
      <c r="I80" s="162"/>
      <c r="J80" s="162"/>
      <c r="K80" s="162"/>
      <c r="L80" s="162">
        <f>-'Proforma Adjustment'!E109</f>
        <v>0</v>
      </c>
      <c r="M80" s="162"/>
      <c r="N80" s="162"/>
      <c r="O80" s="162"/>
      <c r="P80" s="162"/>
      <c r="Q80" s="162"/>
      <c r="R80" s="163"/>
      <c r="S80" s="162"/>
      <c r="T80" s="163">
        <f>SUM(F80,H80,J80,L80,N80,P80,R80)</f>
        <v>0</v>
      </c>
      <c r="U80" s="163"/>
      <c r="V80" s="163"/>
      <c r="W80" s="163"/>
      <c r="X80" s="159">
        <f>SUM(T80:V80)</f>
        <v>0</v>
      </c>
      <c r="Y80" s="160"/>
    </row>
    <row r="81" spans="2:25" ht="13">
      <c r="C81" s="40"/>
      <c r="D81" s="40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3"/>
      <c r="Y81" s="160"/>
    </row>
    <row r="82" spans="2:25" ht="17.25" customHeight="1" thickBot="1">
      <c r="B82" s="40" t="s">
        <v>1065</v>
      </c>
      <c r="E82" s="163"/>
      <c r="F82" s="166">
        <f>SUM(F52,F57,F59,F64,F66,F68,F71,F74,F77,F80)</f>
        <v>486708075000</v>
      </c>
      <c r="G82" s="163"/>
      <c r="H82" s="166">
        <f>SUM(H52,H57,H59,H64,H66,H68,H71,H74,H77,H80)</f>
        <v>1608246198282.4248</v>
      </c>
      <c r="I82" s="163"/>
      <c r="J82" s="166">
        <f>SUM(J52,J57,J59,J64,J66,J68,J71,J74,J77,J80)</f>
        <v>-85320141312.569885</v>
      </c>
      <c r="K82" s="163"/>
      <c r="L82" s="166">
        <f>SUM(L52,L57,L59,L64,L66,L68,L71,L74,L77,L80)</f>
        <v>-0.17420196533203125</v>
      </c>
      <c r="M82" s="163"/>
      <c r="N82" s="166">
        <f>SUM(N52,N57,N59,N62,N64,N66,N68,N71,N74,N77,N80)</f>
        <v>1505283288.375</v>
      </c>
      <c r="O82" s="163"/>
      <c r="P82" s="166">
        <f>SUM(P52,P57,P59,P62,P64,P66,P68,P71,P74,P77,P80)</f>
        <v>42384330497.449997</v>
      </c>
      <c r="Q82" s="163"/>
      <c r="R82" s="166">
        <f>SUM(R52,R57,R59,R62,R64,R66,R68,R71,R74,R77,R80)</f>
        <v>-902232119332.04102</v>
      </c>
      <c r="S82" s="163"/>
      <c r="T82" s="166">
        <f>SUM(T52,T57,T59,T62,T64,T66,T68,T71,T74,T77,T80)</f>
        <v>1151291626423.4646</v>
      </c>
      <c r="U82" s="163"/>
      <c r="V82" s="166">
        <f>SUM(V52,V57,V59,V62,V64,V66,V68,V71,V74,V77,V80)</f>
        <v>-736306583691.40918</v>
      </c>
      <c r="W82" s="163"/>
      <c r="X82" s="166">
        <f>SUM(X52,X57,X59,X64,X66,X68,X71,X74,X77,X80)</f>
        <v>414985042732.0556</v>
      </c>
      <c r="Y82" s="163"/>
    </row>
    <row r="83" spans="2:25" ht="13" thickTop="1">
      <c r="E83" s="167"/>
      <c r="F83" s="167"/>
      <c r="G83" s="167"/>
      <c r="H83" s="162"/>
      <c r="I83" s="167"/>
      <c r="J83" s="162"/>
      <c r="K83" s="167"/>
      <c r="L83" s="162"/>
      <c r="M83" s="167"/>
      <c r="N83" s="167"/>
      <c r="O83" s="167"/>
      <c r="P83" s="167"/>
      <c r="Q83" s="167"/>
      <c r="R83" s="167"/>
      <c r="S83" s="167"/>
      <c r="T83" s="162"/>
      <c r="U83" s="162"/>
      <c r="V83" s="162"/>
      <c r="W83" s="162"/>
      <c r="X83" s="167"/>
      <c r="Y83" s="162"/>
    </row>
    <row r="84" spans="2:25" s="40" customFormat="1" ht="13">
      <c r="B84" s="168" t="s">
        <v>188</v>
      </c>
      <c r="C84" s="168"/>
      <c r="D84" s="168"/>
      <c r="E84" s="169"/>
      <c r="F84" s="169">
        <f>'Consol SoFP 24'!AH93</f>
        <v>-486708075000</v>
      </c>
      <c r="G84" s="169"/>
      <c r="H84" s="169">
        <f>'Consol SoFP 24'!AH94</f>
        <v>-1608246198282</v>
      </c>
      <c r="I84" s="169"/>
      <c r="J84" s="169">
        <f>'Consol SoFP 24'!AH96</f>
        <v>85320141313</v>
      </c>
      <c r="K84" s="169"/>
      <c r="L84" s="169"/>
      <c r="M84" s="169"/>
      <c r="N84" s="169">
        <f>'Consol SoFP 24'!AH104</f>
        <v>-1505283289</v>
      </c>
      <c r="O84" s="169"/>
      <c r="P84" s="169">
        <f>'Consol SoFP 24'!AH98</f>
        <v>-42384330497</v>
      </c>
      <c r="Q84" s="169"/>
      <c r="R84" s="169">
        <f>SUM('Consol SoFP 24'!AH101:AH102)</f>
        <v>902232119329</v>
      </c>
      <c r="S84" s="169"/>
      <c r="T84" s="169">
        <f>'Consol SoFP 24'!AH109</f>
        <v>-1151291626426</v>
      </c>
      <c r="U84" s="169"/>
      <c r="V84" s="169">
        <f>'Consol SoFP 24'!AH110</f>
        <v>736306584348.53674</v>
      </c>
      <c r="W84" s="169"/>
      <c r="X84" s="169">
        <f>'Consol SoFP 24'!AH112</f>
        <v>-414985042077.46326</v>
      </c>
      <c r="Y84" s="163"/>
    </row>
    <row r="85" spans="2:25" s="40" customFormat="1" ht="13">
      <c r="B85" s="168" t="s">
        <v>189</v>
      </c>
      <c r="C85" s="168"/>
      <c r="D85" s="168"/>
      <c r="E85" s="169"/>
      <c r="F85" s="169">
        <f t="shared" ref="F85:H85" si="10">ROUND(F82+F84,0)</f>
        <v>0</v>
      </c>
      <c r="G85" s="169"/>
      <c r="H85" s="169">
        <f t="shared" si="10"/>
        <v>0</v>
      </c>
      <c r="I85" s="169"/>
      <c r="J85" s="169">
        <f t="shared" ref="J85" si="11">ROUND(J82+J84,0)</f>
        <v>0</v>
      </c>
      <c r="K85" s="169"/>
      <c r="L85" s="169">
        <f t="shared" ref="L85" si="12">ROUND(L82+L84,0)</f>
        <v>0</v>
      </c>
      <c r="M85" s="169"/>
      <c r="N85" s="169">
        <f>N82+N84</f>
        <v>-0.625</v>
      </c>
      <c r="O85" s="169"/>
      <c r="P85" s="169">
        <f t="shared" ref="P85" si="13">ROUND(P82+P84,0)</f>
        <v>0</v>
      </c>
      <c r="Q85" s="169"/>
      <c r="R85" s="169">
        <f t="shared" ref="R85" si="14">ROUND(R82+R84,0)</f>
        <v>-3</v>
      </c>
      <c r="S85" s="169"/>
      <c r="T85" s="169">
        <f t="shared" ref="T85" si="15">ROUND(T82+T84,0)</f>
        <v>-3</v>
      </c>
      <c r="U85" s="169"/>
      <c r="V85" s="169">
        <f t="shared" ref="V85" si="16">ROUND(V82+V84,0)</f>
        <v>657</v>
      </c>
      <c r="W85" s="169"/>
      <c r="X85" s="169">
        <f t="shared" ref="X85" si="17">ROUND(X82+X84,0)</f>
        <v>655</v>
      </c>
      <c r="Y85" s="163"/>
    </row>
    <row r="86" spans="2:25"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71"/>
      <c r="S86" s="162"/>
      <c r="T86" s="162"/>
      <c r="U86" s="162"/>
      <c r="V86" s="162"/>
      <c r="W86" s="162"/>
      <c r="X86" s="162"/>
      <c r="Y86" s="16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98E1-5889-4EA9-9451-16FAEFB3CEB8}">
  <dimension ref="A1:BE99"/>
  <sheetViews>
    <sheetView zoomScale="74" workbookViewId="0">
      <pane xSplit="5" ySplit="9" topLeftCell="AK10" activePane="bottomRight" state="frozen"/>
      <selection pane="topRight" activeCell="F1" sqref="F1"/>
      <selection pane="bottomLeft" activeCell="A10" sqref="A10"/>
      <selection pane="bottomRight" activeCell="AU27" sqref="AU27"/>
    </sheetView>
  </sheetViews>
  <sheetFormatPr defaultColWidth="8.26953125" defaultRowHeight="13"/>
  <cols>
    <col min="1" max="1" width="2.7265625" style="519" customWidth="1"/>
    <col min="2" max="2" width="2" style="519" customWidth="1"/>
    <col min="3" max="3" width="25.26953125" style="519" customWidth="1"/>
    <col min="4" max="4" width="10.1796875" style="519" customWidth="1"/>
    <col min="5" max="5" width="20" style="520" customWidth="1"/>
    <col min="6" max="6" width="20.81640625" style="519" bestFit="1" customWidth="1"/>
    <col min="7" max="7" width="18.81640625" style="519" hidden="1" customWidth="1"/>
    <col min="8" max="8" width="16.453125" style="521" customWidth="1"/>
    <col min="9" max="19" width="16.453125" style="519" customWidth="1"/>
    <col min="20" max="20" width="16.453125" style="519" hidden="1" customWidth="1"/>
    <col min="21" max="25" width="16.453125" style="519" customWidth="1"/>
    <col min="26" max="27" width="16.54296875" style="519" customWidth="1"/>
    <col min="28" max="35" width="16.453125" style="519" customWidth="1"/>
    <col min="36" max="37" width="18.1796875" style="519" customWidth="1"/>
    <col min="38" max="38" width="16.453125" style="519" customWidth="1"/>
    <col min="39" max="40" width="16.453125" style="519" hidden="1" customWidth="1"/>
    <col min="41" max="45" width="16.453125" style="519" customWidth="1"/>
    <col min="46" max="46" width="18.81640625" style="519" customWidth="1"/>
    <col min="47" max="53" width="16.453125" style="519" customWidth="1"/>
    <col min="54" max="54" width="16.54296875" style="519" bestFit="1" customWidth="1"/>
    <col min="55" max="16384" width="8.26953125" style="519"/>
  </cols>
  <sheetData>
    <row r="1" spans="1:57">
      <c r="A1" s="518" t="s">
        <v>954</v>
      </c>
      <c r="B1" s="518"/>
      <c r="I1" s="522"/>
      <c r="Z1" s="522" t="s">
        <v>823</v>
      </c>
      <c r="AJ1" s="522"/>
      <c r="AK1" s="522"/>
      <c r="AP1" s="522" t="s">
        <v>823</v>
      </c>
      <c r="AQ1" s="522"/>
      <c r="AY1" s="522" t="s">
        <v>823</v>
      </c>
      <c r="AZ1" s="522" t="s">
        <v>823</v>
      </c>
    </row>
    <row r="2" spans="1:57">
      <c r="A2" s="518" t="s">
        <v>824</v>
      </c>
      <c r="B2" s="518"/>
    </row>
    <row r="3" spans="1:57">
      <c r="A3" s="523" t="s">
        <v>955</v>
      </c>
      <c r="B3" s="518"/>
    </row>
    <row r="4" spans="1:57">
      <c r="B4" s="518"/>
      <c r="E4" s="524" t="s">
        <v>347</v>
      </c>
      <c r="F4" s="525"/>
      <c r="G4" s="525"/>
      <c r="H4" s="526">
        <f t="shared" ref="H4:AF4" si="0">H97</f>
        <v>0</v>
      </c>
      <c r="I4" s="526">
        <f t="shared" si="0"/>
        <v>0</v>
      </c>
      <c r="J4" s="526">
        <f t="shared" si="0"/>
        <v>0</v>
      </c>
      <c r="K4" s="526">
        <f t="shared" si="0"/>
        <v>0</v>
      </c>
      <c r="L4" s="526">
        <f t="shared" si="0"/>
        <v>0</v>
      </c>
      <c r="M4" s="526">
        <f t="shared" si="0"/>
        <v>0</v>
      </c>
      <c r="N4" s="526">
        <f t="shared" si="0"/>
        <v>0</v>
      </c>
      <c r="O4" s="526">
        <f t="shared" si="0"/>
        <v>0</v>
      </c>
      <c r="P4" s="526">
        <f t="shared" si="0"/>
        <v>0</v>
      </c>
      <c r="Q4" s="526">
        <f t="shared" si="0"/>
        <v>0</v>
      </c>
      <c r="R4" s="526">
        <f t="shared" si="0"/>
        <v>0</v>
      </c>
      <c r="S4" s="526">
        <f t="shared" si="0"/>
        <v>-1.4698638916015625</v>
      </c>
      <c r="T4" s="526">
        <f t="shared" si="0"/>
        <v>0</v>
      </c>
      <c r="U4" s="526">
        <f t="shared" si="0"/>
        <v>0.27500152587890625</v>
      </c>
      <c r="V4" s="526">
        <f t="shared" si="0"/>
        <v>-0.9976654052734375</v>
      </c>
      <c r="W4" s="526">
        <f t="shared" si="0"/>
        <v>0</v>
      </c>
      <c r="X4" s="526">
        <f t="shared" si="0"/>
        <v>0</v>
      </c>
      <c r="Y4" s="526">
        <f t="shared" si="0"/>
        <v>0</v>
      </c>
      <c r="Z4" s="526">
        <f t="shared" si="0"/>
        <v>-4</v>
      </c>
      <c r="AA4" s="526">
        <f t="shared" si="0"/>
        <v>-1</v>
      </c>
      <c r="AB4" s="526">
        <f t="shared" si="0"/>
        <v>0</v>
      </c>
      <c r="AC4" s="526">
        <f t="shared" si="0"/>
        <v>0</v>
      </c>
      <c r="AD4" s="526">
        <f t="shared" si="0"/>
        <v>0</v>
      </c>
      <c r="AE4" s="526">
        <f t="shared" si="0"/>
        <v>0</v>
      </c>
      <c r="AF4" s="526">
        <f t="shared" si="0"/>
        <v>0</v>
      </c>
      <c r="AG4" s="526"/>
      <c r="AH4" s="526"/>
      <c r="AI4" s="526">
        <f t="shared" ref="AI4:AP4" si="1">AI97</f>
        <v>0</v>
      </c>
      <c r="AJ4" s="526">
        <f t="shared" si="1"/>
        <v>0</v>
      </c>
      <c r="AK4" s="526">
        <f t="shared" si="1"/>
        <v>0</v>
      </c>
      <c r="AL4" s="526">
        <f t="shared" si="1"/>
        <v>0</v>
      </c>
      <c r="AM4" s="526">
        <f t="shared" si="1"/>
        <v>0</v>
      </c>
      <c r="AN4" s="526">
        <f t="shared" si="1"/>
        <v>0</v>
      </c>
      <c r="AO4" s="526">
        <f t="shared" si="1"/>
        <v>0</v>
      </c>
      <c r="AP4" s="526">
        <f t="shared" si="1"/>
        <v>0</v>
      </c>
      <c r="AQ4" s="526"/>
      <c r="AR4" s="526">
        <f>AR97</f>
        <v>0</v>
      </c>
      <c r="AS4" s="526">
        <f>AS97</f>
        <v>0</v>
      </c>
      <c r="AT4" s="526">
        <f>AT97</f>
        <v>-0.27490234375</v>
      </c>
      <c r="AU4" s="526">
        <f>AU97</f>
        <v>0</v>
      </c>
      <c r="AV4" s="526">
        <f t="shared" ref="AV4" si="2">AV97</f>
        <v>-1</v>
      </c>
      <c r="AW4" s="526">
        <f>AW97</f>
        <v>-0.8642120361328125</v>
      </c>
      <c r="AX4" s="526"/>
      <c r="AY4" s="526">
        <f>AY97</f>
        <v>-3.870880126953125</v>
      </c>
      <c r="AZ4" s="526">
        <f>AZ97</f>
        <v>659.15817260742188</v>
      </c>
    </row>
    <row r="5" spans="1:57" ht="13.5" customHeight="1">
      <c r="A5" s="527"/>
      <c r="D5" s="528"/>
      <c r="F5" s="529"/>
      <c r="G5" s="529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0"/>
      <c r="AB5" s="520"/>
      <c r="AC5" s="520"/>
      <c r="AD5" s="520"/>
      <c r="AE5" s="520"/>
      <c r="AF5" s="520"/>
      <c r="AG5" s="520"/>
      <c r="AH5" s="520"/>
      <c r="AI5" s="520"/>
      <c r="AJ5" s="520"/>
      <c r="AK5" s="520"/>
      <c r="AL5" s="520"/>
      <c r="AM5" s="520"/>
      <c r="AN5" s="520"/>
      <c r="AO5" s="520"/>
      <c r="AP5" s="520"/>
      <c r="AQ5" s="520"/>
      <c r="AR5" s="520"/>
      <c r="AS5" s="520"/>
      <c r="AT5" s="520"/>
      <c r="AU5" s="520"/>
      <c r="AV5" s="520"/>
      <c r="AW5" s="520"/>
      <c r="AX5" s="520"/>
      <c r="AY5" s="520"/>
      <c r="AZ5" s="520"/>
      <c r="BA5" s="520"/>
    </row>
    <row r="6" spans="1:57" ht="13.5" customHeight="1">
      <c r="A6" s="527"/>
      <c r="D6" s="528"/>
      <c r="F6" s="529">
        <v>0.42999267578125</v>
      </c>
      <c r="G6" s="529"/>
      <c r="H6" s="530"/>
      <c r="I6" s="531"/>
      <c r="J6" s="531"/>
      <c r="K6" s="531"/>
      <c r="L6" s="531"/>
      <c r="M6" s="531"/>
      <c r="N6" s="531"/>
      <c r="O6" s="532"/>
      <c r="P6" s="532"/>
      <c r="Q6" s="533"/>
      <c r="R6" s="534"/>
      <c r="S6" s="534"/>
      <c r="T6" s="534"/>
      <c r="U6" s="534"/>
      <c r="V6" s="534" t="s">
        <v>826</v>
      </c>
      <c r="W6" s="534"/>
      <c r="X6" s="534"/>
      <c r="Y6" s="534"/>
      <c r="Z6" s="535"/>
      <c r="AA6" s="536"/>
      <c r="AB6" s="520"/>
      <c r="AC6" s="520"/>
      <c r="AD6" s="520"/>
      <c r="AE6" s="520"/>
      <c r="AF6" s="520"/>
      <c r="AG6" s="520"/>
      <c r="AH6" s="520"/>
      <c r="AI6" s="520"/>
      <c r="AJ6" s="520"/>
      <c r="AK6" s="520"/>
      <c r="AL6" s="520"/>
      <c r="AM6" s="520"/>
      <c r="AN6" s="520"/>
      <c r="AO6" s="520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</row>
    <row r="7" spans="1:57" s="537" customFormat="1" ht="69.5">
      <c r="E7" s="538"/>
      <c r="F7" s="540"/>
      <c r="H7" s="541" t="s">
        <v>18</v>
      </c>
      <c r="I7" s="541" t="s">
        <v>827</v>
      </c>
      <c r="J7" s="541" t="s">
        <v>25</v>
      </c>
      <c r="K7" s="541" t="s">
        <v>956</v>
      </c>
      <c r="L7" s="541" t="s">
        <v>828</v>
      </c>
      <c r="M7" s="541" t="s">
        <v>830</v>
      </c>
      <c r="N7" s="541" t="s">
        <v>831</v>
      </c>
      <c r="O7" s="541" t="s">
        <v>832</v>
      </c>
      <c r="P7" s="541" t="s">
        <v>38</v>
      </c>
      <c r="Q7" s="541" t="s">
        <v>833</v>
      </c>
      <c r="R7" s="541" t="s">
        <v>834</v>
      </c>
      <c r="S7" s="541" t="s">
        <v>835</v>
      </c>
      <c r="T7" s="541" t="s">
        <v>836</v>
      </c>
      <c r="U7" s="541" t="s">
        <v>837</v>
      </c>
      <c r="V7" s="541" t="s">
        <v>838</v>
      </c>
      <c r="W7" s="541" t="s">
        <v>48</v>
      </c>
      <c r="X7" s="541" t="s">
        <v>51</v>
      </c>
      <c r="Y7" s="541" t="s">
        <v>840</v>
      </c>
      <c r="Z7" s="541" t="s">
        <v>841</v>
      </c>
      <c r="AA7" s="541" t="s">
        <v>842</v>
      </c>
      <c r="AB7" s="541" t="s">
        <v>843</v>
      </c>
      <c r="AC7" s="541" t="s">
        <v>846</v>
      </c>
      <c r="AD7" s="541" t="s">
        <v>260</v>
      </c>
      <c r="AE7" s="541" t="s">
        <v>63</v>
      </c>
      <c r="AF7" s="541" t="s">
        <v>65</v>
      </c>
      <c r="AG7" s="541" t="s">
        <v>957</v>
      </c>
      <c r="AH7" s="541" t="s">
        <v>71</v>
      </c>
      <c r="AI7" s="541" t="s">
        <v>848</v>
      </c>
      <c r="AJ7" s="541" t="s">
        <v>849</v>
      </c>
      <c r="AK7" s="541" t="s">
        <v>73</v>
      </c>
      <c r="AL7" s="541" t="s">
        <v>69</v>
      </c>
      <c r="AM7" s="541" t="s">
        <v>850</v>
      </c>
      <c r="AN7" s="541" t="s">
        <v>851</v>
      </c>
      <c r="AO7" s="541" t="s">
        <v>852</v>
      </c>
      <c r="AP7" s="541" t="s">
        <v>853</v>
      </c>
      <c r="AQ7" s="541" t="s">
        <v>958</v>
      </c>
      <c r="AR7" s="541" t="s">
        <v>854</v>
      </c>
      <c r="AS7" s="541" t="s">
        <v>205</v>
      </c>
      <c r="AT7" s="541" t="s">
        <v>89</v>
      </c>
      <c r="AU7" s="541" t="s">
        <v>855</v>
      </c>
      <c r="AV7" s="541" t="s">
        <v>80</v>
      </c>
      <c r="AW7" s="541" t="s">
        <v>174</v>
      </c>
      <c r="AX7" s="541" t="s">
        <v>91</v>
      </c>
      <c r="AY7" s="541" t="s">
        <v>95</v>
      </c>
      <c r="AZ7" s="541" t="s">
        <v>856</v>
      </c>
      <c r="BA7" s="542" t="s">
        <v>347</v>
      </c>
    </row>
    <row r="8" spans="1:57" s="543" customFormat="1" ht="12">
      <c r="E8" s="544"/>
      <c r="F8" s="546"/>
      <c r="G8" s="545">
        <v>45657</v>
      </c>
      <c r="H8" s="547">
        <f>'Consol SoFP 24'!AH15</f>
        <v>61178535792</v>
      </c>
      <c r="I8" s="547">
        <f>SUM('Consol SoFP 24'!AH17:AH18,'Consol SoFP 24'!AH20)</f>
        <v>244672056004</v>
      </c>
      <c r="J8" s="547">
        <f>'Consol SoFP 24'!AH22</f>
        <v>5217740512</v>
      </c>
      <c r="K8" s="547">
        <f>SUM('Consol SoFP 24'!AH25:AH26)</f>
        <v>134787570854</v>
      </c>
      <c r="L8" s="547">
        <f>SUM('Consol SoFP 24'!AH28:AH29,'Consol SoFP 24'!AH23)</f>
        <v>59861730804</v>
      </c>
      <c r="M8" s="547">
        <f>SUM('Consol SoFP 24'!AH32:AH33)+'Consol SoFP 24'!AH30</f>
        <v>10309535399</v>
      </c>
      <c r="N8" s="547">
        <f>'Consol SoFP 24'!AH34</f>
        <v>143195607918</v>
      </c>
      <c r="O8" s="547">
        <f>'Consol SoFP 24'!AH31</f>
        <v>6267463919</v>
      </c>
      <c r="P8" s="547">
        <f>'Consol SoFP 24'!AH35</f>
        <v>1564112875</v>
      </c>
      <c r="Q8" s="547">
        <v>0</v>
      </c>
      <c r="R8" s="547">
        <f>'Consol SoFP 24'!AH42</f>
        <v>0</v>
      </c>
      <c r="S8" s="547">
        <f>'Consol SoFP 24'!AH43</f>
        <v>71907700936</v>
      </c>
      <c r="T8" s="547"/>
      <c r="U8" s="547">
        <f>'Consol SoFP 24'!AH45</f>
        <v>36242446809</v>
      </c>
      <c r="V8" s="547">
        <f>'Consol SoFP 24'!AH44</f>
        <v>16469508674</v>
      </c>
      <c r="W8" s="547">
        <f>'Consol SoFP 24'!AH46</f>
        <v>2314180101</v>
      </c>
      <c r="X8" s="547">
        <f>'Consol SoFP 24'!AH49</f>
        <v>84860041916</v>
      </c>
      <c r="Y8" s="547"/>
      <c r="Z8" s="547"/>
      <c r="AA8" s="547">
        <f>'Consol SoFP 24'!AH84</f>
        <v>-11841969436</v>
      </c>
      <c r="AB8" s="547">
        <f>'Consol SoFP 24'!AH57</f>
        <v>-109688388792</v>
      </c>
      <c r="AC8" s="547">
        <f>SUM('Consol SoFP 24'!AH59:AH60)</f>
        <v>-93585773120</v>
      </c>
      <c r="AD8" s="547">
        <f>SUM('Consol SoFP 24'!AH68:AH69)</f>
        <v>-6658605447</v>
      </c>
      <c r="AE8" s="547">
        <f>'Consol SoFP 24'!AH64</f>
        <v>-1597985933</v>
      </c>
      <c r="AF8" s="547">
        <f>'Consol SoFP 24'!AH66</f>
        <v>-81841385213</v>
      </c>
      <c r="AG8" s="547">
        <f>'Consol SoFP 24'!AH73</f>
        <v>0</v>
      </c>
      <c r="AH8" s="547">
        <f>'Consol SoFP 24'!AH72</f>
        <v>0</v>
      </c>
      <c r="AI8" s="547">
        <f>'Consol SoFP 24'!AH65</f>
        <v>-351201384</v>
      </c>
      <c r="AJ8" s="547">
        <f>SUM('Consol SoFP 24'!AH62:AH63)</f>
        <v>-28052747312</v>
      </c>
      <c r="AK8" s="547">
        <f>'Consol SoFP 24'!AH74</f>
        <v>-22024685439</v>
      </c>
      <c r="AL8" s="547">
        <f>'Consol SoFP 24'!AH71</f>
        <v>0</v>
      </c>
      <c r="AM8" s="547"/>
      <c r="AN8" s="547"/>
      <c r="AO8" s="547">
        <f>'Consol SoFP 24'!AH75+'Consol SoFP 24'!AH81</f>
        <v>-98631811794</v>
      </c>
      <c r="AP8" s="547">
        <f>'Consol SoFP 24'!AH83</f>
        <v>-4853302291</v>
      </c>
      <c r="AQ8" s="547">
        <f>'Consol SoFP 24'!AH82</f>
        <v>0</v>
      </c>
      <c r="AR8" s="547">
        <f>'Consol SoFP 24'!AH85</f>
        <v>-4735334275</v>
      </c>
      <c r="AS8" s="547">
        <f>'Consol SoFP 24'!AH93</f>
        <v>-486708075000</v>
      </c>
      <c r="AT8" s="547">
        <f>'Consol SoFP 24'!AH94</f>
        <v>-1608246198282</v>
      </c>
      <c r="AU8" s="547">
        <f>'Consol SoFP 24'!AH98</f>
        <v>-42384330497</v>
      </c>
      <c r="AV8" s="547">
        <f>'Consol SoFP 24'!AH104</f>
        <v>-1505283289</v>
      </c>
      <c r="AW8" s="547"/>
      <c r="AX8" s="547">
        <f>'Consol SoFP 24'!AH96</f>
        <v>85320141313</v>
      </c>
      <c r="AY8" s="547">
        <f>SUM('Consol SoFP 24'!AH101:AH102)</f>
        <v>902232119329</v>
      </c>
      <c r="AZ8" s="547">
        <f>'Consol SoFP 24'!AH110</f>
        <v>736306584348.53674</v>
      </c>
      <c r="BA8" s="544">
        <f>SUM(H8:AZ8)</f>
        <v>-0.4632568359375</v>
      </c>
      <c r="BB8" s="548"/>
    </row>
    <row r="9" spans="1:57" s="543" customFormat="1" ht="12">
      <c r="E9" s="544"/>
      <c r="F9" s="546"/>
      <c r="G9" s="545">
        <v>45291</v>
      </c>
      <c r="H9" s="547">
        <f>'Consol SoFP 23 &amp; 22'!AE15</f>
        <v>75109486095</v>
      </c>
      <c r="I9" s="547">
        <f>SUM('Consol SoFP 23 &amp; 22'!AE17:AE18,'Consol SoFP 23 &amp; 22'!AE20)</f>
        <v>323260364520</v>
      </c>
      <c r="J9" s="547">
        <f>SUM('Consol SoFP 23 &amp; 22'!AE22)</f>
        <v>15830303102</v>
      </c>
      <c r="K9" s="547">
        <f>SUM('Consol SoFP 23 &amp; 22'!AE25:AE26)</f>
        <v>20326406410</v>
      </c>
      <c r="L9" s="547">
        <f>SUM('Consol SoFP 23 &amp; 22'!AE28:AE29)</f>
        <v>38356602143</v>
      </c>
      <c r="M9" s="547">
        <f>SUM('Consol SoFP 23 &amp; 22'!AE32)</f>
        <v>11811728970</v>
      </c>
      <c r="N9" s="547">
        <f>'Consol SoFP 23 &amp; 22'!AE34</f>
        <v>159588593589</v>
      </c>
      <c r="O9" s="547">
        <f>'Consol SoFP 23 &amp; 22'!AE31</f>
        <v>2623976876</v>
      </c>
      <c r="P9" s="547">
        <f>'Consol SoFP 23 &amp; 22'!AE35</f>
        <v>24013216750</v>
      </c>
      <c r="Q9" s="547"/>
      <c r="R9" s="547">
        <f>'Consol SoFP 23 &amp; 22'!AE42</f>
        <v>2156177190</v>
      </c>
      <c r="S9" s="547">
        <f>'Consol SoFP 23 &amp; 22'!AE44</f>
        <v>21832710982</v>
      </c>
      <c r="T9" s="547"/>
      <c r="U9" s="547">
        <f>'Consol SoFP 23 &amp; 22'!AE46</f>
        <v>11843914378</v>
      </c>
      <c r="V9" s="547">
        <f>'Consol SoFP 23 &amp; 22'!AE45</f>
        <v>24886088064</v>
      </c>
      <c r="W9" s="547">
        <f>'Consol SoFP 23 &amp; 22'!AE47</f>
        <v>2482200000</v>
      </c>
      <c r="X9" s="547">
        <f>'Consol SoFP 23 &amp; 22'!AE50</f>
        <v>12960995205</v>
      </c>
      <c r="Y9" s="547"/>
      <c r="Z9" s="547"/>
      <c r="AA9" s="547">
        <f>'Consol SoFP 23 &amp; 22'!AE84</f>
        <v>-11841969435</v>
      </c>
      <c r="AB9" s="547">
        <f>'Consol SoFP 23 &amp; 22'!AE58</f>
        <v>-141442017128</v>
      </c>
      <c r="AC9" s="547">
        <f>SUM('Consol SoFP 23 &amp; 22'!AE60:AE61)</f>
        <v>-48531295722</v>
      </c>
      <c r="AD9" s="547">
        <f>'Consol SoFP 23 &amp; 22'!AE70</f>
        <v>-5410354427</v>
      </c>
      <c r="AE9" s="547">
        <f>'Consol SoFP 23 &amp; 22'!AE65</f>
        <v>-3998598175</v>
      </c>
      <c r="AF9" s="547">
        <f>'Consol SoFP 23 &amp; 22'!AE67</f>
        <v>-15917342497</v>
      </c>
      <c r="AG9" s="547">
        <f>'Consol SoFP 23 &amp; 22'!AE73</f>
        <v>0</v>
      </c>
      <c r="AH9" s="547">
        <f>'Consol SoFP 23 &amp; 22'!AE72</f>
        <v>0</v>
      </c>
      <c r="AI9" s="547">
        <f>'Consol SoFP 23 &amp; 22'!AE66</f>
        <v>-5484244074</v>
      </c>
      <c r="AJ9" s="547">
        <f>'Consol SoFP 23 &amp; 22'!AE63</f>
        <v>-59423529841</v>
      </c>
      <c r="AK9" s="547">
        <f>'Consol SoFP 23 &amp; 22'!AE74</f>
        <v>0</v>
      </c>
      <c r="AL9" s="547">
        <f>'Consol SoFP 23 &amp; 22'!AE71</f>
        <v>0</v>
      </c>
      <c r="AM9" s="547"/>
      <c r="AN9" s="547"/>
      <c r="AO9" s="547">
        <f>'Consol SoFP 23 &amp; 22'!AE81+'Consol SoFP 23 &amp; 22'!AE75</f>
        <v>-89665532815</v>
      </c>
      <c r="AP9" s="547">
        <f>'Consol SoFP 23 &amp; 22'!AE82</f>
        <v>-4853302291</v>
      </c>
      <c r="AQ9" s="547">
        <f>'Consol SoFP 23 &amp; 22'!AE83</f>
        <v>0</v>
      </c>
      <c r="AR9" s="547">
        <f>'Consol SoFP 23 &amp; 22'!AE85</f>
        <v>-4735334275</v>
      </c>
      <c r="AS9" s="547">
        <f>'Consol SoFP 23 &amp; 22'!AE93</f>
        <v>-486708075000</v>
      </c>
      <c r="AT9" s="547">
        <f>'Consol SoFP 23 &amp; 22'!AE94</f>
        <v>-1003275649843</v>
      </c>
      <c r="AU9" s="547">
        <f>SUM('Consol SoFP 23 &amp; 22'!AE97:AE98)</f>
        <v>-42384330497</v>
      </c>
      <c r="AV9" s="547">
        <f>SUM('Consol SoFP 23 &amp; 22'!AE104:AE105)</f>
        <v>-1505283288</v>
      </c>
      <c r="AW9" s="547">
        <f>'Consol SoFP 23 &amp; 22'!AE106</f>
        <v>55005764507</v>
      </c>
      <c r="AX9" s="547"/>
      <c r="AY9" s="547">
        <f>SUM('Consol SoFP 23 &amp; 22'!AE101:AE102)</f>
        <v>649879728743</v>
      </c>
      <c r="AZ9" s="547">
        <f>'Consol SoFP 23 &amp; 22'!AE110</f>
        <v>473208601783.68762</v>
      </c>
      <c r="BA9" s="544">
        <f>SUM(H9:AZ9)</f>
        <v>-0.3123779296875</v>
      </c>
      <c r="BB9" s="549"/>
    </row>
    <row r="10" spans="1:57" s="554" customFormat="1" ht="12" thickBot="1">
      <c r="A10" s="550"/>
      <c r="B10" s="550"/>
      <c r="C10" s="550"/>
      <c r="D10" s="550"/>
      <c r="E10" s="551"/>
      <c r="F10" s="552"/>
      <c r="G10" s="552" t="s">
        <v>857</v>
      </c>
      <c r="H10" s="553">
        <f>H8-H9</f>
        <v>-13930950303</v>
      </c>
      <c r="I10" s="553">
        <f t="shared" ref="I10:AZ10" si="3">I8-I9</f>
        <v>-78588308516</v>
      </c>
      <c r="J10" s="553">
        <f t="shared" si="3"/>
        <v>-10612562590</v>
      </c>
      <c r="K10" s="553">
        <f t="shared" si="3"/>
        <v>114461164444</v>
      </c>
      <c r="L10" s="553">
        <f t="shared" si="3"/>
        <v>21505128661</v>
      </c>
      <c r="M10" s="553">
        <f t="shared" si="3"/>
        <v>-1502193571</v>
      </c>
      <c r="N10" s="553">
        <f t="shared" si="3"/>
        <v>-16392985671</v>
      </c>
      <c r="O10" s="553">
        <f>O8-O9</f>
        <v>3643487043</v>
      </c>
      <c r="P10" s="553">
        <f>P8-P9</f>
        <v>-22449103875</v>
      </c>
      <c r="Q10" s="553">
        <f>Q8-Q9</f>
        <v>0</v>
      </c>
      <c r="R10" s="553">
        <f>R8-R9</f>
        <v>-2156177190</v>
      </c>
      <c r="S10" s="553">
        <f>S8-S9</f>
        <v>50074989954</v>
      </c>
      <c r="T10" s="553">
        <f t="shared" si="3"/>
        <v>0</v>
      </c>
      <c r="U10" s="553">
        <f t="shared" si="3"/>
        <v>24398532431</v>
      </c>
      <c r="V10" s="553">
        <f t="shared" si="3"/>
        <v>-8416579390</v>
      </c>
      <c r="W10" s="553">
        <f t="shared" si="3"/>
        <v>-168019899</v>
      </c>
      <c r="X10" s="553">
        <f t="shared" si="3"/>
        <v>71899046711</v>
      </c>
      <c r="Y10" s="553">
        <f t="shared" si="3"/>
        <v>0</v>
      </c>
      <c r="Z10" s="553">
        <f t="shared" si="3"/>
        <v>0</v>
      </c>
      <c r="AA10" s="553">
        <f>AA8-AA9</f>
        <v>-1</v>
      </c>
      <c r="AB10" s="553">
        <f t="shared" si="3"/>
        <v>31753628336</v>
      </c>
      <c r="AC10" s="553">
        <f>AC8-AC9</f>
        <v>-45054477398</v>
      </c>
      <c r="AD10" s="553">
        <f t="shared" si="3"/>
        <v>-1248251020</v>
      </c>
      <c r="AE10" s="553">
        <f t="shared" si="3"/>
        <v>2400612242</v>
      </c>
      <c r="AF10" s="553">
        <f t="shared" si="3"/>
        <v>-65924042716</v>
      </c>
      <c r="AG10" s="553">
        <f t="shared" si="3"/>
        <v>0</v>
      </c>
      <c r="AH10" s="553">
        <f t="shared" si="3"/>
        <v>0</v>
      </c>
      <c r="AI10" s="553">
        <f t="shared" si="3"/>
        <v>5133042690</v>
      </c>
      <c r="AJ10" s="553">
        <f t="shared" si="3"/>
        <v>31370782529</v>
      </c>
      <c r="AK10" s="553">
        <f t="shared" si="3"/>
        <v>-22024685439</v>
      </c>
      <c r="AL10" s="553">
        <f t="shared" si="3"/>
        <v>0</v>
      </c>
      <c r="AM10" s="553">
        <f t="shared" si="3"/>
        <v>0</v>
      </c>
      <c r="AN10" s="553">
        <f t="shared" si="3"/>
        <v>0</v>
      </c>
      <c r="AO10" s="553">
        <f>AO8-AO9</f>
        <v>-8966278979</v>
      </c>
      <c r="AP10" s="553">
        <f t="shared" si="3"/>
        <v>0</v>
      </c>
      <c r="AQ10" s="553">
        <f t="shared" si="3"/>
        <v>0</v>
      </c>
      <c r="AR10" s="553">
        <f t="shared" si="3"/>
        <v>0</v>
      </c>
      <c r="AS10" s="553">
        <f t="shared" si="3"/>
        <v>0</v>
      </c>
      <c r="AT10" s="553">
        <f t="shared" si="3"/>
        <v>-604970548439</v>
      </c>
      <c r="AU10" s="553">
        <f t="shared" si="3"/>
        <v>0</v>
      </c>
      <c r="AV10" s="553">
        <f t="shared" si="3"/>
        <v>-1</v>
      </c>
      <c r="AW10" s="553">
        <f t="shared" si="3"/>
        <v>-55005764507</v>
      </c>
      <c r="AX10" s="553">
        <f t="shared" si="3"/>
        <v>85320141313</v>
      </c>
      <c r="AY10" s="553">
        <f t="shared" si="3"/>
        <v>252352390586</v>
      </c>
      <c r="AZ10" s="553">
        <f t="shared" si="3"/>
        <v>263097982564.84912</v>
      </c>
    </row>
    <row r="11" spans="1:57" ht="13.5" customHeight="1">
      <c r="A11" s="527"/>
      <c r="D11" s="528"/>
      <c r="F11" s="555"/>
      <c r="G11" s="555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0"/>
      <c r="AH11" s="520"/>
      <c r="AI11" s="520"/>
      <c r="AJ11" s="520"/>
      <c r="AK11" s="520"/>
      <c r="AL11" s="520"/>
      <c r="AM11" s="520"/>
      <c r="AN11" s="520"/>
      <c r="AO11" s="520"/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</row>
    <row r="12" spans="1:57" ht="13.5" customHeight="1">
      <c r="A12" s="527" t="s">
        <v>858</v>
      </c>
      <c r="D12" s="528"/>
      <c r="F12" s="556"/>
      <c r="G12" s="556"/>
      <c r="H12" s="520"/>
      <c r="I12" s="520"/>
      <c r="J12" s="520"/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520"/>
      <c r="W12" s="520"/>
      <c r="X12" s="520"/>
      <c r="Y12" s="520"/>
      <c r="Z12" s="520"/>
      <c r="AA12" s="520"/>
      <c r="AB12" s="520"/>
      <c r="AC12" s="520"/>
      <c r="AD12" s="520"/>
      <c r="AE12" s="520"/>
      <c r="AF12" s="520"/>
      <c r="AG12" s="520"/>
      <c r="AH12" s="520"/>
      <c r="AI12" s="520"/>
      <c r="AJ12" s="520"/>
      <c r="AK12" s="520"/>
      <c r="AL12" s="520"/>
      <c r="AM12" s="520"/>
      <c r="AN12" s="520"/>
      <c r="AO12" s="520"/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</row>
    <row r="13" spans="1:57" ht="13.5" customHeight="1">
      <c r="B13" s="519" t="s">
        <v>861</v>
      </c>
      <c r="D13" s="528"/>
      <c r="F13" s="559">
        <f>ROUND(SUM(H13:AZ13),0)</f>
        <v>-521496612227</v>
      </c>
      <c r="G13" s="557"/>
      <c r="H13" s="520"/>
      <c r="I13" s="520"/>
      <c r="J13" s="520"/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520"/>
      <c r="W13" s="520"/>
      <c r="X13" s="520"/>
      <c r="Y13" s="520"/>
      <c r="Z13" s="520"/>
      <c r="AA13" s="520">
        <v>0</v>
      </c>
      <c r="AB13" s="520"/>
      <c r="AC13" s="520"/>
      <c r="AD13" s="520"/>
      <c r="AE13" s="520"/>
      <c r="AF13" s="520"/>
      <c r="AG13" s="520"/>
      <c r="AH13" s="520"/>
      <c r="AI13" s="520">
        <v>0</v>
      </c>
      <c r="AJ13" s="520"/>
      <c r="AK13" s="520"/>
      <c r="AL13" s="520"/>
      <c r="AM13" s="520"/>
      <c r="AN13" s="520"/>
      <c r="AO13" s="520"/>
      <c r="AP13" s="520"/>
      <c r="AQ13" s="520"/>
      <c r="AR13" s="520"/>
      <c r="AS13" s="520"/>
      <c r="AT13" s="520"/>
      <c r="AU13" s="520"/>
      <c r="AV13" s="520">
        <v>0</v>
      </c>
      <c r="AW13" s="520">
        <f>-'Supplementary CF 24'!M99</f>
        <v>-6046239731.4340792</v>
      </c>
      <c r="AX13" s="520"/>
      <c r="AY13" s="520">
        <f>-'Consol SoPL-OCI 24'!AG87</f>
        <v>-252352390589.87088</v>
      </c>
      <c r="AZ13" s="520">
        <f>-'Consol SoPL-OCI 24'!AG88</f>
        <v>-263097981905.69095</v>
      </c>
      <c r="BA13" s="520">
        <f>F13-SUM(H13:AZ13)</f>
        <v>-4.08935546875E-3</v>
      </c>
      <c r="BE13" s="519" t="s">
        <v>1139</v>
      </c>
    </row>
    <row r="14" spans="1:57">
      <c r="D14" s="528"/>
      <c r="F14" s="557"/>
      <c r="G14" s="557"/>
      <c r="H14" s="520"/>
      <c r="I14" s="520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  <c r="W14" s="520"/>
      <c r="X14" s="520"/>
      <c r="Y14" s="520"/>
      <c r="Z14" s="520"/>
      <c r="AA14" s="520"/>
      <c r="AB14" s="520"/>
      <c r="AC14" s="520"/>
      <c r="AD14" s="520"/>
      <c r="AE14" s="520"/>
      <c r="AF14" s="520"/>
      <c r="AG14" s="520"/>
      <c r="AH14" s="520"/>
      <c r="AI14" s="520"/>
      <c r="AJ14" s="520"/>
      <c r="AK14" s="520"/>
      <c r="AL14" s="520"/>
      <c r="AM14" s="520"/>
      <c r="AN14" s="520"/>
      <c r="AO14" s="520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E14" s="519" t="s">
        <v>113</v>
      </c>
    </row>
    <row r="15" spans="1:57">
      <c r="B15" s="519" t="s">
        <v>862</v>
      </c>
      <c r="D15" s="528"/>
      <c r="F15" s="559"/>
      <c r="G15" s="559"/>
      <c r="H15" s="520"/>
      <c r="I15" s="520"/>
      <c r="J15" s="520"/>
      <c r="K15" s="520"/>
      <c r="L15" s="520"/>
      <c r="M15" s="520"/>
      <c r="N15" s="520"/>
      <c r="O15" s="520"/>
      <c r="P15" s="520"/>
      <c r="Q15" s="520"/>
      <c r="R15" s="520"/>
      <c r="S15" s="520"/>
      <c r="T15" s="520"/>
      <c r="U15" s="520"/>
      <c r="V15" s="520"/>
      <c r="W15" s="520"/>
      <c r="X15" s="520"/>
      <c r="Y15" s="520"/>
      <c r="Z15" s="520"/>
      <c r="AA15" s="520"/>
      <c r="AB15" s="520"/>
      <c r="AC15" s="520"/>
      <c r="AD15" s="520"/>
      <c r="AE15" s="520"/>
      <c r="AF15" s="520"/>
      <c r="AG15" s="520"/>
      <c r="AH15" s="520"/>
      <c r="AI15" s="520"/>
      <c r="AJ15" s="520"/>
      <c r="AK15" s="520"/>
      <c r="AL15" s="520"/>
      <c r="AM15" s="520"/>
      <c r="AN15" s="520"/>
      <c r="AO15" s="520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E15" s="519" t="s">
        <v>1136</v>
      </c>
    </row>
    <row r="16" spans="1:57">
      <c r="C16" s="519" t="s">
        <v>863</v>
      </c>
      <c r="D16" s="528"/>
      <c r="F16" s="559">
        <f t="shared" ref="F16:F30" si="4">ROUND(SUM(H16:AZ16),0)</f>
        <v>18620446593</v>
      </c>
      <c r="G16" s="559"/>
      <c r="H16" s="520"/>
      <c r="I16" s="520"/>
      <c r="J16" s="520"/>
      <c r="K16" s="520"/>
      <c r="L16" s="520"/>
      <c r="M16" s="520"/>
      <c r="N16" s="520"/>
      <c r="O16" s="520"/>
      <c r="P16" s="520"/>
      <c r="Q16" s="520"/>
      <c r="R16" s="520"/>
      <c r="S16" s="520">
        <f>-'Supplementary CF 24'!K24</f>
        <v>18620446593.274998</v>
      </c>
      <c r="T16" s="520"/>
      <c r="U16" s="520"/>
      <c r="V16" s="520"/>
      <c r="W16" s="520"/>
      <c r="X16" s="520"/>
      <c r="Y16" s="520"/>
      <c r="Z16" s="520"/>
      <c r="AA16" s="520"/>
      <c r="AB16" s="520"/>
      <c r="AC16" s="520"/>
      <c r="AD16" s="520"/>
      <c r="AE16" s="520"/>
      <c r="AF16" s="520"/>
      <c r="AG16" s="520"/>
      <c r="AH16" s="520"/>
      <c r="AI16" s="520"/>
      <c r="AJ16" s="520"/>
      <c r="AK16" s="520"/>
      <c r="AL16" s="520"/>
      <c r="AM16" s="520"/>
      <c r="AN16" s="520"/>
      <c r="AO16" s="520"/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>
        <f t="shared" ref="BA16:BA31" si="5">F16-SUM(H16:AZ16)</f>
        <v>-0.27499771118164063</v>
      </c>
      <c r="BE16" s="519" t="s">
        <v>1137</v>
      </c>
    </row>
    <row r="17" spans="3:57">
      <c r="C17" s="519" t="s">
        <v>864</v>
      </c>
      <c r="D17" s="528"/>
      <c r="F17" s="559">
        <f t="shared" si="4"/>
        <v>0</v>
      </c>
      <c r="G17" s="559"/>
      <c r="H17" s="520"/>
      <c r="I17" s="520"/>
      <c r="J17" s="520"/>
      <c r="K17" s="520"/>
      <c r="L17" s="520"/>
      <c r="M17" s="520"/>
      <c r="N17" s="520"/>
      <c r="O17" s="520"/>
      <c r="P17" s="520"/>
      <c r="Q17" s="520"/>
      <c r="R17" s="520"/>
      <c r="S17" s="520">
        <f>-'Supplementary CF 24'!O25</f>
        <v>0</v>
      </c>
      <c r="T17" s="520"/>
      <c r="U17" s="520"/>
      <c r="V17" s="520"/>
      <c r="W17" s="520"/>
      <c r="X17" s="520"/>
      <c r="Y17" s="520"/>
      <c r="Z17" s="520"/>
      <c r="AA17" s="520"/>
      <c r="AB17" s="520"/>
      <c r="AC17" s="520"/>
      <c r="AD17" s="520"/>
      <c r="AE17" s="520"/>
      <c r="AF17" s="520"/>
      <c r="AG17" s="520"/>
      <c r="AH17" s="520"/>
      <c r="AI17" s="520"/>
      <c r="AJ17" s="520"/>
      <c r="AK17" s="520"/>
      <c r="AL17" s="520"/>
      <c r="AM17" s="520"/>
      <c r="AN17" s="520"/>
      <c r="AO17" s="520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>
        <f t="shared" si="5"/>
        <v>0</v>
      </c>
      <c r="BE17" s="519" t="s">
        <v>1138</v>
      </c>
    </row>
    <row r="18" spans="3:57">
      <c r="C18" s="519" t="s">
        <v>865</v>
      </c>
      <c r="D18" s="528"/>
      <c r="F18" s="559">
        <f t="shared" si="4"/>
        <v>9829951191</v>
      </c>
      <c r="G18" s="559"/>
      <c r="H18" s="520"/>
      <c r="I18" s="520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>
        <f>-'Supplementary CF 24'!F43</f>
        <v>9829951191</v>
      </c>
      <c r="V18" s="520"/>
      <c r="W18" s="520"/>
      <c r="X18" s="520"/>
      <c r="Y18" s="520"/>
      <c r="Z18" s="520"/>
      <c r="AA18" s="520"/>
      <c r="AB18" s="520"/>
      <c r="AC18" s="520"/>
      <c r="AD18" s="520"/>
      <c r="AE18" s="520"/>
      <c r="AF18" s="520"/>
      <c r="AG18" s="520"/>
      <c r="AH18" s="520"/>
      <c r="AI18" s="520"/>
      <c r="AJ18" s="520"/>
      <c r="AK18" s="520"/>
      <c r="AL18" s="520"/>
      <c r="AM18" s="520"/>
      <c r="AN18" s="520"/>
      <c r="AO18" s="520"/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>
        <f t="shared" si="5"/>
        <v>0</v>
      </c>
    </row>
    <row r="19" spans="3:57">
      <c r="C19" s="519" t="s">
        <v>866</v>
      </c>
      <c r="D19" s="528"/>
      <c r="F19" s="559">
        <f t="shared" si="4"/>
        <v>0</v>
      </c>
      <c r="G19" s="559"/>
      <c r="H19" s="520"/>
      <c r="I19" s="520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>
        <f>-'Supplementary CF 24'!F44</f>
        <v>0</v>
      </c>
      <c r="V19" s="520"/>
      <c r="W19" s="520"/>
      <c r="X19" s="520"/>
      <c r="Y19" s="520"/>
      <c r="Z19" s="520"/>
      <c r="AA19" s="520"/>
      <c r="AB19" s="520"/>
      <c r="AC19" s="520"/>
      <c r="AD19" s="520"/>
      <c r="AE19" s="520"/>
      <c r="AF19" s="520"/>
      <c r="AG19" s="520"/>
      <c r="AH19" s="520"/>
      <c r="AI19" s="520"/>
      <c r="AJ19" s="520"/>
      <c r="AK19" s="520"/>
      <c r="AL19" s="520"/>
      <c r="AM19" s="520"/>
      <c r="AN19" s="520"/>
      <c r="AO19" s="520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>
        <f t="shared" si="5"/>
        <v>0</v>
      </c>
    </row>
    <row r="20" spans="3:57">
      <c r="C20" s="519" t="s">
        <v>867</v>
      </c>
      <c r="D20" s="528"/>
      <c r="E20" s="520" t="s">
        <v>868</v>
      </c>
      <c r="F20" s="559">
        <f t="shared" si="4"/>
        <v>0</v>
      </c>
      <c r="G20" s="559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>
        <f>-'Supplementary CF 24'!F42</f>
        <v>0</v>
      </c>
      <c r="V20" s="520"/>
      <c r="W20" s="520"/>
      <c r="X20" s="520"/>
      <c r="Y20" s="520"/>
      <c r="Z20" s="520"/>
      <c r="AA20" s="520"/>
      <c r="AB20" s="520"/>
      <c r="AC20" s="520"/>
      <c r="AD20" s="520"/>
      <c r="AE20" s="520"/>
      <c r="AF20" s="520"/>
      <c r="AG20" s="520"/>
      <c r="AH20" s="520"/>
      <c r="AI20" s="520"/>
      <c r="AJ20" s="520"/>
      <c r="AK20" s="520"/>
      <c r="AL20" s="520"/>
      <c r="AM20" s="520"/>
      <c r="AN20" s="520"/>
      <c r="AO20" s="520">
        <f>'Supplementary CF 24'!F55</f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>
        <f t="shared" si="5"/>
        <v>0</v>
      </c>
    </row>
    <row r="21" spans="3:57">
      <c r="C21" s="519" t="s">
        <v>869</v>
      </c>
      <c r="D21" s="528"/>
      <c r="F21" s="559">
        <f t="shared" si="4"/>
        <v>8416579389</v>
      </c>
      <c r="G21" s="559"/>
      <c r="H21" s="520"/>
      <c r="I21" s="520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  <c r="U21" s="520"/>
      <c r="V21" s="520">
        <f>-'Supplementary CF 24'!M66</f>
        <v>8416579389.0023346</v>
      </c>
      <c r="W21" s="520"/>
      <c r="X21" s="520"/>
      <c r="Y21" s="520"/>
      <c r="Z21" s="520"/>
      <c r="AA21" s="520"/>
      <c r="AB21" s="520"/>
      <c r="AC21" s="520"/>
      <c r="AD21" s="520"/>
      <c r="AE21" s="520"/>
      <c r="AF21" s="520"/>
      <c r="AG21" s="520"/>
      <c r="AH21" s="520"/>
      <c r="AI21" s="520"/>
      <c r="AJ21" s="520"/>
      <c r="AK21" s="520"/>
      <c r="AL21" s="520"/>
      <c r="AM21" s="520"/>
      <c r="AN21" s="520"/>
      <c r="AO21" s="5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>
        <f t="shared" si="5"/>
        <v>-2.3345947265625E-3</v>
      </c>
    </row>
    <row r="22" spans="3:57">
      <c r="C22" s="519" t="s">
        <v>870</v>
      </c>
      <c r="D22" s="528"/>
      <c r="F22" s="559">
        <f t="shared" si="4"/>
        <v>0</v>
      </c>
      <c r="G22" s="559"/>
      <c r="H22" s="520"/>
      <c r="I22" s="520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  <c r="U22" s="520"/>
      <c r="V22" s="520">
        <f>-'Supplementary CF 24'!O67</f>
        <v>0</v>
      </c>
      <c r="W22" s="520"/>
      <c r="X22" s="520"/>
      <c r="Y22" s="520"/>
      <c r="Z22" s="520"/>
      <c r="AA22" s="520"/>
      <c r="AB22" s="520"/>
      <c r="AC22" s="520"/>
      <c r="AD22" s="520"/>
      <c r="AE22" s="520"/>
      <c r="AF22" s="520"/>
      <c r="AG22" s="520"/>
      <c r="AH22" s="520"/>
      <c r="AI22" s="520"/>
      <c r="AJ22" s="520"/>
      <c r="AK22" s="520"/>
      <c r="AL22" s="520"/>
      <c r="AM22" s="520"/>
      <c r="AN22" s="520"/>
      <c r="AO22" s="520"/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>
        <f t="shared" si="5"/>
        <v>0</v>
      </c>
    </row>
    <row r="23" spans="3:57">
      <c r="C23" s="519" t="s">
        <v>871</v>
      </c>
      <c r="D23" s="528"/>
      <c r="F23" s="559">
        <f t="shared" si="4"/>
        <v>0</v>
      </c>
      <c r="G23" s="559"/>
      <c r="H23" s="520"/>
      <c r="I23" s="520"/>
      <c r="J23" s="520"/>
      <c r="K23" s="520"/>
      <c r="L23" s="520"/>
      <c r="M23" s="520"/>
      <c r="N23" s="520"/>
      <c r="O23" s="520"/>
      <c r="P23" s="520"/>
      <c r="Q23" s="520"/>
      <c r="R23" s="520"/>
      <c r="S23" s="520">
        <f>-'Supplementary CF 24'!O23</f>
        <v>0</v>
      </c>
      <c r="T23" s="520"/>
      <c r="U23" s="520"/>
      <c r="V23" s="520"/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0"/>
      <c r="AH23" s="520"/>
      <c r="AI23" s="520"/>
      <c r="AJ23" s="520"/>
      <c r="AK23" s="520"/>
      <c r="AL23" s="520"/>
      <c r="AM23" s="520"/>
      <c r="AN23" s="520"/>
      <c r="AO23" s="5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>
        <f t="shared" si="5"/>
        <v>0</v>
      </c>
    </row>
    <row r="24" spans="3:57">
      <c r="C24" s="519" t="s">
        <v>872</v>
      </c>
      <c r="D24" s="528"/>
      <c r="F24" s="559">
        <f t="shared" si="4"/>
        <v>0</v>
      </c>
      <c r="G24" s="559"/>
      <c r="H24" s="520"/>
      <c r="I24" s="520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>
        <v>0</v>
      </c>
      <c r="AA24" s="520"/>
      <c r="AB24" s="520"/>
      <c r="AC24" s="520"/>
      <c r="AD24" s="520"/>
      <c r="AE24" s="520"/>
      <c r="AF24" s="520"/>
      <c r="AG24" s="520"/>
      <c r="AH24" s="520"/>
      <c r="AI24" s="520"/>
      <c r="AJ24" s="520"/>
      <c r="AK24" s="520"/>
      <c r="AL24" s="520"/>
      <c r="AM24" s="520"/>
      <c r="AN24" s="520"/>
      <c r="AO24" s="520"/>
      <c r="AP24" s="520">
        <f>-SUM('Supplementary CF 24'!O87:O88)</f>
        <v>0</v>
      </c>
      <c r="AQ24" s="520"/>
      <c r="AR24" s="520"/>
      <c r="AS24" s="520"/>
      <c r="AT24" s="520"/>
      <c r="AU24" s="520"/>
      <c r="AV24" s="520">
        <v>0</v>
      </c>
      <c r="AW24" s="520"/>
      <c r="AX24" s="520"/>
      <c r="AY24" s="520"/>
      <c r="AZ24" s="520"/>
      <c r="BA24" s="520">
        <f t="shared" si="5"/>
        <v>0</v>
      </c>
    </row>
    <row r="25" spans="3:57">
      <c r="C25" s="519" t="s">
        <v>873</v>
      </c>
      <c r="D25" s="528"/>
      <c r="F25" s="559">
        <f t="shared" si="4"/>
        <v>0</v>
      </c>
      <c r="G25" s="559"/>
      <c r="H25" s="520"/>
      <c r="I25" s="520">
        <f>ROUND(SUM('Supplementary CF 24'!O10:O11),0)</f>
        <v>0</v>
      </c>
      <c r="J25" s="520">
        <v>0</v>
      </c>
      <c r="K25" s="520"/>
      <c r="L25" s="520"/>
      <c r="M25" s="520"/>
      <c r="N25" s="520"/>
      <c r="O25" s="520"/>
      <c r="P25" s="520"/>
      <c r="Q25" s="520">
        <v>0</v>
      </c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0"/>
      <c r="AH25" s="520"/>
      <c r="AI25" s="520"/>
      <c r="AJ25" s="520"/>
      <c r="AK25" s="520"/>
      <c r="AL25" s="520"/>
      <c r="AM25" s="520"/>
      <c r="AN25" s="520"/>
      <c r="AO25" s="520"/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>
        <f t="shared" si="5"/>
        <v>0</v>
      </c>
    </row>
    <row r="26" spans="3:57">
      <c r="C26" s="519" t="s">
        <v>874</v>
      </c>
      <c r="D26" s="528"/>
      <c r="F26" s="559">
        <f t="shared" si="4"/>
        <v>0</v>
      </c>
      <c r="G26" s="559"/>
      <c r="H26" s="520"/>
      <c r="I26" s="520"/>
      <c r="J26" s="520"/>
      <c r="K26" s="520"/>
      <c r="L26" s="520"/>
      <c r="M26" s="520"/>
      <c r="N26" s="520"/>
      <c r="O26" s="520"/>
      <c r="P26" s="520"/>
      <c r="Q26" s="520"/>
      <c r="R26" s="520"/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0"/>
      <c r="AJ26" s="520"/>
      <c r="AK26" s="520"/>
      <c r="AL26" s="520"/>
      <c r="AM26" s="520"/>
      <c r="AN26" s="520"/>
      <c r="AO26" s="520"/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>
        <f t="shared" si="5"/>
        <v>0</v>
      </c>
      <c r="BB26" s="560"/>
    </row>
    <row r="27" spans="3:57">
      <c r="C27" s="519" t="s">
        <v>92</v>
      </c>
      <c r="D27" s="528"/>
      <c r="F27" s="559">
        <f t="shared" si="4"/>
        <v>0</v>
      </c>
      <c r="G27" s="559"/>
      <c r="H27" s="520"/>
      <c r="I27" s="520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0"/>
      <c r="AG27" s="520"/>
      <c r="AH27" s="520"/>
      <c r="AI27" s="520"/>
      <c r="AJ27" s="520"/>
      <c r="AK27" s="520"/>
      <c r="AL27" s="520"/>
      <c r="AM27" s="520"/>
      <c r="AN27" s="520"/>
      <c r="AO27" s="520"/>
      <c r="AP27" s="520"/>
      <c r="AQ27" s="520"/>
      <c r="AR27" s="520"/>
      <c r="AS27" s="520"/>
      <c r="AT27" s="520"/>
      <c r="AU27" s="520">
        <f>-AU10</f>
        <v>0</v>
      </c>
      <c r="AV27" s="520">
        <v>0</v>
      </c>
      <c r="AW27" s="520"/>
      <c r="AX27" s="520"/>
      <c r="AY27" s="520"/>
      <c r="AZ27" s="520"/>
      <c r="BA27" s="520">
        <f t="shared" si="5"/>
        <v>0</v>
      </c>
    </row>
    <row r="28" spans="3:57">
      <c r="C28" s="519" t="s">
        <v>875</v>
      </c>
      <c r="D28" s="528"/>
      <c r="F28" s="559">
        <f t="shared" si="4"/>
        <v>-8025553537</v>
      </c>
      <c r="G28" s="559"/>
      <c r="H28" s="520"/>
      <c r="I28" s="520"/>
      <c r="J28" s="520"/>
      <c r="K28" s="520"/>
      <c r="L28" s="520"/>
      <c r="M28" s="520"/>
      <c r="N28" s="520"/>
      <c r="O28" s="520"/>
      <c r="P28" s="520"/>
      <c r="Q28" s="520">
        <v>0</v>
      </c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20"/>
      <c r="AF28" s="520"/>
      <c r="AG28" s="520"/>
      <c r="AH28" s="520"/>
      <c r="AI28" s="520"/>
      <c r="AJ28" s="520"/>
      <c r="AK28" s="520"/>
      <c r="AL28" s="520"/>
      <c r="AM28" s="520"/>
      <c r="AN28" s="520"/>
      <c r="AO28" s="520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>
        <f>'Consol SoPL-OCI 24'!AG35</f>
        <v>-8025553537.3000011</v>
      </c>
      <c r="AZ28" s="520"/>
      <c r="BA28" s="520">
        <f t="shared" si="5"/>
        <v>0.30000114440917969</v>
      </c>
    </row>
    <row r="29" spans="3:57" ht="12.65" customHeight="1">
      <c r="C29" s="519" t="s">
        <v>876</v>
      </c>
      <c r="D29" s="528"/>
      <c r="F29" s="559">
        <f t="shared" si="4"/>
        <v>12803154683</v>
      </c>
      <c r="G29" s="559"/>
      <c r="H29" s="520"/>
      <c r="I29" s="520"/>
      <c r="J29" s="520"/>
      <c r="K29" s="520"/>
      <c r="L29" s="520"/>
      <c r="M29" s="520"/>
      <c r="N29" s="520"/>
      <c r="O29" s="520"/>
      <c r="P29" s="520"/>
      <c r="Q29" s="520"/>
      <c r="R29" s="520"/>
      <c r="S29" s="520"/>
      <c r="T29" s="520"/>
      <c r="U29" s="520"/>
      <c r="V29" s="520"/>
      <c r="W29" s="520"/>
      <c r="X29" s="520"/>
      <c r="Y29" s="520"/>
      <c r="Z29" s="520"/>
      <c r="AA29" s="520"/>
      <c r="AB29" s="520"/>
      <c r="AC29" s="520"/>
      <c r="AD29" s="520"/>
      <c r="AE29" s="520"/>
      <c r="AF29" s="520"/>
      <c r="AG29" s="520"/>
      <c r="AH29" s="520"/>
      <c r="AI29" s="520"/>
      <c r="AJ29" s="520"/>
      <c r="AK29" s="520"/>
      <c r="AL29" s="520"/>
      <c r="AM29" s="520"/>
      <c r="AN29" s="520"/>
      <c r="AO29" s="520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>
        <f>'Consol SoPL-OCI 24'!AG36</f>
        <v>12803154682.65</v>
      </c>
      <c r="AZ29" s="520"/>
      <c r="BA29" s="520">
        <f t="shared" si="5"/>
        <v>0.35000038146972656</v>
      </c>
    </row>
    <row r="30" spans="3:57" ht="12.65" customHeight="1">
      <c r="C30" s="519" t="s">
        <v>877</v>
      </c>
      <c r="D30" s="528"/>
      <c r="F30" s="559">
        <f t="shared" si="4"/>
        <v>9784551649</v>
      </c>
      <c r="G30" s="559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0"/>
      <c r="AH30" s="520"/>
      <c r="AI30" s="520"/>
      <c r="AJ30" s="520"/>
      <c r="AK30" s="520"/>
      <c r="AL30" s="520"/>
      <c r="AM30" s="520"/>
      <c r="AN30" s="520"/>
      <c r="AO30" s="520">
        <f>'Supplementary CF 24'!M53</f>
        <v>9784551648.7634449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>
        <f t="shared" si="5"/>
        <v>0.23655509948730469</v>
      </c>
    </row>
    <row r="31" spans="3:57">
      <c r="D31" s="528"/>
      <c r="F31" s="561"/>
      <c r="G31" s="562"/>
      <c r="H31" s="520"/>
      <c r="I31" s="520"/>
      <c r="J31" s="520"/>
      <c r="K31" s="520"/>
      <c r="L31" s="520"/>
      <c r="M31" s="520"/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  <c r="Y31" s="520"/>
      <c r="Z31" s="520"/>
      <c r="AA31" s="520"/>
      <c r="AB31" s="520"/>
      <c r="AC31" s="520"/>
      <c r="AD31" s="520"/>
      <c r="AE31" s="520"/>
      <c r="AF31" s="520"/>
      <c r="AG31" s="520"/>
      <c r="AH31" s="520"/>
      <c r="AI31" s="520"/>
      <c r="AJ31" s="520"/>
      <c r="AK31" s="520"/>
      <c r="AL31" s="520"/>
      <c r="AM31" s="520"/>
      <c r="AN31" s="520"/>
      <c r="AO31" s="520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>
        <f t="shared" si="5"/>
        <v>0</v>
      </c>
    </row>
    <row r="32" spans="3:57">
      <c r="D32" s="528"/>
      <c r="F32" s="557">
        <f>SUM(F13:F31)</f>
        <v>-470067482259</v>
      </c>
      <c r="G32" s="557"/>
      <c r="H32" s="520"/>
      <c r="I32" s="520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  <c r="Y32" s="520"/>
      <c r="Z32" s="520"/>
      <c r="AA32" s="520"/>
      <c r="AB32" s="520"/>
      <c r="AC32" s="520"/>
      <c r="AD32" s="520"/>
      <c r="AE32" s="520"/>
      <c r="AF32" s="520"/>
      <c r="AG32" s="520"/>
      <c r="AH32" s="520"/>
      <c r="AI32" s="520"/>
      <c r="AJ32" s="520"/>
      <c r="AK32" s="520"/>
      <c r="AL32" s="520"/>
      <c r="AM32" s="520"/>
      <c r="AN32" s="520"/>
      <c r="AO32" s="52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>
        <v>0</v>
      </c>
    </row>
    <row r="33" spans="2:53">
      <c r="B33" s="519" t="s">
        <v>878</v>
      </c>
      <c r="D33" s="528"/>
      <c r="F33" s="559"/>
      <c r="G33" s="559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0"/>
      <c r="AH33" s="520"/>
      <c r="AI33" s="520"/>
      <c r="AJ33" s="520"/>
      <c r="AK33" s="520"/>
      <c r="AL33" s="520"/>
      <c r="AM33" s="520"/>
      <c r="AN33" s="520"/>
      <c r="AO33" s="520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>
        <f t="shared" ref="BA33:BA44" si="6">F33-SUM(H33:AZ33)</f>
        <v>0</v>
      </c>
    </row>
    <row r="34" spans="2:53">
      <c r="C34" s="519" t="s">
        <v>827</v>
      </c>
      <c r="D34" s="528"/>
      <c r="F34" s="559">
        <f t="shared" ref="F34:F43" si="7">ROUND(SUM(H34:AZ34),0)</f>
        <v>78588308516</v>
      </c>
      <c r="G34" s="559"/>
      <c r="H34" s="520"/>
      <c r="I34" s="520">
        <f>-I10-I25</f>
        <v>78588308516</v>
      </c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  <c r="Y34" s="520"/>
      <c r="Z34" s="520"/>
      <c r="AA34" s="520"/>
      <c r="AB34" s="520"/>
      <c r="AC34" s="520"/>
      <c r="AD34" s="520"/>
      <c r="AE34" s="520"/>
      <c r="AF34" s="520"/>
      <c r="AG34" s="520"/>
      <c r="AH34" s="520"/>
      <c r="AI34" s="520"/>
      <c r="AJ34" s="520"/>
      <c r="AK34" s="520"/>
      <c r="AL34" s="520"/>
      <c r="AM34" s="520"/>
      <c r="AN34" s="520"/>
      <c r="AO34" s="520"/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>
        <f t="shared" si="6"/>
        <v>0</v>
      </c>
    </row>
    <row r="35" spans="2:53">
      <c r="C35" s="519" t="s">
        <v>879</v>
      </c>
      <c r="D35" s="528"/>
      <c r="F35" s="559">
        <f t="shared" si="7"/>
        <v>-21337108766</v>
      </c>
      <c r="G35" s="559"/>
      <c r="H35" s="520"/>
      <c r="I35" s="520"/>
      <c r="J35" s="520"/>
      <c r="K35" s="520"/>
      <c r="L35" s="520">
        <f>-L10-L59</f>
        <v>-21505128661</v>
      </c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>
        <f>-W10</f>
        <v>168019899</v>
      </c>
      <c r="X35" s="520"/>
      <c r="Y35" s="520"/>
      <c r="Z35" s="520">
        <v>-4</v>
      </c>
      <c r="AA35" s="520"/>
      <c r="AB35" s="520"/>
      <c r="AC35" s="520"/>
      <c r="AD35" s="520"/>
      <c r="AE35" s="520"/>
      <c r="AF35" s="520"/>
      <c r="AG35" s="520"/>
      <c r="AH35" s="520"/>
      <c r="AI35" s="520"/>
      <c r="AJ35" s="520"/>
      <c r="AK35" s="520"/>
      <c r="AL35" s="520"/>
      <c r="AM35" s="520"/>
      <c r="AN35" s="520"/>
      <c r="AO35" s="520"/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>
        <f t="shared" si="6"/>
        <v>0</v>
      </c>
    </row>
    <row r="36" spans="2:53">
      <c r="C36" s="519" t="s">
        <v>839</v>
      </c>
      <c r="D36" s="528"/>
      <c r="F36" s="559">
        <f t="shared" si="7"/>
        <v>23951297446</v>
      </c>
      <c r="G36" s="559"/>
      <c r="H36" s="520"/>
      <c r="I36" s="520"/>
      <c r="J36" s="520"/>
      <c r="K36" s="520"/>
      <c r="L36" s="520"/>
      <c r="M36" s="520">
        <f>-M10</f>
        <v>1502193571</v>
      </c>
      <c r="N36" s="520"/>
      <c r="O36" s="520"/>
      <c r="P36" s="520">
        <f>-P10</f>
        <v>22449103875</v>
      </c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520"/>
      <c r="AF36" s="520"/>
      <c r="AG36" s="520"/>
      <c r="AH36" s="520"/>
      <c r="AI36" s="520"/>
      <c r="AJ36" s="520"/>
      <c r="AK36" s="520"/>
      <c r="AL36" s="520"/>
      <c r="AM36" s="520"/>
      <c r="AN36" s="520"/>
      <c r="AO36" s="520"/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>
        <f t="shared" si="6"/>
        <v>0</v>
      </c>
    </row>
    <row r="37" spans="2:53">
      <c r="C37" s="519" t="s">
        <v>163</v>
      </c>
      <c r="D37" s="528"/>
      <c r="F37" s="559">
        <f t="shared" si="7"/>
        <v>-71899046711</v>
      </c>
      <c r="G37" s="559"/>
      <c r="H37" s="520"/>
      <c r="I37" s="520"/>
      <c r="J37" s="520"/>
      <c r="K37" s="520"/>
      <c r="L37" s="520"/>
      <c r="M37" s="520"/>
      <c r="N37" s="520"/>
      <c r="O37" s="520"/>
      <c r="P37" s="520"/>
      <c r="Q37" s="520"/>
      <c r="R37" s="520"/>
      <c r="S37" s="520"/>
      <c r="T37" s="520"/>
      <c r="U37" s="520"/>
      <c r="V37" s="520"/>
      <c r="W37" s="520"/>
      <c r="X37" s="520">
        <f>-X10</f>
        <v>-71899046711</v>
      </c>
      <c r="Y37" s="520"/>
      <c r="Z37" s="520"/>
      <c r="AA37" s="520"/>
      <c r="AB37" s="520"/>
      <c r="AC37" s="520"/>
      <c r="AD37" s="520"/>
      <c r="AE37" s="520"/>
      <c r="AF37" s="520"/>
      <c r="AG37" s="520"/>
      <c r="AH37" s="520"/>
      <c r="AI37" s="520"/>
      <c r="AJ37" s="520"/>
      <c r="AK37" s="520"/>
      <c r="AL37" s="520"/>
      <c r="AM37" s="520"/>
      <c r="AN37" s="520"/>
      <c r="AO37" s="520"/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>
        <f t="shared" si="6"/>
        <v>0</v>
      </c>
    </row>
    <row r="38" spans="2:53">
      <c r="C38" s="519" t="s">
        <v>880</v>
      </c>
      <c r="D38" s="528"/>
      <c r="F38" s="559">
        <f t="shared" si="7"/>
        <v>42709326002</v>
      </c>
      <c r="G38" s="559"/>
      <c r="H38" s="520"/>
      <c r="I38" s="520"/>
      <c r="J38" s="520"/>
      <c r="K38" s="520"/>
      <c r="L38" s="520"/>
      <c r="M38" s="520"/>
      <c r="N38" s="520"/>
      <c r="O38" s="520"/>
      <c r="P38" s="520"/>
      <c r="Q38" s="520"/>
      <c r="R38" s="520"/>
      <c r="S38" s="520">
        <f>-'Supplementary CF 24'!O32</f>
        <v>0</v>
      </c>
      <c r="T38" s="520"/>
      <c r="U38" s="520"/>
      <c r="V38" s="520"/>
      <c r="W38" s="520"/>
      <c r="X38" s="520">
        <v>0</v>
      </c>
      <c r="Y38" s="520"/>
      <c r="Z38" s="520"/>
      <c r="AA38" s="520"/>
      <c r="AB38" s="520"/>
      <c r="AC38" s="520">
        <f>-AC10-AC57</f>
        <v>42709326002</v>
      </c>
      <c r="AD38" s="520"/>
      <c r="AE38" s="520"/>
      <c r="AF38" s="520"/>
      <c r="AG38" s="520"/>
      <c r="AH38" s="520"/>
      <c r="AI38" s="520"/>
      <c r="AJ38" s="520"/>
      <c r="AK38" s="520"/>
      <c r="AL38" s="520"/>
      <c r="AM38" s="520"/>
      <c r="AN38" s="520"/>
      <c r="AO38" s="520"/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>
        <f t="shared" si="6"/>
        <v>0</v>
      </c>
    </row>
    <row r="39" spans="2:53">
      <c r="C39" s="519" t="s">
        <v>881</v>
      </c>
      <c r="D39" s="528"/>
      <c r="F39" s="559">
        <f t="shared" si="7"/>
        <v>-2400612242</v>
      </c>
      <c r="G39" s="559"/>
      <c r="H39" s="520"/>
      <c r="I39" s="520"/>
      <c r="J39" s="520"/>
      <c r="K39" s="520"/>
      <c r="L39" s="520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  <c r="Y39" s="520"/>
      <c r="Z39" s="520"/>
      <c r="AA39" s="520"/>
      <c r="AB39" s="520"/>
      <c r="AC39" s="520"/>
      <c r="AD39" s="520"/>
      <c r="AE39" s="520">
        <f>-AE10</f>
        <v>-2400612242</v>
      </c>
      <c r="AF39" s="520"/>
      <c r="AG39" s="520"/>
      <c r="AH39" s="520"/>
      <c r="AI39" s="520"/>
      <c r="AJ39" s="520"/>
      <c r="AK39" s="520"/>
      <c r="AL39" s="520"/>
      <c r="AM39" s="520"/>
      <c r="AN39" s="520"/>
      <c r="AO39" s="520"/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>
        <f t="shared" si="6"/>
        <v>0</v>
      </c>
    </row>
    <row r="40" spans="2:53">
      <c r="C40" s="519" t="s">
        <v>73</v>
      </c>
      <c r="D40" s="528"/>
      <c r="F40" s="559">
        <f t="shared" si="7"/>
        <v>22024685439</v>
      </c>
      <c r="G40" s="559"/>
      <c r="H40" s="520"/>
      <c r="I40" s="520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>
        <f>-AE11</f>
        <v>0</v>
      </c>
      <c r="AF40" s="520"/>
      <c r="AG40" s="520"/>
      <c r="AH40" s="520"/>
      <c r="AI40" s="520"/>
      <c r="AJ40" s="520"/>
      <c r="AK40" s="520">
        <f>-AK10</f>
        <v>22024685439</v>
      </c>
      <c r="AL40" s="520"/>
      <c r="AM40" s="520"/>
      <c r="AN40" s="520"/>
      <c r="AO40" s="520"/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>
        <f t="shared" si="6"/>
        <v>0</v>
      </c>
    </row>
    <row r="41" spans="2:53">
      <c r="C41" s="519" t="s">
        <v>882</v>
      </c>
      <c r="D41" s="521"/>
      <c r="F41" s="559">
        <f t="shared" si="7"/>
        <v>-31370782529</v>
      </c>
      <c r="G41" s="559"/>
      <c r="H41" s="520"/>
      <c r="I41" s="520"/>
      <c r="J41" s="520"/>
      <c r="K41" s="520"/>
      <c r="L41" s="520"/>
      <c r="M41" s="520"/>
      <c r="N41" s="520"/>
      <c r="O41" s="520"/>
      <c r="P41" s="520"/>
      <c r="Q41" s="520"/>
      <c r="R41" s="520"/>
      <c r="S41" s="520"/>
      <c r="T41" s="520"/>
      <c r="U41" s="520"/>
      <c r="V41" s="520"/>
      <c r="W41" s="520"/>
      <c r="X41" s="520"/>
      <c r="Y41" s="520"/>
      <c r="Z41" s="520"/>
      <c r="AA41" s="520"/>
      <c r="AB41" s="520"/>
      <c r="AC41" s="520"/>
      <c r="AD41" s="520"/>
      <c r="AE41" s="520"/>
      <c r="AF41" s="520"/>
      <c r="AG41" s="520"/>
      <c r="AH41" s="520"/>
      <c r="AI41" s="520"/>
      <c r="AJ41" s="520">
        <f>-AJ10</f>
        <v>-31370782529</v>
      </c>
      <c r="AK41" s="520"/>
      <c r="AL41" s="520"/>
      <c r="AM41" s="520"/>
      <c r="AN41" s="520"/>
      <c r="AO41" s="520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>
        <f t="shared" si="6"/>
        <v>0</v>
      </c>
    </row>
    <row r="42" spans="2:53">
      <c r="C42" s="519" t="s">
        <v>883</v>
      </c>
      <c r="D42" s="521"/>
      <c r="F42" s="559">
        <f t="shared" si="7"/>
        <v>-5133042690</v>
      </c>
      <c r="G42" s="559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0"/>
      <c r="T42" s="520"/>
      <c r="U42" s="520"/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>
        <f>-AI10-AI13</f>
        <v>-5133042690</v>
      </c>
      <c r="AJ42" s="520"/>
      <c r="AK42" s="520"/>
      <c r="AL42" s="520"/>
      <c r="AM42" s="520"/>
      <c r="AN42" s="520"/>
      <c r="AO42" s="520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>
        <f t="shared" si="6"/>
        <v>0</v>
      </c>
    </row>
    <row r="43" spans="2:53">
      <c r="C43" s="519" t="s">
        <v>83</v>
      </c>
      <c r="D43" s="521"/>
      <c r="F43" s="559">
        <f t="shared" si="7"/>
        <v>1248251020</v>
      </c>
      <c r="G43" s="559"/>
      <c r="H43" s="520"/>
      <c r="I43" s="520"/>
      <c r="J43" s="520"/>
      <c r="K43" s="520"/>
      <c r="L43" s="520"/>
      <c r="M43" s="520"/>
      <c r="N43" s="520"/>
      <c r="O43" s="520"/>
      <c r="P43" s="520"/>
      <c r="Q43" s="520"/>
      <c r="R43" s="520"/>
      <c r="S43" s="520"/>
      <c r="T43" s="520"/>
      <c r="U43" s="520"/>
      <c r="V43" s="520"/>
      <c r="W43" s="520"/>
      <c r="X43" s="520"/>
      <c r="Y43" s="520"/>
      <c r="Z43" s="520"/>
      <c r="AA43" s="520"/>
      <c r="AB43" s="520"/>
      <c r="AC43" s="520"/>
      <c r="AD43" s="520">
        <f>-AD10</f>
        <v>1248251020</v>
      </c>
      <c r="AE43" s="520"/>
      <c r="AF43" s="520"/>
      <c r="AG43" s="520"/>
      <c r="AH43" s="520"/>
      <c r="AI43" s="520"/>
      <c r="AJ43" s="520"/>
      <c r="AK43" s="520"/>
      <c r="AL43" s="520"/>
      <c r="AM43" s="520"/>
      <c r="AN43" s="520"/>
      <c r="AO43" s="520"/>
      <c r="AP43" s="520"/>
      <c r="AQ43" s="520"/>
      <c r="AR43" s="520">
        <f>-AR10</f>
        <v>0</v>
      </c>
      <c r="AS43" s="520"/>
      <c r="AT43" s="520"/>
      <c r="AU43" s="520"/>
      <c r="AV43" s="520"/>
      <c r="AW43" s="520"/>
      <c r="AX43" s="520"/>
      <c r="AY43" s="520"/>
      <c r="AZ43" s="520"/>
      <c r="BA43" s="520">
        <f t="shared" si="6"/>
        <v>0</v>
      </c>
    </row>
    <row r="44" spans="2:53">
      <c r="D44" s="521"/>
      <c r="F44" s="559"/>
      <c r="G44" s="559"/>
      <c r="H44" s="520"/>
      <c r="I44" s="520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  <c r="Y44" s="520"/>
      <c r="Z44" s="520"/>
      <c r="AA44" s="520"/>
      <c r="AB44" s="520"/>
      <c r="AC44" s="520"/>
      <c r="AD44" s="520"/>
      <c r="AE44" s="520"/>
      <c r="AF44" s="520"/>
      <c r="AG44" s="520"/>
      <c r="AH44" s="520"/>
      <c r="AI44" s="520"/>
      <c r="AJ44" s="520"/>
      <c r="AK44" s="520"/>
      <c r="AL44" s="520"/>
      <c r="AM44" s="520"/>
      <c r="AN44" s="520"/>
      <c r="AO44" s="520"/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>
        <f t="shared" si="6"/>
        <v>0</v>
      </c>
    </row>
    <row r="45" spans="2:53">
      <c r="D45" s="521"/>
      <c r="F45" s="564">
        <f>SUM(F32:F44)</f>
        <v>-433686206774</v>
      </c>
      <c r="G45" s="565"/>
      <c r="H45" s="520"/>
      <c r="I45" s="520"/>
      <c r="J45" s="520"/>
      <c r="K45" s="520"/>
      <c r="L45" s="520"/>
      <c r="M45" s="520"/>
      <c r="N45" s="520"/>
      <c r="O45" s="520"/>
      <c r="P45" s="520"/>
      <c r="Q45" s="520"/>
      <c r="R45" s="520"/>
      <c r="S45" s="520"/>
      <c r="T45" s="520"/>
      <c r="U45" s="520"/>
      <c r="V45" s="520"/>
      <c r="W45" s="520"/>
      <c r="X45" s="520"/>
      <c r="Y45" s="520"/>
      <c r="Z45" s="520"/>
      <c r="AA45" s="520"/>
      <c r="AB45" s="520"/>
      <c r="AC45" s="520"/>
      <c r="AD45" s="520"/>
      <c r="AE45" s="520"/>
      <c r="AF45" s="520"/>
      <c r="AG45" s="520"/>
      <c r="AH45" s="520"/>
      <c r="AI45" s="520"/>
      <c r="AJ45" s="520"/>
      <c r="AK45" s="520"/>
      <c r="AL45" s="520"/>
      <c r="AM45" s="520"/>
      <c r="AN45" s="520"/>
      <c r="AO45" s="520"/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</row>
    <row r="46" spans="2:53">
      <c r="D46" s="521"/>
      <c r="F46" s="559">
        <v>0</v>
      </c>
      <c r="G46" s="559"/>
      <c r="H46" s="520"/>
      <c r="I46" s="520"/>
      <c r="J46" s="520"/>
      <c r="K46" s="520"/>
      <c r="L46" s="520"/>
      <c r="M46" s="520"/>
      <c r="N46" s="520"/>
      <c r="O46" s="520"/>
      <c r="P46" s="520"/>
      <c r="Q46" s="520"/>
      <c r="R46" s="520"/>
      <c r="S46" s="520"/>
      <c r="T46" s="520"/>
      <c r="U46" s="520"/>
      <c r="V46" s="520"/>
      <c r="W46" s="520"/>
      <c r="X46" s="520"/>
      <c r="Y46" s="520"/>
      <c r="Z46" s="520"/>
      <c r="AA46" s="520"/>
      <c r="AB46" s="520"/>
      <c r="AC46" s="520"/>
      <c r="AD46" s="520"/>
      <c r="AE46" s="520"/>
      <c r="AF46" s="520"/>
      <c r="AG46" s="520"/>
      <c r="AH46" s="520"/>
      <c r="AI46" s="520"/>
      <c r="AJ46" s="520"/>
      <c r="AK46" s="520"/>
      <c r="AL46" s="520"/>
      <c r="AM46" s="520"/>
      <c r="AN46" s="520"/>
      <c r="AO46" s="520"/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</row>
    <row r="47" spans="2:53">
      <c r="B47" s="519" t="s">
        <v>884</v>
      </c>
      <c r="D47" s="521"/>
      <c r="F47" s="559">
        <f t="shared" ref="F47:F51" si="8">ROUND(SUM(H47:AZ47),0)</f>
        <v>0</v>
      </c>
      <c r="G47" s="559"/>
      <c r="H47" s="520"/>
      <c r="I47" s="520"/>
      <c r="J47" s="520"/>
      <c r="K47" s="520"/>
      <c r="L47" s="520"/>
      <c r="M47" s="520"/>
      <c r="N47" s="520"/>
      <c r="O47" s="520"/>
      <c r="P47" s="520"/>
      <c r="Q47" s="520"/>
      <c r="R47" s="520"/>
      <c r="S47" s="520"/>
      <c r="T47" s="520"/>
      <c r="U47" s="520"/>
      <c r="V47" s="520"/>
      <c r="W47" s="520"/>
      <c r="X47" s="520"/>
      <c r="Y47" s="520"/>
      <c r="Z47" s="520"/>
      <c r="AA47" s="520"/>
      <c r="AB47" s="520"/>
      <c r="AC47" s="520"/>
      <c r="AD47" s="520"/>
      <c r="AE47" s="520"/>
      <c r="AF47" s="520"/>
      <c r="AG47" s="520"/>
      <c r="AH47" s="520"/>
      <c r="AI47" s="520"/>
      <c r="AJ47" s="520"/>
      <c r="AK47" s="520"/>
      <c r="AL47" s="520"/>
      <c r="AM47" s="520"/>
      <c r="AN47" s="520"/>
      <c r="AO47" s="520"/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>
        <f>F47-SUM(H47:AZ47)</f>
        <v>0</v>
      </c>
    </row>
    <row r="48" spans="2:53">
      <c r="B48" s="519" t="s">
        <v>885</v>
      </c>
      <c r="D48" s="521"/>
      <c r="F48" s="559">
        <f t="shared" si="8"/>
        <v>12768739780</v>
      </c>
      <c r="G48" s="559"/>
      <c r="H48" s="520"/>
      <c r="I48" s="520"/>
      <c r="J48" s="520">
        <f>-J10</f>
        <v>10612562590</v>
      </c>
      <c r="K48" s="520"/>
      <c r="L48" s="520"/>
      <c r="M48" s="520"/>
      <c r="N48" s="520"/>
      <c r="O48" s="520">
        <v>0</v>
      </c>
      <c r="P48" s="520">
        <v>0</v>
      </c>
      <c r="Q48" s="520"/>
      <c r="R48" s="520">
        <f>-R10</f>
        <v>2156177190</v>
      </c>
      <c r="S48" s="520"/>
      <c r="T48" s="520"/>
      <c r="U48" s="520"/>
      <c r="V48" s="520"/>
      <c r="W48" s="520"/>
      <c r="X48" s="520"/>
      <c r="Y48" s="520"/>
      <c r="Z48" s="520"/>
      <c r="AA48" s="520"/>
      <c r="AB48" s="520"/>
      <c r="AC48" s="520"/>
      <c r="AD48" s="520"/>
      <c r="AE48" s="520"/>
      <c r="AF48" s="520"/>
      <c r="AG48" s="520"/>
      <c r="AH48" s="520"/>
      <c r="AI48" s="520">
        <v>0</v>
      </c>
      <c r="AJ48" s="520"/>
      <c r="AK48" s="520"/>
      <c r="AL48" s="520"/>
      <c r="AM48" s="520"/>
      <c r="AN48" s="520"/>
      <c r="AO48" s="520"/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>
        <f>F48-SUM(H48:AZ48)</f>
        <v>0</v>
      </c>
    </row>
    <row r="49" spans="1:53">
      <c r="B49" s="519" t="s">
        <v>886</v>
      </c>
      <c r="D49" s="521"/>
      <c r="F49" s="559">
        <f t="shared" si="8"/>
        <v>-3643487043</v>
      </c>
      <c r="G49" s="559"/>
      <c r="H49" s="520"/>
      <c r="I49" s="520"/>
      <c r="J49" s="520"/>
      <c r="K49" s="520"/>
      <c r="L49" s="520"/>
      <c r="M49" s="520"/>
      <c r="N49" s="520"/>
      <c r="O49" s="520">
        <f>-O10</f>
        <v>-3643487043</v>
      </c>
      <c r="P49" s="520"/>
      <c r="Q49" s="520"/>
      <c r="R49" s="520"/>
      <c r="S49" s="520"/>
      <c r="T49" s="520"/>
      <c r="U49" s="520"/>
      <c r="V49" s="520"/>
      <c r="W49" s="520"/>
      <c r="X49" s="520"/>
      <c r="Y49" s="520"/>
      <c r="Z49" s="520"/>
      <c r="AA49" s="520"/>
      <c r="AB49" s="520"/>
      <c r="AC49" s="520"/>
      <c r="AD49" s="520"/>
      <c r="AE49" s="520"/>
      <c r="AF49" s="520"/>
      <c r="AG49" s="520"/>
      <c r="AH49" s="520"/>
      <c r="AI49" s="520">
        <v>0</v>
      </c>
      <c r="AJ49" s="520"/>
      <c r="AK49" s="520"/>
      <c r="AL49" s="520"/>
      <c r="AM49" s="520"/>
      <c r="AN49" s="520"/>
      <c r="AO49" s="520"/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>
        <f>F49-SUM(H49:AZ49)</f>
        <v>0</v>
      </c>
    </row>
    <row r="50" spans="1:53">
      <c r="B50" s="519" t="s">
        <v>887</v>
      </c>
      <c r="D50" s="521"/>
      <c r="F50" s="559">
        <f>ROUND(SUM(H50:AZ50),0)</f>
        <v>8025553537</v>
      </c>
      <c r="G50" s="559"/>
      <c r="H50" s="520"/>
      <c r="I50" s="520"/>
      <c r="J50" s="520"/>
      <c r="K50" s="520"/>
      <c r="L50" s="520"/>
      <c r="M50" s="520"/>
      <c r="N50" s="520"/>
      <c r="O50" s="520"/>
      <c r="P50" s="520"/>
      <c r="Q50" s="520"/>
      <c r="R50" s="520"/>
      <c r="S50" s="520"/>
      <c r="T50" s="520"/>
      <c r="U50" s="520"/>
      <c r="V50" s="520"/>
      <c r="W50" s="520"/>
      <c r="X50" s="520"/>
      <c r="Y50" s="520"/>
      <c r="Z50" s="520"/>
      <c r="AA50" s="520"/>
      <c r="AB50" s="520"/>
      <c r="AC50" s="520"/>
      <c r="AD50" s="520"/>
      <c r="AE50" s="520"/>
      <c r="AF50" s="520"/>
      <c r="AG50" s="520"/>
      <c r="AH50" s="520"/>
      <c r="AI50" s="520"/>
      <c r="AJ50" s="520"/>
      <c r="AK50" s="520"/>
      <c r="AL50" s="520"/>
      <c r="AM50" s="520"/>
      <c r="AN50" s="520"/>
      <c r="AO50" s="520"/>
      <c r="AP50" s="520"/>
      <c r="AQ50" s="520"/>
      <c r="AR50" s="520"/>
      <c r="AS50" s="520"/>
      <c r="AT50" s="520"/>
      <c r="AU50" s="520"/>
      <c r="AV50" s="520"/>
      <c r="AW50" s="520"/>
      <c r="AX50" s="520"/>
      <c r="AY50" s="520">
        <f>-AY28</f>
        <v>8025553537.3000011</v>
      </c>
      <c r="AZ50" s="520"/>
      <c r="BA50" s="520">
        <f>F50-SUM(H50:AZ50)</f>
        <v>-0.30000114440917969</v>
      </c>
    </row>
    <row r="51" spans="1:53">
      <c r="B51" s="519" t="s">
        <v>888</v>
      </c>
      <c r="D51" s="521"/>
      <c r="F51" s="559">
        <f t="shared" si="8"/>
        <v>-12803154683</v>
      </c>
      <c r="G51" s="559"/>
      <c r="H51" s="520"/>
      <c r="I51" s="520"/>
      <c r="J51" s="520"/>
      <c r="K51" s="520"/>
      <c r="L51" s="520"/>
      <c r="M51" s="520"/>
      <c r="N51" s="520"/>
      <c r="O51" s="520"/>
      <c r="P51" s="520"/>
      <c r="Q51" s="520"/>
      <c r="R51" s="520"/>
      <c r="S51" s="520"/>
      <c r="T51" s="520"/>
      <c r="U51" s="520"/>
      <c r="V51" s="520"/>
      <c r="W51" s="520"/>
      <c r="X51" s="520"/>
      <c r="Y51" s="520"/>
      <c r="Z51" s="520"/>
      <c r="AA51" s="520"/>
      <c r="AB51" s="520"/>
      <c r="AC51" s="520"/>
      <c r="AD51" s="520"/>
      <c r="AE51" s="520"/>
      <c r="AF51" s="520"/>
      <c r="AG51" s="520"/>
      <c r="AH51" s="520"/>
      <c r="AI51" s="520"/>
      <c r="AJ51" s="520"/>
      <c r="AK51" s="520"/>
      <c r="AL51" s="520"/>
      <c r="AM51" s="520"/>
      <c r="AN51" s="520"/>
      <c r="AO51" s="520"/>
      <c r="AP51" s="520"/>
      <c r="AQ51" s="520"/>
      <c r="AR51" s="520"/>
      <c r="AS51" s="520"/>
      <c r="AT51" s="520"/>
      <c r="AU51" s="520"/>
      <c r="AV51" s="520"/>
      <c r="AW51" s="520"/>
      <c r="AX51" s="520"/>
      <c r="AY51" s="520">
        <f>-AY29</f>
        <v>-12803154682.65</v>
      </c>
      <c r="AZ51" s="520"/>
      <c r="BA51" s="520">
        <f>F51-SUM(H51:AZ51)</f>
        <v>-0.35000038146972656</v>
      </c>
    </row>
    <row r="52" spans="1:53">
      <c r="D52" s="521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/>
      <c r="U52" s="520"/>
      <c r="V52" s="520"/>
      <c r="W52" s="520"/>
      <c r="X52" s="520"/>
      <c r="Y52" s="520"/>
      <c r="Z52" s="520"/>
      <c r="AA52" s="520"/>
      <c r="AB52" s="520"/>
      <c r="AC52" s="520"/>
      <c r="AD52" s="520"/>
      <c r="AE52" s="520"/>
      <c r="AF52" s="520"/>
      <c r="AG52" s="520"/>
      <c r="AH52" s="520"/>
      <c r="AI52" s="520"/>
      <c r="AJ52" s="520"/>
      <c r="AK52" s="520"/>
      <c r="AL52" s="520"/>
      <c r="AM52" s="520"/>
      <c r="AN52" s="520"/>
      <c r="AO52" s="520"/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</row>
    <row r="53" spans="1:53" s="518" customFormat="1">
      <c r="B53" s="518" t="s">
        <v>889</v>
      </c>
      <c r="D53" s="566"/>
      <c r="E53" s="567"/>
      <c r="F53" s="567">
        <f>SUM(F45:F52)</f>
        <v>-429338555183</v>
      </c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</row>
    <row r="54" spans="1:53">
      <c r="D54" s="521"/>
      <c r="F54" s="520"/>
      <c r="G54" s="520"/>
      <c r="H54" s="520"/>
      <c r="I54" s="520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T54" s="520"/>
      <c r="U54" s="520"/>
      <c r="V54" s="520"/>
      <c r="W54" s="520"/>
      <c r="X54" s="520"/>
      <c r="Y54" s="520"/>
      <c r="Z54" s="520"/>
      <c r="AA54" s="520"/>
      <c r="AB54" s="520"/>
      <c r="AC54" s="520"/>
      <c r="AD54" s="520"/>
      <c r="AE54" s="520"/>
      <c r="AF54" s="520"/>
      <c r="AG54" s="520"/>
      <c r="AH54" s="520"/>
      <c r="AI54" s="520"/>
      <c r="AJ54" s="520"/>
      <c r="AK54" s="520"/>
      <c r="AL54" s="520"/>
      <c r="AM54" s="520"/>
      <c r="AN54" s="520"/>
      <c r="AO54" s="520"/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</row>
    <row r="55" spans="1:53" ht="13.5" customHeight="1">
      <c r="A55" s="527" t="s">
        <v>890</v>
      </c>
      <c r="D55" s="528"/>
      <c r="F55" s="557"/>
      <c r="G55" s="557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</row>
    <row r="56" spans="1:53" ht="12.65" customHeight="1">
      <c r="B56" s="518"/>
      <c r="D56" s="521"/>
      <c r="F56" s="520"/>
      <c r="G56" s="520"/>
      <c r="H56" s="520"/>
      <c r="I56" s="520"/>
      <c r="J56" s="520"/>
      <c r="K56" s="520"/>
      <c r="L56" s="520"/>
      <c r="M56" s="520"/>
      <c r="N56" s="520"/>
      <c r="O56" s="520"/>
      <c r="P56" s="520"/>
      <c r="Q56" s="520"/>
      <c r="R56" s="520"/>
      <c r="S56" s="520"/>
      <c r="T56" s="520"/>
      <c r="U56" s="520"/>
      <c r="V56" s="520"/>
      <c r="W56" s="520"/>
      <c r="X56" s="520"/>
      <c r="Y56" s="520"/>
      <c r="Z56" s="520"/>
      <c r="AA56" s="520"/>
      <c r="AB56" s="520"/>
      <c r="AC56" s="520"/>
      <c r="AD56" s="520"/>
      <c r="AE56" s="520"/>
      <c r="AF56" s="520"/>
      <c r="AG56" s="520"/>
      <c r="AH56" s="520"/>
      <c r="AI56" s="520"/>
      <c r="AJ56" s="520"/>
      <c r="AK56" s="520"/>
      <c r="AL56" s="520"/>
      <c r="AM56" s="520"/>
      <c r="AN56" s="520"/>
      <c r="AO56" s="520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</row>
    <row r="57" spans="1:53" ht="12.65" customHeight="1">
      <c r="B57" s="518"/>
      <c r="C57" s="519" t="s">
        <v>891</v>
      </c>
      <c r="D57" s="521"/>
      <c r="F57" s="559">
        <f t="shared" ref="F57:F67" si="9">ROUND(SUM(H57:AZ57),0)</f>
        <v>-25252112784</v>
      </c>
      <c r="G57" s="559"/>
      <c r="H57" s="520"/>
      <c r="I57" s="520"/>
      <c r="J57" s="520"/>
      <c r="K57" s="520"/>
      <c r="L57" s="520"/>
      <c r="M57" s="520"/>
      <c r="N57" s="520"/>
      <c r="O57" s="520"/>
      <c r="P57" s="520"/>
      <c r="Q57" s="520"/>
      <c r="R57" s="520"/>
      <c r="S57" s="520">
        <f>-'Supplementary CF 24'!M34</f>
        <v>-68695436548.744858</v>
      </c>
      <c r="T57" s="520">
        <f>-T10</f>
        <v>0</v>
      </c>
      <c r="U57" s="520"/>
      <c r="V57" s="520"/>
      <c r="W57" s="520"/>
      <c r="X57" s="520"/>
      <c r="Y57" s="520"/>
      <c r="Z57" s="520"/>
      <c r="AA57" s="520"/>
      <c r="AB57" s="520"/>
      <c r="AC57" s="520">
        <f>'Supplementary CF 24'!M32</f>
        <v>2345151396</v>
      </c>
      <c r="AD57" s="520"/>
      <c r="AE57" s="520"/>
      <c r="AF57" s="520"/>
      <c r="AG57" s="520"/>
      <c r="AH57" s="520"/>
      <c r="AI57" s="520"/>
      <c r="AJ57" s="520"/>
      <c r="AK57" s="520"/>
      <c r="AL57" s="520"/>
      <c r="AM57" s="520"/>
      <c r="AN57" s="520"/>
      <c r="AO57" s="520">
        <f>'Supplementary CF 24'!M33</f>
        <v>41098172368.518494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>
        <f t="shared" ref="BA57:BA67" si="10">F57-SUM(H57:AZ57)</f>
        <v>0.2263641357421875</v>
      </c>
    </row>
    <row r="58" spans="1:53" ht="12.65" customHeight="1">
      <c r="B58" s="518"/>
      <c r="C58" s="519" t="s">
        <v>892</v>
      </c>
      <c r="D58" s="521"/>
      <c r="F58" s="559">
        <f t="shared" si="9"/>
        <v>0</v>
      </c>
      <c r="G58" s="559"/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0"/>
      <c r="AB58" s="520"/>
      <c r="AC58" s="520"/>
      <c r="AD58" s="520"/>
      <c r="AE58" s="520"/>
      <c r="AF58" s="520"/>
      <c r="AG58" s="520"/>
      <c r="AH58" s="520"/>
      <c r="AI58" s="520"/>
      <c r="AJ58" s="520"/>
      <c r="AK58" s="520"/>
      <c r="AL58" s="520"/>
      <c r="AM58" s="520"/>
      <c r="AN58" s="520"/>
      <c r="AO58" s="520"/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>
        <f t="shared" si="10"/>
        <v>0</v>
      </c>
    </row>
    <row r="59" spans="1:53" ht="12.65" customHeight="1">
      <c r="B59" s="518"/>
      <c r="C59" s="519" t="s">
        <v>893</v>
      </c>
      <c r="D59" s="521"/>
      <c r="F59" s="559">
        <f t="shared" si="9"/>
        <v>0</v>
      </c>
      <c r="G59" s="559"/>
      <c r="H59" s="520"/>
      <c r="I59" s="520"/>
      <c r="J59" s="520"/>
      <c r="K59" s="520">
        <f>-SUM(L59:AY59)</f>
        <v>0</v>
      </c>
      <c r="L59" s="520"/>
      <c r="M59" s="520"/>
      <c r="N59" s="520"/>
      <c r="O59" s="520"/>
      <c r="P59" s="520"/>
      <c r="Q59" s="520"/>
      <c r="R59" s="520"/>
      <c r="S59" s="520"/>
      <c r="T59" s="520"/>
      <c r="U59" s="520">
        <f>-'Supplementary CF 24'!F52</f>
        <v>-34228483621.724998</v>
      </c>
      <c r="V59" s="520"/>
      <c r="W59" s="520"/>
      <c r="X59" s="520"/>
      <c r="Y59" s="520"/>
      <c r="Z59" s="520"/>
      <c r="AA59" s="520"/>
      <c r="AB59" s="520"/>
      <c r="AC59" s="520"/>
      <c r="AD59" s="520"/>
      <c r="AE59" s="520"/>
      <c r="AF59" s="520"/>
      <c r="AG59" s="520"/>
      <c r="AH59" s="520"/>
      <c r="AI59" s="520"/>
      <c r="AJ59" s="520"/>
      <c r="AK59" s="520"/>
      <c r="AL59" s="520"/>
      <c r="AM59" s="520"/>
      <c r="AN59" s="520"/>
      <c r="AO59" s="520">
        <f>'Supplementary CF 24'!F52</f>
        <v>34228483621.724998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>
        <f t="shared" si="10"/>
        <v>0</v>
      </c>
    </row>
    <row r="60" spans="1:53" ht="12.65" customHeight="1">
      <c r="B60" s="518"/>
      <c r="C60" s="519" t="s">
        <v>894</v>
      </c>
      <c r="D60" s="521"/>
      <c r="F60" s="559">
        <f t="shared" si="9"/>
        <v>0</v>
      </c>
      <c r="G60" s="559"/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  <c r="AA60" s="520"/>
      <c r="AB60" s="520"/>
      <c r="AC60" s="520"/>
      <c r="AD60" s="520"/>
      <c r="AE60" s="520"/>
      <c r="AF60" s="520"/>
      <c r="AG60" s="520"/>
      <c r="AH60" s="520"/>
      <c r="AI60" s="520"/>
      <c r="AJ60" s="520"/>
      <c r="AK60" s="520"/>
      <c r="AL60" s="520"/>
      <c r="AM60" s="520"/>
      <c r="AN60" s="520"/>
      <c r="AO60" s="520"/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>
        <f t="shared" si="10"/>
        <v>0</v>
      </c>
    </row>
    <row r="61" spans="1:53" ht="12.65" customHeight="1">
      <c r="B61" s="518"/>
      <c r="C61" s="519" t="s">
        <v>895</v>
      </c>
      <c r="D61" s="521"/>
      <c r="F61" s="559">
        <f t="shared" si="9"/>
        <v>0</v>
      </c>
      <c r="G61" s="559"/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>
        <v>0</v>
      </c>
      <c r="Y61" s="520"/>
      <c r="Z61" s="520"/>
      <c r="AA61" s="520"/>
      <c r="AB61" s="520"/>
      <c r="AC61" s="520"/>
      <c r="AD61" s="520"/>
      <c r="AE61" s="520"/>
      <c r="AF61" s="520"/>
      <c r="AG61" s="520"/>
      <c r="AH61" s="520"/>
      <c r="AI61" s="520"/>
      <c r="AJ61" s="520"/>
      <c r="AK61" s="520"/>
      <c r="AL61" s="520"/>
      <c r="AM61" s="520"/>
      <c r="AN61" s="520"/>
      <c r="AO61" s="520"/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>
        <f t="shared" si="10"/>
        <v>0</v>
      </c>
    </row>
    <row r="62" spans="1:53" ht="12.65" customHeight="1">
      <c r="B62" s="518"/>
      <c r="C62" s="519" t="s">
        <v>896</v>
      </c>
      <c r="D62" s="521"/>
      <c r="F62" s="559">
        <f t="shared" si="9"/>
        <v>0</v>
      </c>
      <c r="G62" s="559"/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>
        <v>0</v>
      </c>
      <c r="T62" s="520"/>
      <c r="U62" s="520"/>
      <c r="V62" s="520"/>
      <c r="W62" s="520"/>
      <c r="X62" s="520"/>
      <c r="Y62" s="520"/>
      <c r="Z62" s="520"/>
      <c r="AA62" s="520"/>
      <c r="AB62" s="520"/>
      <c r="AC62" s="520"/>
      <c r="AD62" s="520"/>
      <c r="AE62" s="520"/>
      <c r="AF62" s="520"/>
      <c r="AG62" s="520"/>
      <c r="AH62" s="520"/>
      <c r="AI62" s="520"/>
      <c r="AJ62" s="520"/>
      <c r="AK62" s="520"/>
      <c r="AL62" s="520"/>
      <c r="AM62" s="520"/>
      <c r="AN62" s="520"/>
      <c r="AO62" s="520"/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>
        <f t="shared" si="10"/>
        <v>0</v>
      </c>
    </row>
    <row r="63" spans="1:53" ht="12.65" customHeight="1">
      <c r="B63" s="518"/>
      <c r="C63" s="519" t="s">
        <v>897</v>
      </c>
      <c r="D63" s="521"/>
      <c r="F63" s="559">
        <f t="shared" si="9"/>
        <v>0</v>
      </c>
      <c r="G63" s="559"/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0"/>
      <c r="AB63" s="520"/>
      <c r="AC63" s="520"/>
      <c r="AD63" s="520"/>
      <c r="AE63" s="520"/>
      <c r="AF63" s="520"/>
      <c r="AG63" s="520"/>
      <c r="AH63" s="520"/>
      <c r="AI63" s="520"/>
      <c r="AJ63" s="520"/>
      <c r="AK63" s="520"/>
      <c r="AL63" s="520"/>
      <c r="AM63" s="520"/>
      <c r="AN63" s="520"/>
      <c r="AO63" s="520"/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>
        <f t="shared" si="10"/>
        <v>0</v>
      </c>
    </row>
    <row r="64" spans="1:53">
      <c r="C64" s="519" t="s">
        <v>898</v>
      </c>
      <c r="E64" s="519"/>
      <c r="F64" s="559">
        <f t="shared" si="9"/>
        <v>0</v>
      </c>
      <c r="G64" s="559"/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0"/>
      <c r="AB64" s="520"/>
      <c r="AC64" s="520"/>
      <c r="AD64" s="520"/>
      <c r="AE64" s="520"/>
      <c r="AF64" s="520"/>
      <c r="AG64" s="520"/>
      <c r="AH64" s="520"/>
      <c r="AI64" s="520"/>
      <c r="AJ64" s="520"/>
      <c r="AK64" s="520"/>
      <c r="AL64" s="520"/>
      <c r="AM64" s="520"/>
      <c r="AN64" s="520"/>
      <c r="AO64" s="520"/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>
        <f t="shared" si="10"/>
        <v>0</v>
      </c>
    </row>
    <row r="65" spans="1:53">
      <c r="C65" s="519" t="s">
        <v>899</v>
      </c>
      <c r="D65" s="568"/>
      <c r="E65" s="536"/>
      <c r="F65" s="559">
        <f t="shared" si="9"/>
        <v>0</v>
      </c>
      <c r="G65" s="559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0"/>
      <c r="AB65" s="520"/>
      <c r="AC65" s="520"/>
      <c r="AD65" s="520"/>
      <c r="AE65" s="520"/>
      <c r="AF65" s="520"/>
      <c r="AG65" s="520"/>
      <c r="AH65" s="520"/>
      <c r="AI65" s="520"/>
      <c r="AJ65" s="520"/>
      <c r="AK65" s="520"/>
      <c r="AL65" s="520"/>
      <c r="AM65" s="520"/>
      <c r="AN65" s="520"/>
      <c r="AO65" s="520"/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>
        <f t="shared" si="10"/>
        <v>0</v>
      </c>
    </row>
    <row r="66" spans="1:53">
      <c r="C66" s="519" t="s">
        <v>900</v>
      </c>
      <c r="D66" s="568"/>
      <c r="E66" s="536"/>
      <c r="F66" s="559">
        <f t="shared" si="9"/>
        <v>0</v>
      </c>
      <c r="G66" s="559"/>
      <c r="H66" s="520"/>
      <c r="I66" s="520"/>
      <c r="J66" s="520"/>
      <c r="K66" s="520"/>
      <c r="L66" s="520"/>
      <c r="M66" s="520"/>
      <c r="N66" s="520"/>
      <c r="O66" s="520"/>
      <c r="P66" s="520"/>
      <c r="Q66" s="520">
        <f>-Q10-Q28-Q65-Q64-Q25</f>
        <v>0</v>
      </c>
      <c r="R66" s="520"/>
      <c r="S66" s="520"/>
      <c r="T66" s="520"/>
      <c r="U66" s="520"/>
      <c r="V66" s="520"/>
      <c r="W66" s="520"/>
      <c r="X66" s="520"/>
      <c r="Y66" s="520"/>
      <c r="Z66" s="520"/>
      <c r="AA66" s="520"/>
      <c r="AB66" s="520"/>
      <c r="AC66" s="520"/>
      <c r="AD66" s="520"/>
      <c r="AE66" s="520"/>
      <c r="AF66" s="520"/>
      <c r="AG66" s="520"/>
      <c r="AH66" s="520"/>
      <c r="AI66" s="520"/>
      <c r="AJ66" s="520"/>
      <c r="AK66" s="520"/>
      <c r="AL66" s="520"/>
      <c r="AM66" s="520"/>
      <c r="AN66" s="520"/>
      <c r="AO66" s="520"/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>
        <f t="shared" si="10"/>
        <v>0</v>
      </c>
    </row>
    <row r="67" spans="1:53">
      <c r="C67" s="519" t="s">
        <v>901</v>
      </c>
      <c r="E67" s="519"/>
      <c r="F67" s="559">
        <f t="shared" si="9"/>
        <v>0</v>
      </c>
      <c r="G67" s="559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0"/>
      <c r="AB67" s="520"/>
      <c r="AC67" s="520"/>
      <c r="AD67" s="520"/>
      <c r="AE67" s="520"/>
      <c r="AF67" s="520"/>
      <c r="AG67" s="520"/>
      <c r="AH67" s="520"/>
      <c r="AI67" s="520"/>
      <c r="AJ67" s="520"/>
      <c r="AK67" s="520"/>
      <c r="AL67" s="520"/>
      <c r="AM67" s="520"/>
      <c r="AN67" s="520"/>
      <c r="AO67" s="520"/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>
        <f t="shared" si="10"/>
        <v>0</v>
      </c>
    </row>
    <row r="68" spans="1:53">
      <c r="E68" s="519"/>
      <c r="F68" s="520"/>
      <c r="G68" s="520"/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0"/>
      <c r="AB68" s="520"/>
      <c r="AC68" s="520"/>
      <c r="AD68" s="520"/>
      <c r="AE68" s="520"/>
      <c r="AF68" s="520"/>
      <c r="AG68" s="520"/>
      <c r="AH68" s="520"/>
      <c r="AI68" s="520"/>
      <c r="AJ68" s="520"/>
      <c r="AK68" s="520"/>
      <c r="AL68" s="520"/>
      <c r="AM68" s="520"/>
      <c r="AN68" s="520"/>
      <c r="AO68" s="520"/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</row>
    <row r="69" spans="1:53">
      <c r="B69" s="518" t="s">
        <v>902</v>
      </c>
      <c r="E69" s="519"/>
      <c r="F69" s="567">
        <f>SUM(F56:F68)</f>
        <v>-25252112784</v>
      </c>
      <c r="G69" s="567"/>
      <c r="H69" s="520"/>
      <c r="I69" s="520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0"/>
      <c r="AB69" s="520"/>
      <c r="AC69" s="520"/>
      <c r="AD69" s="520"/>
      <c r="AE69" s="520"/>
      <c r="AF69" s="520"/>
      <c r="AG69" s="520"/>
      <c r="AH69" s="520"/>
      <c r="AI69" s="520"/>
      <c r="AJ69" s="520"/>
      <c r="AK69" s="520"/>
      <c r="AL69" s="520"/>
      <c r="AM69" s="520"/>
      <c r="AN69" s="520"/>
      <c r="AO69" s="520"/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</row>
    <row r="70" spans="1:53">
      <c r="E70" s="519"/>
      <c r="F70" s="520"/>
      <c r="G70" s="520"/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0"/>
      <c r="AB70" s="520"/>
      <c r="AC70" s="520"/>
      <c r="AD70" s="520"/>
      <c r="AE70" s="520"/>
      <c r="AF70" s="520"/>
      <c r="AG70" s="520"/>
      <c r="AH70" s="520"/>
      <c r="AI70" s="520"/>
      <c r="AJ70" s="520"/>
      <c r="AK70" s="520"/>
      <c r="AL70" s="520"/>
      <c r="AM70" s="520"/>
      <c r="AN70" s="520"/>
      <c r="AO70" s="520"/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</row>
    <row r="71" spans="1:53">
      <c r="A71" s="527" t="s">
        <v>903</v>
      </c>
      <c r="B71" s="518"/>
      <c r="D71" s="569"/>
      <c r="E71" s="570"/>
      <c r="F71" s="570"/>
      <c r="G71" s="570"/>
      <c r="H71" s="520"/>
      <c r="I71" s="520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  <c r="Y71" s="520"/>
      <c r="Z71" s="520"/>
      <c r="AA71" s="520"/>
      <c r="AB71" s="520"/>
      <c r="AC71" s="520"/>
      <c r="AD71" s="520"/>
      <c r="AE71" s="520"/>
      <c r="AF71" s="520"/>
      <c r="AG71" s="520"/>
      <c r="AH71" s="520"/>
      <c r="AI71" s="520"/>
      <c r="AJ71" s="520"/>
      <c r="AK71" s="520"/>
      <c r="AL71" s="520"/>
      <c r="AM71" s="520"/>
      <c r="AN71" s="520"/>
      <c r="AO71" s="520"/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</row>
    <row r="72" spans="1:53">
      <c r="A72" s="527"/>
      <c r="B72" s="518"/>
      <c r="D72" s="569"/>
      <c r="E72" s="570"/>
      <c r="F72" s="570"/>
      <c r="G72" s="57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0"/>
      <c r="AB72" s="520"/>
      <c r="AC72" s="520"/>
      <c r="AD72" s="520"/>
      <c r="AE72" s="520"/>
      <c r="AF72" s="520"/>
      <c r="AG72" s="520"/>
      <c r="AH72" s="520"/>
      <c r="AI72" s="520"/>
      <c r="AJ72" s="520"/>
      <c r="AK72" s="520"/>
      <c r="AL72" s="520"/>
      <c r="AM72" s="520"/>
      <c r="AN72" s="520"/>
      <c r="AO72" s="520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</row>
    <row r="73" spans="1:53">
      <c r="C73" s="519" t="s">
        <v>904</v>
      </c>
      <c r="D73" s="568"/>
      <c r="E73" s="536"/>
      <c r="F73" s="559">
        <f>ROUND(SUM(H73:AZ73),0)</f>
        <v>-31753628336</v>
      </c>
      <c r="G73" s="559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0"/>
      <c r="AB73" s="520">
        <f>-AB10</f>
        <v>-31753628336</v>
      </c>
      <c r="AC73" s="520"/>
      <c r="AD73" s="520"/>
      <c r="AE73" s="520"/>
      <c r="AF73" s="520"/>
      <c r="AG73" s="520"/>
      <c r="AH73" s="520"/>
      <c r="AI73" s="520"/>
      <c r="AJ73" s="520"/>
      <c r="AK73" s="520"/>
      <c r="AL73" s="520">
        <f>-AL10</f>
        <v>0</v>
      </c>
      <c r="AM73" s="520"/>
      <c r="AN73" s="520"/>
      <c r="AO73" s="520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>
        <f t="shared" ref="BA73:BA80" si="11">F73-SUM(H73:AZ73)</f>
        <v>0</v>
      </c>
    </row>
    <row r="74" spans="1:53">
      <c r="C74" s="519" t="s">
        <v>905</v>
      </c>
      <c r="D74" s="568"/>
      <c r="E74" s="536"/>
      <c r="F74" s="559">
        <f t="shared" ref="F74:F81" si="12">ROUND(SUM(H74:AZ74),0)</f>
        <v>0</v>
      </c>
      <c r="G74" s="559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0"/>
      <c r="AB74" s="520"/>
      <c r="AC74" s="520"/>
      <c r="AD74" s="520"/>
      <c r="AE74" s="520"/>
      <c r="AF74" s="520"/>
      <c r="AG74" s="520"/>
      <c r="AH74" s="520"/>
      <c r="AI74" s="520"/>
      <c r="AJ74" s="520"/>
      <c r="AK74" s="520"/>
      <c r="AL74" s="520"/>
      <c r="AM74" s="520"/>
      <c r="AN74" s="520"/>
      <c r="AO74" s="520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>
        <f t="shared" si="11"/>
        <v>0</v>
      </c>
    </row>
    <row r="75" spans="1:53">
      <c r="C75" s="519" t="s">
        <v>1132</v>
      </c>
      <c r="D75" s="568"/>
      <c r="E75" s="536"/>
      <c r="F75" s="559">
        <f t="shared" si="12"/>
        <v>-24268137075</v>
      </c>
      <c r="G75" s="559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0"/>
      <c r="AB75" s="520"/>
      <c r="AC75" s="520"/>
      <c r="AD75" s="520"/>
      <c r="AE75" s="520"/>
      <c r="AF75" s="520"/>
      <c r="AG75" s="520"/>
      <c r="AH75" s="520"/>
      <c r="AI75" s="520"/>
      <c r="AJ75" s="520"/>
      <c r="AK75" s="520"/>
      <c r="AL75" s="520"/>
      <c r="AM75" s="520"/>
      <c r="AN75" s="520"/>
      <c r="AO75" s="520"/>
      <c r="AP75" s="520"/>
      <c r="AQ75" s="520"/>
      <c r="AR75" s="520"/>
      <c r="AS75" s="520"/>
      <c r="AT75" s="520"/>
      <c r="AU75" s="520"/>
      <c r="AV75" s="520"/>
      <c r="AW75" s="520">
        <f>'SoCE Consol '!L77</f>
        <v>61052004237.56987</v>
      </c>
      <c r="AX75" s="520">
        <f>-AX10</f>
        <v>-85320141313</v>
      </c>
      <c r="AY75" s="520"/>
      <c r="AZ75" s="520"/>
      <c r="BA75" s="520">
        <f t="shared" si="11"/>
        <v>0.4301300048828125</v>
      </c>
    </row>
    <row r="76" spans="1:53">
      <c r="C76" s="519" t="s">
        <v>907</v>
      </c>
      <c r="D76" s="568"/>
      <c r="E76" s="536"/>
      <c r="F76" s="559">
        <f t="shared" si="12"/>
        <v>-48537121728</v>
      </c>
      <c r="G76" s="559"/>
      <c r="H76" s="520"/>
      <c r="I76" s="520"/>
      <c r="J76" s="520"/>
      <c r="K76" s="520">
        <f>-K10</f>
        <v>-114461164444</v>
      </c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0"/>
      <c r="AB76" s="520"/>
      <c r="AC76" s="520"/>
      <c r="AD76" s="520"/>
      <c r="AE76" s="520"/>
      <c r="AF76" s="520">
        <f>-AF10</f>
        <v>65924042716</v>
      </c>
      <c r="AG76" s="520"/>
      <c r="AH76" s="520"/>
      <c r="AI76" s="520"/>
      <c r="AJ76" s="520"/>
      <c r="AK76" s="520"/>
      <c r="AL76" s="520"/>
      <c r="AM76" s="520"/>
      <c r="AN76" s="520"/>
      <c r="AO76" s="520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>
        <f t="shared" si="11"/>
        <v>0</v>
      </c>
    </row>
    <row r="77" spans="1:53">
      <c r="C77" s="519" t="s">
        <v>908</v>
      </c>
      <c r="D77" s="568"/>
      <c r="E77" s="536"/>
      <c r="F77" s="559">
        <f t="shared" si="12"/>
        <v>0</v>
      </c>
      <c r="G77" s="559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0"/>
      <c r="AB77" s="520"/>
      <c r="AC77" s="520"/>
      <c r="AD77" s="520"/>
      <c r="AE77" s="520"/>
      <c r="AF77" s="520"/>
      <c r="AG77" s="520"/>
      <c r="AH77" s="520"/>
      <c r="AI77" s="520"/>
      <c r="AJ77" s="520"/>
      <c r="AK77" s="520"/>
      <c r="AL77" s="520"/>
      <c r="AM77" s="520"/>
      <c r="AN77" s="520"/>
      <c r="AO77" s="520"/>
      <c r="AP77" s="520"/>
      <c r="AQ77" s="520"/>
      <c r="AR77" s="520"/>
      <c r="AS77" s="520"/>
      <c r="AT77" s="520"/>
      <c r="AU77" s="520"/>
      <c r="AV77" s="520">
        <v>0</v>
      </c>
      <c r="AW77" s="520"/>
      <c r="AX77" s="520"/>
      <c r="AY77" s="520"/>
      <c r="AZ77" s="520">
        <v>0</v>
      </c>
      <c r="BA77" s="520">
        <f t="shared" si="11"/>
        <v>0</v>
      </c>
    </row>
    <row r="78" spans="1:53">
      <c r="C78" s="519" t="s">
        <v>909</v>
      </c>
      <c r="D78" s="568"/>
      <c r="E78" s="536"/>
      <c r="F78" s="559">
        <f t="shared" si="12"/>
        <v>604970548439</v>
      </c>
      <c r="G78" s="559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0"/>
      <c r="AB78" s="520"/>
      <c r="AC78" s="520"/>
      <c r="AD78" s="520"/>
      <c r="AE78" s="520"/>
      <c r="AF78" s="520"/>
      <c r="AG78" s="520"/>
      <c r="AH78" s="520"/>
      <c r="AI78" s="520"/>
      <c r="AJ78" s="520"/>
      <c r="AK78" s="520"/>
      <c r="AL78" s="520"/>
      <c r="AM78" s="520"/>
      <c r="AN78" s="520"/>
      <c r="AO78" s="520"/>
      <c r="AP78" s="520"/>
      <c r="AQ78" s="520"/>
      <c r="AR78" s="520"/>
      <c r="AS78" s="520">
        <f>-AS10</f>
        <v>0</v>
      </c>
      <c r="AT78" s="520">
        <f>-'Supplementary CF 24'!E76-AS78</f>
        <v>604970548438.7251</v>
      </c>
      <c r="AU78" s="520"/>
      <c r="AV78" s="520"/>
      <c r="AW78" s="520"/>
      <c r="AX78" s="520"/>
      <c r="AY78" s="520"/>
      <c r="AZ78" s="520"/>
      <c r="BA78" s="520">
        <f t="shared" si="11"/>
        <v>0.27490234375</v>
      </c>
    </row>
    <row r="79" spans="1:53" ht="12.65" customHeight="1">
      <c r="C79" s="519" t="s">
        <v>910</v>
      </c>
      <c r="E79" s="519"/>
      <c r="F79" s="559">
        <f t="shared" si="12"/>
        <v>16392985671</v>
      </c>
      <c r="G79" s="559"/>
      <c r="H79" s="520"/>
      <c r="I79" s="520"/>
      <c r="J79" s="520"/>
      <c r="K79" s="520"/>
      <c r="L79" s="520"/>
      <c r="M79" s="520"/>
      <c r="N79" s="520">
        <f>-N10</f>
        <v>16392985671</v>
      </c>
      <c r="O79" s="520"/>
      <c r="P79" s="520"/>
      <c r="Q79" s="520"/>
      <c r="R79" s="520"/>
      <c r="S79" s="520"/>
      <c r="T79" s="520"/>
      <c r="U79" s="520"/>
      <c r="V79" s="520"/>
      <c r="W79" s="520"/>
      <c r="X79" s="520"/>
      <c r="Y79" s="520"/>
      <c r="Z79" s="520"/>
      <c r="AA79" s="520"/>
      <c r="AB79" s="520"/>
      <c r="AC79" s="520"/>
      <c r="AD79" s="520"/>
      <c r="AE79" s="520"/>
      <c r="AF79" s="520"/>
      <c r="AG79" s="520"/>
      <c r="AH79" s="520"/>
      <c r="AI79" s="520"/>
      <c r="AJ79" s="520"/>
      <c r="AK79" s="520"/>
      <c r="AL79" s="520"/>
      <c r="AM79" s="520"/>
      <c r="AN79" s="520"/>
      <c r="AO79" s="520"/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>
        <f t="shared" si="11"/>
        <v>0</v>
      </c>
    </row>
    <row r="80" spans="1:53">
      <c r="C80" s="519" t="s">
        <v>911</v>
      </c>
      <c r="D80" s="568"/>
      <c r="E80" s="536"/>
      <c r="F80" s="559">
        <f t="shared" si="12"/>
        <v>-76144928660</v>
      </c>
      <c r="G80" s="559"/>
      <c r="H80" s="520"/>
      <c r="I80" s="520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0"/>
      <c r="V80" s="520"/>
      <c r="W80" s="520"/>
      <c r="X80" s="520"/>
      <c r="Y80" s="520"/>
      <c r="Z80" s="520"/>
      <c r="AA80" s="520"/>
      <c r="AB80" s="520"/>
      <c r="AC80" s="520"/>
      <c r="AD80" s="520"/>
      <c r="AE80" s="520"/>
      <c r="AF80" s="520"/>
      <c r="AG80" s="520"/>
      <c r="AH80" s="520"/>
      <c r="AI80" s="520"/>
      <c r="AJ80" s="520"/>
      <c r="AK80" s="520"/>
      <c r="AL80" s="520"/>
      <c r="AM80" s="520"/>
      <c r="AN80" s="520"/>
      <c r="AO80" s="520">
        <f>'Supplementary CF 24'!M54</f>
        <v>-76144928660.006943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>
        <f t="shared" si="11"/>
        <v>6.9427490234375E-3</v>
      </c>
    </row>
    <row r="81" spans="2:53">
      <c r="C81" s="519" t="s">
        <v>912</v>
      </c>
      <c r="D81" s="568"/>
      <c r="E81" s="536"/>
      <c r="F81" s="559">
        <f t="shared" si="12"/>
        <v>0</v>
      </c>
      <c r="G81" s="559"/>
      <c r="H81" s="520"/>
      <c r="I81" s="520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  <c r="Y81" s="520"/>
      <c r="Z81" s="520"/>
      <c r="AA81" s="520"/>
      <c r="AB81" s="520"/>
      <c r="AC81" s="520"/>
      <c r="AD81" s="520"/>
      <c r="AE81" s="520"/>
      <c r="AF81" s="520"/>
      <c r="AG81" s="520"/>
      <c r="AH81" s="520"/>
      <c r="AI81" s="520"/>
      <c r="AJ81" s="520"/>
      <c r="AK81" s="520"/>
      <c r="AL81" s="520"/>
      <c r="AM81" s="520"/>
      <c r="AN81" s="520"/>
      <c r="AO81" s="520"/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</row>
    <row r="82" spans="2:53">
      <c r="D82" s="568"/>
      <c r="E82" s="536"/>
      <c r="F82" s="536"/>
      <c r="G82" s="536"/>
      <c r="H82" s="520"/>
      <c r="I82" s="520"/>
      <c r="J82" s="520"/>
      <c r="K82" s="520"/>
      <c r="L82" s="520"/>
      <c r="M82" s="520"/>
      <c r="N82" s="520"/>
      <c r="O82" s="520"/>
      <c r="P82" s="520"/>
      <c r="Q82" s="520"/>
      <c r="R82" s="520"/>
      <c r="S82" s="520"/>
      <c r="T82" s="520"/>
      <c r="U82" s="520"/>
      <c r="V82" s="520"/>
      <c r="W82" s="520"/>
      <c r="X82" s="520"/>
      <c r="Y82" s="520"/>
      <c r="Z82" s="520"/>
      <c r="AA82" s="520"/>
      <c r="AB82" s="520"/>
      <c r="AC82" s="520"/>
      <c r="AD82" s="520"/>
      <c r="AE82" s="520"/>
      <c r="AF82" s="520"/>
      <c r="AG82" s="520"/>
      <c r="AH82" s="520"/>
      <c r="AI82" s="520"/>
      <c r="AJ82" s="520"/>
      <c r="AK82" s="520"/>
      <c r="AL82" s="520"/>
      <c r="AM82" s="520"/>
      <c r="AN82" s="520"/>
      <c r="AO82" s="520"/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</row>
    <row r="83" spans="2:53">
      <c r="B83" s="518" t="s">
        <v>913</v>
      </c>
      <c r="D83" s="568"/>
      <c r="E83" s="536"/>
      <c r="F83" s="570">
        <f>SUM(F73:F82)</f>
        <v>440659718311</v>
      </c>
      <c r="G83" s="570"/>
      <c r="H83" s="520"/>
      <c r="I83" s="520"/>
      <c r="J83" s="520"/>
      <c r="K83" s="520"/>
      <c r="L83" s="520"/>
      <c r="M83" s="520"/>
      <c r="N83" s="520"/>
      <c r="O83" s="520"/>
      <c r="P83" s="520"/>
      <c r="Q83" s="520"/>
      <c r="R83" s="520"/>
      <c r="S83" s="520"/>
      <c r="T83" s="520"/>
      <c r="U83" s="520"/>
      <c r="V83" s="520"/>
      <c r="W83" s="520"/>
      <c r="X83" s="520"/>
      <c r="Y83" s="520"/>
      <c r="Z83" s="520"/>
      <c r="AA83" s="520"/>
      <c r="AB83" s="520"/>
      <c r="AC83" s="520"/>
      <c r="AD83" s="520"/>
      <c r="AE83" s="520"/>
      <c r="AF83" s="520"/>
      <c r="AG83" s="520"/>
      <c r="AH83" s="520"/>
      <c r="AI83" s="520"/>
      <c r="AJ83" s="520"/>
      <c r="AK83" s="520"/>
      <c r="AL83" s="520"/>
      <c r="AM83" s="520"/>
      <c r="AN83" s="520"/>
      <c r="AO83" s="520"/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</row>
    <row r="84" spans="2:53">
      <c r="D84" s="568"/>
      <c r="E84" s="536"/>
      <c r="F84" s="571"/>
      <c r="G84" s="571"/>
      <c r="H84" s="520"/>
      <c r="I84" s="520"/>
      <c r="J84" s="520"/>
      <c r="K84" s="520"/>
      <c r="L84" s="520"/>
      <c r="M84" s="520"/>
      <c r="N84" s="520"/>
      <c r="O84" s="520"/>
      <c r="P84" s="520"/>
      <c r="Q84" s="520"/>
      <c r="R84" s="520"/>
      <c r="S84" s="520"/>
      <c r="T84" s="520"/>
      <c r="U84" s="520"/>
      <c r="V84" s="520"/>
      <c r="W84" s="520"/>
      <c r="X84" s="520"/>
      <c r="Y84" s="520"/>
      <c r="Z84" s="520"/>
      <c r="AA84" s="520"/>
      <c r="AB84" s="520"/>
      <c r="AC84" s="520"/>
      <c r="AD84" s="520"/>
      <c r="AE84" s="520"/>
      <c r="AF84" s="520"/>
      <c r="AG84" s="520"/>
      <c r="AH84" s="520"/>
      <c r="AI84" s="520"/>
      <c r="AJ84" s="520"/>
      <c r="AK84" s="520"/>
      <c r="AL84" s="520"/>
      <c r="AM84" s="520"/>
      <c r="AN84" s="520"/>
      <c r="AO84" s="520"/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</row>
    <row r="85" spans="2:53">
      <c r="D85" s="568"/>
      <c r="E85" s="536"/>
      <c r="F85" s="571"/>
      <c r="G85" s="571"/>
      <c r="H85" s="520"/>
      <c r="I85" s="520"/>
      <c r="J85" s="520"/>
      <c r="K85" s="520"/>
      <c r="L85" s="520"/>
      <c r="M85" s="520"/>
      <c r="N85" s="520"/>
      <c r="O85" s="520"/>
      <c r="P85" s="520"/>
      <c r="Q85" s="520"/>
      <c r="R85" s="520"/>
      <c r="S85" s="520"/>
      <c r="T85" s="520"/>
      <c r="U85" s="520"/>
      <c r="V85" s="520"/>
      <c r="W85" s="520"/>
      <c r="X85" s="520"/>
      <c r="Y85" s="520"/>
      <c r="Z85" s="520"/>
      <c r="AA85" s="520"/>
      <c r="AB85" s="520"/>
      <c r="AC85" s="520"/>
      <c r="AD85" s="520"/>
      <c r="AE85" s="520"/>
      <c r="AF85" s="520"/>
      <c r="AG85" s="520"/>
      <c r="AH85" s="520"/>
      <c r="AI85" s="520"/>
      <c r="AJ85" s="520"/>
      <c r="AK85" s="520"/>
      <c r="AL85" s="520"/>
      <c r="AM85" s="520"/>
      <c r="AN85" s="520"/>
      <c r="AO85" s="520"/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</row>
    <row r="86" spans="2:53">
      <c r="B86" s="518" t="s">
        <v>914</v>
      </c>
      <c r="D86" s="569"/>
      <c r="E86" s="570"/>
      <c r="F86" s="572">
        <f>F53+F69+F83</f>
        <v>-13930949656</v>
      </c>
      <c r="G86" s="572"/>
      <c r="H86" s="520"/>
      <c r="I86" s="520"/>
      <c r="J86" s="520"/>
      <c r="K86" s="520"/>
      <c r="L86" s="520"/>
      <c r="M86" s="520"/>
      <c r="N86" s="520"/>
      <c r="O86" s="520"/>
      <c r="P86" s="520"/>
      <c r="Q86" s="520"/>
      <c r="R86" s="520"/>
      <c r="S86" s="520"/>
      <c r="T86" s="520"/>
      <c r="U86" s="520"/>
      <c r="V86" s="520"/>
      <c r="W86" s="520"/>
      <c r="X86" s="520"/>
      <c r="Y86" s="520"/>
      <c r="Z86" s="520"/>
      <c r="AA86" s="520"/>
      <c r="AB86" s="520"/>
      <c r="AC86" s="520"/>
      <c r="AD86" s="520"/>
      <c r="AE86" s="520"/>
      <c r="AF86" s="520"/>
      <c r="AG86" s="520"/>
      <c r="AH86" s="520"/>
      <c r="AI86" s="520"/>
      <c r="AJ86" s="520"/>
      <c r="AK86" s="520"/>
      <c r="AL86" s="520"/>
      <c r="AM86" s="520"/>
      <c r="AN86" s="520"/>
      <c r="AO86" s="520"/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</row>
    <row r="87" spans="2:53">
      <c r="B87" s="518"/>
      <c r="D87" s="568"/>
      <c r="E87" s="536"/>
      <c r="H87" s="520"/>
      <c r="I87" s="520"/>
      <c r="J87" s="520"/>
      <c r="K87" s="520"/>
      <c r="L87" s="520"/>
      <c r="M87" s="520"/>
      <c r="N87" s="520"/>
      <c r="O87" s="520"/>
      <c r="P87" s="520"/>
      <c r="Q87" s="520"/>
      <c r="R87" s="520"/>
      <c r="S87" s="520"/>
      <c r="T87" s="520"/>
      <c r="U87" s="520"/>
      <c r="V87" s="520"/>
      <c r="W87" s="520"/>
      <c r="X87" s="520"/>
      <c r="Y87" s="520"/>
      <c r="Z87" s="520"/>
      <c r="AA87" s="520"/>
      <c r="AB87" s="520"/>
      <c r="AC87" s="520"/>
      <c r="AD87" s="520"/>
      <c r="AE87" s="520"/>
      <c r="AF87" s="520"/>
      <c r="AG87" s="520"/>
      <c r="AH87" s="520"/>
      <c r="AI87" s="520"/>
      <c r="AJ87" s="520"/>
      <c r="AK87" s="520"/>
      <c r="AL87" s="520"/>
      <c r="AM87" s="520"/>
      <c r="AN87" s="520"/>
      <c r="AO87" s="520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</row>
    <row r="88" spans="2:53" hidden="1">
      <c r="B88" s="518" t="s">
        <v>915</v>
      </c>
      <c r="D88" s="568"/>
      <c r="E88" s="536"/>
      <c r="F88" s="520"/>
      <c r="G88" s="520"/>
      <c r="H88" s="520"/>
      <c r="I88" s="520"/>
      <c r="J88" s="520"/>
      <c r="K88" s="520"/>
      <c r="L88" s="520"/>
      <c r="M88" s="520"/>
      <c r="N88" s="520"/>
      <c r="O88" s="520"/>
      <c r="P88" s="520"/>
      <c r="Q88" s="520"/>
      <c r="R88" s="520"/>
      <c r="S88" s="520"/>
      <c r="T88" s="520"/>
      <c r="U88" s="520"/>
      <c r="V88" s="520"/>
      <c r="W88" s="520"/>
      <c r="X88" s="520"/>
      <c r="Y88" s="520"/>
      <c r="Z88" s="520"/>
      <c r="AA88" s="520"/>
      <c r="AB88" s="520"/>
      <c r="AC88" s="520"/>
      <c r="AD88" s="520"/>
      <c r="AE88" s="520"/>
      <c r="AF88" s="520"/>
      <c r="AG88" s="520"/>
      <c r="AH88" s="520"/>
      <c r="AI88" s="520"/>
      <c r="AJ88" s="520"/>
      <c r="AK88" s="520"/>
      <c r="AL88" s="520"/>
      <c r="AM88" s="520"/>
      <c r="AN88" s="520"/>
      <c r="AO88" s="520"/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</row>
    <row r="89" spans="2:53" hidden="1">
      <c r="B89" s="518"/>
      <c r="D89" s="568"/>
      <c r="E89" s="536"/>
      <c r="H89" s="520"/>
      <c r="I89" s="520"/>
      <c r="J89" s="520"/>
      <c r="K89" s="520"/>
      <c r="L89" s="520"/>
      <c r="M89" s="520"/>
      <c r="N89" s="520"/>
      <c r="O89" s="520"/>
      <c r="P89" s="520"/>
      <c r="Q89" s="520"/>
      <c r="R89" s="520"/>
      <c r="S89" s="520"/>
      <c r="T89" s="520"/>
      <c r="U89" s="520"/>
      <c r="V89" s="520"/>
      <c r="W89" s="520"/>
      <c r="X89" s="520"/>
      <c r="Y89" s="520"/>
      <c r="Z89" s="520"/>
      <c r="AA89" s="520"/>
      <c r="AB89" s="520"/>
      <c r="AC89" s="520"/>
      <c r="AD89" s="520"/>
      <c r="AE89" s="520"/>
      <c r="AF89" s="520"/>
      <c r="AG89" s="520"/>
      <c r="AH89" s="520"/>
      <c r="AI89" s="520"/>
      <c r="AJ89" s="520"/>
      <c r="AK89" s="520"/>
      <c r="AL89" s="520"/>
      <c r="AM89" s="520"/>
      <c r="AN89" s="520"/>
      <c r="AO89" s="520"/>
      <c r="AP89" s="520"/>
      <c r="AQ89" s="520"/>
      <c r="AR89" s="520"/>
      <c r="AS89" s="520"/>
      <c r="AT89" s="520"/>
      <c r="AU89" s="520"/>
      <c r="AV89" s="520"/>
      <c r="AW89" s="520"/>
      <c r="AX89" s="520"/>
      <c r="AY89" s="520"/>
      <c r="AZ89" s="520"/>
      <c r="BA89" s="520"/>
    </row>
    <row r="90" spans="2:53">
      <c r="B90" s="518" t="s">
        <v>916</v>
      </c>
      <c r="D90" s="568"/>
      <c r="E90" s="536"/>
      <c r="F90" s="559">
        <v>0</v>
      </c>
      <c r="G90" s="559"/>
      <c r="H90" s="520"/>
      <c r="I90" s="520"/>
      <c r="J90" s="520"/>
      <c r="K90" s="520"/>
      <c r="L90" s="520"/>
      <c r="M90" s="520"/>
      <c r="N90" s="520"/>
      <c r="O90" s="520"/>
      <c r="P90" s="520"/>
      <c r="Q90" s="520"/>
      <c r="R90" s="520"/>
      <c r="S90" s="520"/>
      <c r="T90" s="520"/>
      <c r="U90" s="520"/>
      <c r="V90" s="520"/>
      <c r="W90" s="520"/>
      <c r="X90" s="520"/>
      <c r="Y90" s="520"/>
      <c r="Z90" s="520"/>
      <c r="AA90" s="520"/>
      <c r="AB90" s="520"/>
      <c r="AC90" s="520"/>
      <c r="AD90" s="520"/>
      <c r="AE90" s="520"/>
      <c r="AF90" s="520"/>
      <c r="AG90" s="520"/>
      <c r="AH90" s="520"/>
      <c r="AI90" s="520"/>
      <c r="AJ90" s="520"/>
      <c r="AK90" s="520"/>
      <c r="AL90" s="520"/>
      <c r="AM90" s="520"/>
      <c r="AN90" s="520"/>
      <c r="AO90" s="520"/>
      <c r="AP90" s="520"/>
      <c r="AQ90" s="520"/>
      <c r="AR90" s="520"/>
      <c r="AS90" s="520"/>
      <c r="AT90" s="520"/>
      <c r="AU90" s="520"/>
      <c r="AV90" s="520"/>
      <c r="AW90" s="520"/>
      <c r="AX90" s="520"/>
      <c r="AY90" s="520"/>
      <c r="AZ90" s="520"/>
      <c r="BA90" s="520"/>
    </row>
    <row r="91" spans="2:53">
      <c r="B91" s="518"/>
      <c r="C91" s="518"/>
      <c r="D91" s="568"/>
      <c r="E91" s="536"/>
      <c r="F91" s="571"/>
      <c r="G91" s="571"/>
      <c r="H91" s="520"/>
      <c r="I91" s="520"/>
      <c r="J91" s="520"/>
      <c r="K91" s="520"/>
      <c r="L91" s="520"/>
      <c r="M91" s="520"/>
      <c r="N91" s="520"/>
      <c r="O91" s="520"/>
      <c r="P91" s="520"/>
      <c r="Q91" s="520"/>
      <c r="R91" s="520"/>
      <c r="S91" s="520"/>
      <c r="T91" s="520"/>
      <c r="U91" s="520"/>
      <c r="V91" s="520"/>
      <c r="W91" s="520"/>
      <c r="X91" s="520"/>
      <c r="Y91" s="520"/>
      <c r="Z91" s="520"/>
      <c r="AA91" s="520"/>
      <c r="AB91" s="520"/>
      <c r="AC91" s="520"/>
      <c r="AD91" s="520"/>
      <c r="AE91" s="520"/>
      <c r="AF91" s="520"/>
      <c r="AG91" s="520"/>
      <c r="AH91" s="520"/>
      <c r="AI91" s="520"/>
      <c r="AJ91" s="520"/>
      <c r="AK91" s="520"/>
      <c r="AL91" s="520"/>
      <c r="AM91" s="520"/>
      <c r="AN91" s="520"/>
      <c r="AO91" s="520"/>
      <c r="AP91" s="520"/>
      <c r="AQ91" s="520"/>
      <c r="AR91" s="520"/>
      <c r="AS91" s="520"/>
      <c r="AT91" s="520"/>
      <c r="AU91" s="520"/>
      <c r="AV91" s="520"/>
      <c r="AW91" s="520"/>
      <c r="AX91" s="520"/>
      <c r="AY91" s="520"/>
      <c r="AZ91" s="520"/>
      <c r="BA91" s="520"/>
    </row>
    <row r="92" spans="2:53">
      <c r="B92" s="518" t="s">
        <v>917</v>
      </c>
      <c r="C92" s="518"/>
      <c r="D92" s="569"/>
      <c r="E92" s="536"/>
      <c r="F92" s="572">
        <f>H9</f>
        <v>75109486095</v>
      </c>
      <c r="G92" s="572"/>
      <c r="H92" s="520"/>
      <c r="I92" s="520"/>
      <c r="J92" s="520"/>
      <c r="K92" s="520"/>
      <c r="L92" s="520"/>
      <c r="M92" s="520"/>
      <c r="N92" s="520"/>
      <c r="O92" s="520"/>
      <c r="P92" s="520"/>
      <c r="Q92" s="520"/>
      <c r="R92" s="520"/>
      <c r="S92" s="520"/>
      <c r="T92" s="520"/>
      <c r="U92" s="520"/>
      <c r="V92" s="520"/>
      <c r="W92" s="520"/>
      <c r="X92" s="520"/>
      <c r="Y92" s="520"/>
      <c r="Z92" s="520"/>
      <c r="AA92" s="520"/>
      <c r="AB92" s="520"/>
      <c r="AC92" s="520"/>
      <c r="AD92" s="520"/>
      <c r="AE92" s="520"/>
      <c r="AF92" s="520"/>
      <c r="AG92" s="520"/>
      <c r="AH92" s="520"/>
      <c r="AI92" s="520"/>
      <c r="AJ92" s="520"/>
      <c r="AK92" s="520"/>
      <c r="AL92" s="520"/>
      <c r="AM92" s="520"/>
      <c r="AN92" s="520"/>
      <c r="AO92" s="520"/>
      <c r="AP92" s="520"/>
      <c r="AQ92" s="520"/>
      <c r="AR92" s="520"/>
      <c r="AS92" s="520"/>
      <c r="AT92" s="520"/>
      <c r="AU92" s="520"/>
      <c r="AV92" s="520"/>
      <c r="AW92" s="520"/>
      <c r="AX92" s="520"/>
      <c r="AY92" s="520"/>
      <c r="AZ92" s="520"/>
      <c r="BA92" s="520"/>
    </row>
    <row r="93" spans="2:53">
      <c r="B93" s="518"/>
      <c r="C93" s="518"/>
      <c r="D93" s="569"/>
      <c r="E93" s="536"/>
      <c r="F93" s="572"/>
      <c r="G93" s="572"/>
      <c r="H93" s="520"/>
      <c r="I93" s="520"/>
      <c r="J93" s="520"/>
      <c r="K93" s="520"/>
      <c r="L93" s="520"/>
      <c r="M93" s="520"/>
      <c r="N93" s="520"/>
      <c r="O93" s="520"/>
      <c r="P93" s="520"/>
      <c r="Q93" s="520"/>
      <c r="R93" s="520"/>
      <c r="S93" s="520"/>
      <c r="T93" s="520"/>
      <c r="U93" s="520"/>
      <c r="V93" s="520"/>
      <c r="W93" s="520"/>
      <c r="X93" s="520"/>
      <c r="Y93" s="520"/>
      <c r="Z93" s="520"/>
      <c r="AA93" s="520"/>
      <c r="AB93" s="520"/>
      <c r="AC93" s="520"/>
      <c r="AD93" s="520"/>
      <c r="AE93" s="520"/>
      <c r="AF93" s="520"/>
      <c r="AG93" s="520"/>
      <c r="AH93" s="520"/>
      <c r="AI93" s="520"/>
      <c r="AJ93" s="520"/>
      <c r="AK93" s="520"/>
      <c r="AL93" s="520"/>
      <c r="AM93" s="520"/>
      <c r="AN93" s="520"/>
      <c r="AO93" s="520"/>
      <c r="AP93" s="520"/>
      <c r="AQ93" s="520"/>
      <c r="AR93" s="520"/>
      <c r="AS93" s="520"/>
      <c r="AT93" s="520"/>
      <c r="AU93" s="520"/>
      <c r="AV93" s="520"/>
      <c r="AW93" s="520"/>
      <c r="AX93" s="520"/>
      <c r="AY93" s="520"/>
      <c r="AZ93" s="520"/>
      <c r="BA93" s="520"/>
    </row>
    <row r="94" spans="2:53">
      <c r="B94" s="518" t="s">
        <v>918</v>
      </c>
      <c r="D94" s="569"/>
      <c r="E94" s="570"/>
      <c r="F94" s="572">
        <f>SUM(F86:F93)</f>
        <v>61178536439</v>
      </c>
      <c r="G94" s="572"/>
      <c r="H94" s="520"/>
      <c r="I94" s="520"/>
      <c r="J94" s="520"/>
      <c r="K94" s="520"/>
      <c r="L94" s="520"/>
      <c r="M94" s="520"/>
      <c r="N94" s="520"/>
      <c r="O94" s="520"/>
      <c r="P94" s="520"/>
      <c r="Q94" s="520"/>
      <c r="R94" s="520"/>
      <c r="S94" s="520"/>
      <c r="T94" s="520"/>
      <c r="U94" s="520"/>
      <c r="V94" s="520"/>
      <c r="W94" s="520"/>
      <c r="X94" s="520"/>
      <c r="Y94" s="520"/>
      <c r="Z94" s="520"/>
      <c r="AA94" s="520"/>
      <c r="AB94" s="520"/>
      <c r="AC94" s="520"/>
      <c r="AD94" s="520"/>
      <c r="AE94" s="520"/>
      <c r="AF94" s="520"/>
      <c r="AG94" s="520"/>
      <c r="AH94" s="520"/>
      <c r="AI94" s="520"/>
      <c r="AJ94" s="520"/>
      <c r="AK94" s="520"/>
      <c r="AL94" s="520"/>
      <c r="AM94" s="520"/>
      <c r="AN94" s="520"/>
      <c r="AO94" s="520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</row>
    <row r="95" spans="2:53">
      <c r="D95" s="568"/>
      <c r="E95" s="536"/>
      <c r="F95" s="571"/>
      <c r="G95" s="571"/>
      <c r="H95" s="520"/>
      <c r="I95" s="520"/>
      <c r="J95" s="520"/>
      <c r="K95" s="520"/>
      <c r="L95" s="520"/>
      <c r="M95" s="520"/>
      <c r="N95" s="520"/>
      <c r="O95" s="520"/>
      <c r="P95" s="520"/>
      <c r="Q95" s="520"/>
      <c r="R95" s="520"/>
      <c r="S95" s="520"/>
      <c r="T95" s="520"/>
      <c r="U95" s="520"/>
      <c r="V95" s="520"/>
      <c r="W95" s="520"/>
      <c r="X95" s="520"/>
      <c r="Y95" s="520"/>
      <c r="Z95" s="520"/>
      <c r="AA95" s="520"/>
      <c r="AB95" s="520"/>
      <c r="AC95" s="520"/>
      <c r="AD95" s="520"/>
      <c r="AE95" s="520"/>
      <c r="AF95" s="520"/>
      <c r="AG95" s="520"/>
      <c r="AH95" s="520"/>
      <c r="AI95" s="520"/>
      <c r="AJ95" s="520"/>
      <c r="AK95" s="520"/>
      <c r="AL95" s="520"/>
      <c r="AM95" s="520"/>
      <c r="AN95" s="520"/>
      <c r="AO95" s="520"/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</row>
    <row r="96" spans="2:53">
      <c r="B96" s="518"/>
      <c r="C96" s="518" t="s">
        <v>919</v>
      </c>
      <c r="D96" s="569"/>
      <c r="E96" s="570"/>
      <c r="F96" s="572">
        <f>H8</f>
        <v>61178535792</v>
      </c>
      <c r="G96" s="572"/>
      <c r="H96" s="520"/>
      <c r="I96" s="520"/>
      <c r="J96" s="520"/>
      <c r="K96" s="520"/>
      <c r="L96" s="520"/>
      <c r="M96" s="520"/>
      <c r="N96" s="520"/>
      <c r="O96" s="520"/>
      <c r="P96" s="520"/>
      <c r="Q96" s="520"/>
      <c r="R96" s="520"/>
      <c r="S96" s="520"/>
      <c r="T96" s="520"/>
      <c r="U96" s="520"/>
      <c r="V96" s="520"/>
      <c r="W96" s="520"/>
      <c r="X96" s="520"/>
      <c r="Y96" s="520"/>
      <c r="Z96" s="520"/>
      <c r="AA96" s="520"/>
      <c r="AB96" s="520"/>
      <c r="AC96" s="520"/>
      <c r="AD96" s="520"/>
      <c r="AE96" s="520"/>
      <c r="AF96" s="520"/>
      <c r="AG96" s="520"/>
      <c r="AH96" s="520"/>
      <c r="AI96" s="520"/>
      <c r="AJ96" s="520"/>
      <c r="AK96" s="520"/>
      <c r="AL96" s="520"/>
      <c r="AM96" s="520"/>
      <c r="AN96" s="520"/>
      <c r="AO96" s="520"/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</row>
    <row r="97" spans="2:53" ht="13.5" thickBot="1">
      <c r="B97" s="573"/>
      <c r="C97" s="573" t="s">
        <v>347</v>
      </c>
      <c r="D97" s="574"/>
      <c r="E97" s="575"/>
      <c r="F97" s="577">
        <f>F94-F96</f>
        <v>647</v>
      </c>
      <c r="G97" s="576"/>
      <c r="H97" s="578">
        <f>SUM(H11:H96)</f>
        <v>0</v>
      </c>
      <c r="I97" s="578">
        <f t="shared" ref="I97:AF97" si="13">SUM(I10:I96)</f>
        <v>0</v>
      </c>
      <c r="J97" s="578">
        <f t="shared" si="13"/>
        <v>0</v>
      </c>
      <c r="K97" s="578">
        <f t="shared" si="13"/>
        <v>0</v>
      </c>
      <c r="L97" s="578">
        <f t="shared" si="13"/>
        <v>0</v>
      </c>
      <c r="M97" s="578">
        <f t="shared" si="13"/>
        <v>0</v>
      </c>
      <c r="N97" s="578">
        <f t="shared" si="13"/>
        <v>0</v>
      </c>
      <c r="O97" s="578">
        <f t="shared" si="13"/>
        <v>0</v>
      </c>
      <c r="P97" s="578">
        <f t="shared" si="13"/>
        <v>0</v>
      </c>
      <c r="Q97" s="578">
        <f t="shared" si="13"/>
        <v>0</v>
      </c>
      <c r="R97" s="578">
        <f t="shared" si="13"/>
        <v>0</v>
      </c>
      <c r="S97" s="578">
        <f t="shared" si="13"/>
        <v>-1.4698638916015625</v>
      </c>
      <c r="T97" s="578">
        <f t="shared" si="13"/>
        <v>0</v>
      </c>
      <c r="U97" s="578">
        <f t="shared" si="13"/>
        <v>0.27500152587890625</v>
      </c>
      <c r="V97" s="578">
        <f t="shared" si="13"/>
        <v>-0.9976654052734375</v>
      </c>
      <c r="W97" s="578">
        <f t="shared" si="13"/>
        <v>0</v>
      </c>
      <c r="X97" s="578">
        <f t="shared" si="13"/>
        <v>0</v>
      </c>
      <c r="Y97" s="578">
        <f t="shared" si="13"/>
        <v>0</v>
      </c>
      <c r="Z97" s="578">
        <f t="shared" si="13"/>
        <v>-4</v>
      </c>
      <c r="AA97" s="578">
        <f t="shared" si="13"/>
        <v>-1</v>
      </c>
      <c r="AB97" s="578">
        <f t="shared" si="13"/>
        <v>0</v>
      </c>
      <c r="AC97" s="578">
        <f t="shared" si="13"/>
        <v>0</v>
      </c>
      <c r="AD97" s="578">
        <f t="shared" si="13"/>
        <v>0</v>
      </c>
      <c r="AE97" s="578">
        <f t="shared" si="13"/>
        <v>0</v>
      </c>
      <c r="AF97" s="578">
        <f t="shared" si="13"/>
        <v>0</v>
      </c>
      <c r="AG97" s="578"/>
      <c r="AH97" s="578"/>
      <c r="AI97" s="578">
        <f t="shared" ref="AI97:AP97" si="14">SUM(AI10:AI96)</f>
        <v>0</v>
      </c>
      <c r="AJ97" s="578">
        <f t="shared" si="14"/>
        <v>0</v>
      </c>
      <c r="AK97" s="578">
        <f t="shared" si="14"/>
        <v>0</v>
      </c>
      <c r="AL97" s="578">
        <f t="shared" si="14"/>
        <v>0</v>
      </c>
      <c r="AM97" s="578">
        <f t="shared" si="14"/>
        <v>0</v>
      </c>
      <c r="AN97" s="578">
        <f t="shared" si="14"/>
        <v>0</v>
      </c>
      <c r="AO97" s="578">
        <f t="shared" si="14"/>
        <v>0</v>
      </c>
      <c r="AP97" s="578">
        <f t="shared" si="14"/>
        <v>0</v>
      </c>
      <c r="AQ97" s="578"/>
      <c r="AR97" s="578">
        <f>SUM(AR10:AR96)</f>
        <v>0</v>
      </c>
      <c r="AS97" s="578">
        <f>SUM(AS10:AS96)</f>
        <v>0</v>
      </c>
      <c r="AT97" s="578">
        <f>SUM(AT10:AT96)</f>
        <v>-0.27490234375</v>
      </c>
      <c r="AU97" s="578">
        <f>SUM(AU10:AU96)</f>
        <v>0</v>
      </c>
      <c r="AV97" s="578">
        <f t="shared" ref="AV97" si="15">SUM(AV10:AV96)</f>
        <v>-1</v>
      </c>
      <c r="AW97" s="578">
        <f>SUM(AW10:AW96)</f>
        <v>-0.8642120361328125</v>
      </c>
      <c r="AX97" s="578">
        <f>SUM(AX10:AX96)</f>
        <v>0</v>
      </c>
      <c r="AY97" s="578">
        <f>SUM(AY10:AY96)</f>
        <v>-3.870880126953125</v>
      </c>
      <c r="AZ97" s="578">
        <f>SUM(AZ10:AZ96)</f>
        <v>659.15817260742188</v>
      </c>
      <c r="BA97" s="520"/>
    </row>
    <row r="98" spans="2:53">
      <c r="D98" s="568"/>
      <c r="E98" s="536"/>
      <c r="F98" s="571"/>
      <c r="G98" s="571"/>
      <c r="H98" s="520"/>
      <c r="I98" s="520"/>
      <c r="J98" s="520"/>
      <c r="K98" s="520"/>
      <c r="L98" s="520"/>
      <c r="M98" s="520"/>
      <c r="N98" s="520"/>
      <c r="O98" s="520"/>
      <c r="P98" s="520"/>
      <c r="Q98" s="520"/>
      <c r="R98" s="520"/>
      <c r="S98" s="520"/>
      <c r="T98" s="520"/>
      <c r="U98" s="520"/>
      <c r="V98" s="520"/>
      <c r="W98" s="520"/>
      <c r="X98" s="520"/>
      <c r="Y98" s="520"/>
      <c r="Z98" s="520"/>
      <c r="AA98" s="520"/>
      <c r="AB98" s="520"/>
      <c r="AC98" s="520"/>
      <c r="AD98" s="520"/>
      <c r="AE98" s="520"/>
      <c r="AF98" s="520"/>
      <c r="AG98" s="520"/>
      <c r="AH98" s="520"/>
      <c r="AI98" s="520"/>
      <c r="AJ98" s="520"/>
      <c r="AK98" s="520"/>
      <c r="AL98" s="520"/>
      <c r="AM98" s="520"/>
      <c r="AN98" s="520"/>
      <c r="AO98" s="520"/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</row>
    <row r="99" spans="2:53" s="579" customFormat="1">
      <c r="E99" s="580"/>
      <c r="H99" s="58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6995-BE6C-4189-8AAA-4E5BA94CEE54}">
  <dimension ref="A1:BB88"/>
  <sheetViews>
    <sheetView topLeftCell="A5" workbookViewId="0">
      <pane xSplit="5" ySplit="8" topLeftCell="F98" activePane="bottomRight" state="frozen"/>
      <selection activeCell="A5" sqref="A5"/>
      <selection pane="topRight" activeCell="F5" sqref="F5"/>
      <selection pane="bottomLeft" activeCell="A13" sqref="A13"/>
      <selection pane="bottomRight" activeCell="J28" sqref="J28"/>
    </sheetView>
  </sheetViews>
  <sheetFormatPr defaultColWidth="8.26953125" defaultRowHeight="13"/>
  <cols>
    <col min="1" max="1" width="2.7265625" style="519" customWidth="1"/>
    <col min="2" max="2" width="2" style="519" customWidth="1"/>
    <col min="3" max="3" width="25.26953125" style="519" customWidth="1"/>
    <col min="4" max="4" width="10.1796875" style="519" customWidth="1"/>
    <col min="5" max="5" width="20" style="520" customWidth="1"/>
    <col min="6" max="7" width="18.81640625" style="519" customWidth="1"/>
    <col min="8" max="8" width="20.81640625" style="519" bestFit="1" customWidth="1"/>
    <col min="9" max="9" width="18.81640625" style="519" hidden="1" customWidth="1"/>
    <col min="10" max="10" width="16.453125" style="521" customWidth="1"/>
    <col min="11" max="25" width="16.453125" style="519" customWidth="1"/>
    <col min="26" max="27" width="16.54296875" style="519" customWidth="1"/>
    <col min="28" max="33" width="16.453125" style="519" customWidth="1"/>
    <col min="34" max="34" width="18.1796875" style="519" customWidth="1"/>
    <col min="35" max="41" width="16.453125" style="519" customWidth="1"/>
    <col min="42" max="42" width="18.81640625" style="519" customWidth="1"/>
    <col min="43" max="46" width="16.453125" style="519" customWidth="1"/>
    <col min="47" max="53" width="21.54296875" style="519" customWidth="1"/>
    <col min="54" max="54" width="16.453125" style="519" customWidth="1"/>
    <col min="55" max="16384" width="8.26953125" style="519"/>
  </cols>
  <sheetData>
    <row r="1" spans="1:54">
      <c r="A1" s="518" t="s">
        <v>592</v>
      </c>
      <c r="B1" s="518"/>
      <c r="K1" s="522"/>
      <c r="N1" s="522"/>
      <c r="Z1" s="522" t="s">
        <v>823</v>
      </c>
      <c r="AH1" s="522"/>
      <c r="AM1" s="522" t="s">
        <v>823</v>
      </c>
      <c r="AS1" s="522" t="s">
        <v>823</v>
      </c>
      <c r="AT1" s="522" t="s">
        <v>823</v>
      </c>
    </row>
    <row r="2" spans="1:54">
      <c r="A2" s="518" t="s">
        <v>824</v>
      </c>
      <c r="B2" s="518"/>
    </row>
    <row r="3" spans="1:54">
      <c r="A3" s="523" t="s">
        <v>960</v>
      </c>
      <c r="B3" s="518"/>
    </row>
    <row r="4" spans="1:54">
      <c r="B4" s="518"/>
      <c r="E4" s="524" t="s">
        <v>347</v>
      </c>
      <c r="F4" s="525"/>
      <c r="G4" s="525"/>
      <c r="H4" s="525"/>
      <c r="I4" s="525"/>
      <c r="J4" s="526">
        <f t="shared" ref="J4:BA4" si="0">J86</f>
        <v>0</v>
      </c>
      <c r="K4" s="526">
        <f t="shared" si="0"/>
        <v>0</v>
      </c>
      <c r="L4" s="526">
        <f t="shared" si="0"/>
        <v>0</v>
      </c>
      <c r="M4" s="526">
        <f t="shared" si="0"/>
        <v>0</v>
      </c>
      <c r="N4" s="526">
        <f t="shared" si="0"/>
        <v>0</v>
      </c>
      <c r="O4" s="526">
        <f t="shared" si="0"/>
        <v>0</v>
      </c>
      <c r="P4" s="526">
        <f t="shared" si="0"/>
        <v>0</v>
      </c>
      <c r="Q4" s="526">
        <f t="shared" si="0"/>
        <v>0</v>
      </c>
      <c r="R4" s="526">
        <f t="shared" si="0"/>
        <v>0</v>
      </c>
      <c r="S4" s="526">
        <f t="shared" si="0"/>
        <v>0</v>
      </c>
      <c r="T4" s="526">
        <f t="shared" si="0"/>
        <v>0</v>
      </c>
      <c r="U4" s="526">
        <f t="shared" si="0"/>
        <v>2.2926025390625</v>
      </c>
      <c r="V4" s="526">
        <f t="shared" si="0"/>
        <v>0</v>
      </c>
      <c r="W4" s="526">
        <f t="shared" si="0"/>
        <v>93011946372.099976</v>
      </c>
      <c r="X4" s="526">
        <f t="shared" si="0"/>
        <v>2.5000572204589844E-2</v>
      </c>
      <c r="Y4" s="526">
        <f t="shared" si="0"/>
        <v>0</v>
      </c>
      <c r="Z4" s="526">
        <f t="shared" si="0"/>
        <v>0</v>
      </c>
      <c r="AA4" s="526">
        <f t="shared" si="0"/>
        <v>0</v>
      </c>
      <c r="AB4" s="526">
        <f t="shared" si="0"/>
        <v>0</v>
      </c>
      <c r="AC4" s="526">
        <f t="shared" si="0"/>
        <v>1</v>
      </c>
      <c r="AD4" s="526">
        <f t="shared" si="0"/>
        <v>0</v>
      </c>
      <c r="AE4" s="526">
        <f t="shared" si="0"/>
        <v>0</v>
      </c>
      <c r="AF4" s="526">
        <f t="shared" si="0"/>
        <v>0</v>
      </c>
      <c r="AG4" s="526">
        <f t="shared" si="0"/>
        <v>0</v>
      </c>
      <c r="AH4" s="526">
        <f t="shared" si="0"/>
        <v>0</v>
      </c>
      <c r="AI4" s="526">
        <f t="shared" si="0"/>
        <v>0</v>
      </c>
      <c r="AJ4" s="526">
        <f t="shared" si="0"/>
        <v>0</v>
      </c>
      <c r="AK4" s="526">
        <f t="shared" si="0"/>
        <v>0</v>
      </c>
      <c r="AL4" s="526">
        <f t="shared" si="0"/>
        <v>0</v>
      </c>
      <c r="AM4" s="526">
        <f t="shared" si="0"/>
        <v>0</v>
      </c>
      <c r="AN4" s="526">
        <f t="shared" si="0"/>
        <v>0</v>
      </c>
      <c r="AO4" s="526">
        <f t="shared" si="0"/>
        <v>0</v>
      </c>
      <c r="AP4" s="526">
        <f t="shared" si="0"/>
        <v>0</v>
      </c>
      <c r="AQ4" s="526">
        <f t="shared" si="0"/>
        <v>-93011946369.332123</v>
      </c>
      <c r="AR4" s="526">
        <f t="shared" si="0"/>
        <v>0</v>
      </c>
      <c r="AS4" s="526">
        <f t="shared" si="0"/>
        <v>0</v>
      </c>
      <c r="AT4" s="526">
        <f t="shared" si="0"/>
        <v>0</v>
      </c>
      <c r="AU4" s="526">
        <f t="shared" si="0"/>
        <v>0</v>
      </c>
      <c r="AV4" s="526">
        <f t="shared" si="0"/>
        <v>0.449951171875</v>
      </c>
      <c r="AW4" s="526">
        <f t="shared" si="0"/>
        <v>0</v>
      </c>
      <c r="AX4" s="526">
        <f t="shared" si="0"/>
        <v>0.22500002384185791</v>
      </c>
      <c r="AY4" s="526">
        <f t="shared" si="0"/>
        <v>0.91478168964385986</v>
      </c>
      <c r="AZ4" s="526">
        <f t="shared" si="0"/>
        <v>0.5047607421875</v>
      </c>
      <c r="BA4" s="526">
        <f t="shared" si="0"/>
        <v>-2.2983217239379883</v>
      </c>
    </row>
    <row r="5" spans="1:54" ht="13.5" customHeight="1">
      <c r="A5" s="527"/>
      <c r="D5" s="528"/>
      <c r="F5" s="529"/>
      <c r="G5" s="529"/>
      <c r="H5" s="529"/>
      <c r="I5" s="529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0"/>
      <c r="AB5" s="520"/>
      <c r="AC5" s="520"/>
      <c r="AD5" s="520"/>
      <c r="AE5" s="520"/>
      <c r="AF5" s="520"/>
      <c r="AG5" s="520"/>
      <c r="AH5" s="520"/>
      <c r="AI5" s="520"/>
      <c r="AJ5" s="520"/>
      <c r="AK5" s="520"/>
      <c r="AL5" s="520"/>
      <c r="AM5" s="520"/>
      <c r="AN5" s="520"/>
      <c r="AO5" s="520"/>
      <c r="AP5" s="520"/>
      <c r="AQ5" s="520"/>
      <c r="AR5" s="520"/>
      <c r="AS5" s="520"/>
      <c r="AT5" s="520"/>
      <c r="AU5" s="520"/>
      <c r="BB5" s="520"/>
    </row>
    <row r="6" spans="1:54" ht="13.5" customHeight="1">
      <c r="A6" s="527"/>
      <c r="D6" s="528"/>
      <c r="F6" s="529"/>
      <c r="G6" s="529"/>
      <c r="H6" s="529">
        <v>0.42999267578125</v>
      </c>
      <c r="I6" s="529"/>
      <c r="J6" s="530"/>
      <c r="K6" s="531"/>
      <c r="L6" s="531"/>
      <c r="M6" s="531"/>
      <c r="N6" s="531" t="s">
        <v>825</v>
      </c>
      <c r="O6" s="531"/>
      <c r="P6" s="532"/>
      <c r="Q6" s="533"/>
      <c r="R6" s="534"/>
      <c r="S6" s="534"/>
      <c r="T6" s="534"/>
      <c r="U6" s="534"/>
      <c r="V6" s="534" t="s">
        <v>826</v>
      </c>
      <c r="W6" s="534"/>
      <c r="X6" s="534"/>
      <c r="Y6" s="534"/>
      <c r="Z6" s="535"/>
      <c r="AA6" s="536"/>
      <c r="AB6" s="520"/>
      <c r="AC6" s="520"/>
      <c r="AD6" s="520"/>
      <c r="AE6" s="520"/>
      <c r="AF6" s="520"/>
      <c r="AG6" s="520"/>
      <c r="AH6" s="520"/>
      <c r="AI6" s="520"/>
      <c r="AJ6" s="520"/>
      <c r="AK6" s="520"/>
      <c r="AL6" s="520"/>
      <c r="AM6" s="520"/>
      <c r="AN6" s="520"/>
      <c r="AO6" s="520"/>
      <c r="AP6" s="520"/>
      <c r="AQ6" s="520"/>
      <c r="AR6" s="520"/>
      <c r="AS6" s="520"/>
      <c r="AT6" s="520"/>
      <c r="AU6" s="520"/>
      <c r="BB6" s="520"/>
    </row>
    <row r="7" spans="1:54" s="537" customFormat="1" ht="46.5">
      <c r="E7" s="538"/>
      <c r="G7" s="539"/>
      <c r="H7" s="540"/>
      <c r="J7" s="541" t="s">
        <v>18</v>
      </c>
      <c r="K7" s="541" t="s">
        <v>827</v>
      </c>
      <c r="L7" s="541" t="s">
        <v>25</v>
      </c>
      <c r="M7" s="541" t="s">
        <v>956</v>
      </c>
      <c r="N7" s="541" t="s">
        <v>828</v>
      </c>
      <c r="O7" s="541" t="s">
        <v>830</v>
      </c>
      <c r="P7" s="541" t="s">
        <v>831</v>
      </c>
      <c r="Q7" s="541" t="s">
        <v>832</v>
      </c>
      <c r="R7" s="541" t="s">
        <v>38</v>
      </c>
      <c r="S7" s="541" t="s">
        <v>833</v>
      </c>
      <c r="T7" s="541" t="s">
        <v>834</v>
      </c>
      <c r="U7" s="541" t="s">
        <v>835</v>
      </c>
      <c r="V7" s="541" t="s">
        <v>836</v>
      </c>
      <c r="W7" s="541" t="s">
        <v>837</v>
      </c>
      <c r="X7" s="541" t="s">
        <v>838</v>
      </c>
      <c r="Y7" s="541" t="s">
        <v>48</v>
      </c>
      <c r="Z7" s="541" t="s">
        <v>51</v>
      </c>
      <c r="AA7" s="541" t="s">
        <v>840</v>
      </c>
      <c r="AB7" s="541" t="s">
        <v>841</v>
      </c>
      <c r="AC7" s="541" t="s">
        <v>842</v>
      </c>
      <c r="AD7" s="541" t="s">
        <v>843</v>
      </c>
      <c r="AE7" s="541" t="s">
        <v>846</v>
      </c>
      <c r="AF7" s="541" t="s">
        <v>260</v>
      </c>
      <c r="AG7" s="541" t="s">
        <v>63</v>
      </c>
      <c r="AH7" s="541" t="s">
        <v>65</v>
      </c>
      <c r="AI7" s="541" t="s">
        <v>957</v>
      </c>
      <c r="AJ7" s="541" t="s">
        <v>71</v>
      </c>
      <c r="AK7" s="541" t="s">
        <v>848</v>
      </c>
      <c r="AL7" s="541" t="s">
        <v>849</v>
      </c>
      <c r="AM7" s="541" t="s">
        <v>73</v>
      </c>
      <c r="AN7" s="541" t="s">
        <v>69</v>
      </c>
      <c r="AO7" s="541" t="s">
        <v>850</v>
      </c>
      <c r="AP7" s="541" t="s">
        <v>851</v>
      </c>
      <c r="AQ7" s="541" t="s">
        <v>852</v>
      </c>
      <c r="AR7" s="541" t="s">
        <v>853</v>
      </c>
      <c r="AS7" s="541" t="s">
        <v>958</v>
      </c>
      <c r="AT7" s="541" t="s">
        <v>854</v>
      </c>
      <c r="AU7" s="541" t="s">
        <v>205</v>
      </c>
      <c r="AV7" s="541" t="s">
        <v>89</v>
      </c>
      <c r="AW7" s="541" t="s">
        <v>855</v>
      </c>
      <c r="AX7" s="541" t="s">
        <v>963</v>
      </c>
      <c r="AY7" s="541" t="s">
        <v>174</v>
      </c>
      <c r="AZ7" s="541" t="s">
        <v>95</v>
      </c>
      <c r="BA7" s="541" t="s">
        <v>856</v>
      </c>
      <c r="BB7" s="542" t="s">
        <v>347</v>
      </c>
    </row>
    <row r="8" spans="1:54" s="543" customFormat="1" ht="11.5">
      <c r="E8" s="544"/>
      <c r="F8" s="545">
        <v>45291</v>
      </c>
      <c r="G8" s="545"/>
      <c r="H8" s="546"/>
      <c r="I8" s="545">
        <v>44926</v>
      </c>
      <c r="J8" s="547">
        <f>'CF 2024'!H9</f>
        <v>75109486095</v>
      </c>
      <c r="K8" s="547">
        <f>'CF 2024'!I9</f>
        <v>323260364520</v>
      </c>
      <c r="L8" s="547">
        <f>'CF 2024'!J9</f>
        <v>15830303102</v>
      </c>
      <c r="M8" s="547">
        <f>'CF 2024'!K9</f>
        <v>20326406410</v>
      </c>
      <c r="N8" s="547">
        <f>'CF 2024'!L9</f>
        <v>38356602143</v>
      </c>
      <c r="O8" s="547">
        <f>'CF 2024'!M9</f>
        <v>11811728970</v>
      </c>
      <c r="P8" s="547">
        <f>'CF 2024'!N9</f>
        <v>159588593589</v>
      </c>
      <c r="Q8" s="547">
        <f>'CF 2024'!O9</f>
        <v>2623976876</v>
      </c>
      <c r="R8" s="547">
        <f>'CF 2024'!P9</f>
        <v>24013216750</v>
      </c>
      <c r="S8" s="547">
        <f>'CF 2024'!Q9</f>
        <v>0</v>
      </c>
      <c r="T8" s="547">
        <f>'CF 2024'!R9</f>
        <v>2156177190</v>
      </c>
      <c r="U8" s="547">
        <f>'CF 2024'!S9</f>
        <v>21832710982</v>
      </c>
      <c r="V8" s="547">
        <f>'CF 2024'!T9</f>
        <v>0</v>
      </c>
      <c r="W8" s="547">
        <f>'CF 2024'!U9</f>
        <v>11843914378</v>
      </c>
      <c r="X8" s="547">
        <f>'CF 2024'!V9</f>
        <v>24886088064</v>
      </c>
      <c r="Y8" s="547">
        <f>'CF 2024'!W9</f>
        <v>2482200000</v>
      </c>
      <c r="Z8" s="547">
        <f>'CF 2024'!X9</f>
        <v>12960995205</v>
      </c>
      <c r="AA8" s="547">
        <f>'CF 2024'!Y9</f>
        <v>0</v>
      </c>
      <c r="AB8" s="547">
        <f>'CF 2024'!Z9</f>
        <v>0</v>
      </c>
      <c r="AC8" s="547">
        <f>'CF 2024'!AA9</f>
        <v>-11841969435</v>
      </c>
      <c r="AD8" s="547">
        <f>'CF 2024'!AB9</f>
        <v>-141442017128</v>
      </c>
      <c r="AE8" s="547">
        <f>'CF 2024'!AC9</f>
        <v>-48531295722</v>
      </c>
      <c r="AF8" s="547">
        <f>'CF 2024'!AD9</f>
        <v>-5410354427</v>
      </c>
      <c r="AG8" s="547">
        <f>'CF 2024'!AE9</f>
        <v>-3998598175</v>
      </c>
      <c r="AH8" s="547">
        <f>'CF 2024'!AF9</f>
        <v>-15917342497</v>
      </c>
      <c r="AI8" s="547">
        <f>'CF 2024'!AG9</f>
        <v>0</v>
      </c>
      <c r="AJ8" s="547">
        <f>'CF 2024'!AH9</f>
        <v>0</v>
      </c>
      <c r="AK8" s="547">
        <f>'CF 2024'!AI9</f>
        <v>-5484244074</v>
      </c>
      <c r="AL8" s="547">
        <f>'CF 2024'!AJ9</f>
        <v>-59423529841</v>
      </c>
      <c r="AM8" s="547">
        <f>'CF 2024'!AK9</f>
        <v>0</v>
      </c>
      <c r="AN8" s="547">
        <f>'CF 2024'!AL9</f>
        <v>0</v>
      </c>
      <c r="AO8" s="547">
        <f>'CF 2024'!AM9</f>
        <v>0</v>
      </c>
      <c r="AP8" s="547">
        <f>'CF 2024'!AN9</f>
        <v>0</v>
      </c>
      <c r="AQ8" s="547">
        <f>'CF 2024'!AO9</f>
        <v>-89665532815</v>
      </c>
      <c r="AR8" s="547">
        <f>'CF 2024'!AP9</f>
        <v>-4853302291</v>
      </c>
      <c r="AS8" s="547">
        <f>'CF 2024'!AQ9</f>
        <v>0</v>
      </c>
      <c r="AT8" s="547">
        <f>'CF 2024'!AR9</f>
        <v>-4735334275</v>
      </c>
      <c r="AU8" s="547">
        <f>'CF 2024'!AS9</f>
        <v>-486708075000</v>
      </c>
      <c r="AV8" s="547">
        <f>'CF 2024'!AT9</f>
        <v>-1003275649843</v>
      </c>
      <c r="AW8" s="547">
        <f>'CF 2024'!AU9</f>
        <v>-42384330497</v>
      </c>
      <c r="AX8" s="547">
        <f>'CF 2024'!AV9</f>
        <v>-1505283288</v>
      </c>
      <c r="AY8" s="547">
        <f>'CF 2024'!AW9</f>
        <v>55005764507</v>
      </c>
      <c r="AZ8" s="547">
        <f>'CF 2024'!AY9</f>
        <v>649879728743</v>
      </c>
      <c r="BA8" s="547">
        <f>'CF 2024'!AZ9</f>
        <v>473208601783.68762</v>
      </c>
      <c r="BB8" s="544">
        <f>SUM(J8:BA8)</f>
        <v>-0.3123779296875</v>
      </c>
    </row>
    <row r="9" spans="1:54" s="543" customFormat="1" ht="11.5">
      <c r="E9" s="544"/>
      <c r="F9" s="545">
        <v>44926</v>
      </c>
      <c r="G9" s="545"/>
      <c r="H9" s="546"/>
      <c r="I9" s="545">
        <v>44561</v>
      </c>
      <c r="J9" s="547">
        <f>'Consol SoFP 23 &amp; 22'!BF15</f>
        <v>40661258337</v>
      </c>
      <c r="K9" s="547">
        <f>SUM('Consol SoFP 23 &amp; 22'!BF17:BF18)</f>
        <v>227940501708</v>
      </c>
      <c r="L9" s="547">
        <f>'Consol SoFP 23 &amp; 22'!BF22</f>
        <v>14442442151</v>
      </c>
      <c r="M9" s="547">
        <f>'Consol SoFP 23 &amp; 22'!BF26</f>
        <v>5180796035</v>
      </c>
      <c r="N9" s="547">
        <f>'Consol SoFP 23 &amp; 22'!BF28</f>
        <v>5434584686</v>
      </c>
      <c r="O9" s="547">
        <f>'Consol SoFP 23 &amp; 22'!BF32</f>
        <v>46432019959</v>
      </c>
      <c r="P9" s="547">
        <f>'Consol SoFP 23 &amp; 22'!BF34</f>
        <v>55354071673</v>
      </c>
      <c r="Q9" s="547">
        <f>'Consol SoFP 23 &amp; 22'!BF31</f>
        <v>90969692</v>
      </c>
      <c r="R9" s="547">
        <f>'Consol SoFP 23 &amp; 22'!BF35</f>
        <v>12634397153</v>
      </c>
      <c r="S9" s="547"/>
      <c r="T9" s="547">
        <f>'Consol SoFP 23 &amp; 22'!BF42</f>
        <v>14398163289</v>
      </c>
      <c r="U9" s="547">
        <f>'Consol SoFP 23 &amp; 22'!BF44</f>
        <v>35664033274</v>
      </c>
      <c r="V9" s="547"/>
      <c r="W9" s="547">
        <f>'Consol SoFP 23 &amp; 22'!BF46</f>
        <v>140145541230</v>
      </c>
      <c r="X9" s="547">
        <f>'Consol SoFP 23 &amp; 22'!BF45</f>
        <v>43488307487</v>
      </c>
      <c r="Y9" s="547">
        <f>'Consol SoFP 23 &amp; 22'!BF47</f>
        <v>874125000</v>
      </c>
      <c r="Z9" s="547">
        <f>'Consol SoFP 23 &amp; 22'!BF50+'Consol SoFP 23 &amp; 22'!BF48</f>
        <v>10947704500</v>
      </c>
      <c r="AA9" s="547"/>
      <c r="AB9" s="547"/>
      <c r="AC9" s="547">
        <f>'Consol SoFP 23 &amp; 22'!BF84</f>
        <v>-3469782201</v>
      </c>
      <c r="AD9" s="547">
        <f>'Consol SoFP 23 &amp; 22'!BF58</f>
        <v>-43196374892</v>
      </c>
      <c r="AE9" s="547">
        <f>SUM('Consol SoFP 23 &amp; 22'!BF60:BF61)</f>
        <v>-35633999745</v>
      </c>
      <c r="AF9" s="547">
        <f>SUM('Consol SoFP 23 &amp; 22'!BF69:BF70)</f>
        <v>0</v>
      </c>
      <c r="AG9" s="547">
        <f>'Consol SoFP 23 &amp; 22'!BF65</f>
        <v>-6108774604</v>
      </c>
      <c r="AH9" s="547">
        <f>'Consol SoFP 23 &amp; 22'!BF67</f>
        <v>-40302224</v>
      </c>
      <c r="AI9" s="547"/>
      <c r="AJ9" s="547"/>
      <c r="AK9" s="547">
        <f>'Consol SoFP 23 &amp; 22'!BF66</f>
        <v>-8775032472</v>
      </c>
      <c r="AL9" s="547">
        <f>'Consol SoFP 23 &amp; 22'!BF63</f>
        <v>-83657606012</v>
      </c>
      <c r="AM9" s="547"/>
      <c r="AN9" s="547"/>
      <c r="AO9" s="547"/>
      <c r="AP9" s="547"/>
      <c r="AQ9" s="547">
        <f>'Consol SoFP 23 &amp; 22'!BF75+'Consol SoFP 23 &amp; 22'!BF81</f>
        <v>-125095664551</v>
      </c>
      <c r="AR9" s="547">
        <f>'Consol SoFP 23 &amp; 22'!BF82</f>
        <v>-4918246882</v>
      </c>
      <c r="AS9" s="547">
        <v>0</v>
      </c>
      <c r="AT9" s="547">
        <f>'Consol SoFP 23 &amp; 22'!BF85</f>
        <v>0</v>
      </c>
      <c r="AU9" s="547">
        <f>'Consol SoFP 23 &amp; 22'!BF93</f>
        <v>-142427250000</v>
      </c>
      <c r="AV9" s="547">
        <f>'Consol SoFP 23 &amp; 22'!BF94</f>
        <v>-357853579198</v>
      </c>
      <c r="AW9" s="547">
        <f>SUM('Consol SoFP 23 &amp; 22'!BF97:BF98)</f>
        <v>-28533901860</v>
      </c>
      <c r="AX9" s="547">
        <f>SUM('Consol SoFP 23 &amp; 22'!BF104:BF105)</f>
        <v>-890579715</v>
      </c>
      <c r="AY9" s="547">
        <f>'Consol SoFP 23 &amp; 22'!BF106</f>
        <v>-2093719896</v>
      </c>
      <c r="AZ9" s="547">
        <f>SUM('Consol SoFP 23 &amp; 22'!BF101:BF102)</f>
        <v>323673912325</v>
      </c>
      <c r="BA9" s="547">
        <f>'Consol SoFP 23 &amp; 22'!BF110</f>
        <v>-134668014247</v>
      </c>
      <c r="BB9" s="544">
        <f>SUM(J9:BA9)</f>
        <v>0</v>
      </c>
    </row>
    <row r="10" spans="1:54" s="554" customFormat="1" ht="12" thickBot="1">
      <c r="A10" s="550"/>
      <c r="B10" s="550"/>
      <c r="C10" s="550"/>
      <c r="D10" s="550"/>
      <c r="E10" s="551"/>
      <c r="F10" s="552" t="s">
        <v>857</v>
      </c>
      <c r="G10" s="552"/>
      <c r="H10" s="552"/>
      <c r="I10" s="552" t="s">
        <v>857</v>
      </c>
      <c r="J10" s="553">
        <f>J8-J9</f>
        <v>34448227758</v>
      </c>
      <c r="K10" s="553">
        <f t="shared" ref="K10:BA10" si="1">K8-K9</f>
        <v>95319862812</v>
      </c>
      <c r="L10" s="553">
        <f t="shared" si="1"/>
        <v>1387860951</v>
      </c>
      <c r="M10" s="553">
        <f t="shared" si="1"/>
        <v>15145610375</v>
      </c>
      <c r="N10" s="553">
        <f t="shared" si="1"/>
        <v>32922017457</v>
      </c>
      <c r="O10" s="553">
        <f t="shared" si="1"/>
        <v>-34620290989</v>
      </c>
      <c r="P10" s="553">
        <f>P8-P9</f>
        <v>104234521916</v>
      </c>
      <c r="Q10" s="553">
        <f>Q8-Q9</f>
        <v>2533007184</v>
      </c>
      <c r="R10" s="553">
        <f>R8-R9</f>
        <v>11378819597</v>
      </c>
      <c r="S10" s="553">
        <f>S8-S9</f>
        <v>0</v>
      </c>
      <c r="T10" s="553">
        <f t="shared" si="1"/>
        <v>-12241986099</v>
      </c>
      <c r="U10" s="553">
        <f t="shared" si="1"/>
        <v>-13831322292</v>
      </c>
      <c r="V10" s="553">
        <f t="shared" si="1"/>
        <v>0</v>
      </c>
      <c r="W10" s="553">
        <f t="shared" si="1"/>
        <v>-128301626852</v>
      </c>
      <c r="X10" s="553">
        <f t="shared" si="1"/>
        <v>-18602219423</v>
      </c>
      <c r="Y10" s="553">
        <f t="shared" si="1"/>
        <v>1608075000</v>
      </c>
      <c r="Z10" s="553">
        <f t="shared" si="1"/>
        <v>2013290705</v>
      </c>
      <c r="AA10" s="553">
        <f>AA8-AA9</f>
        <v>0</v>
      </c>
      <c r="AB10" s="553">
        <f t="shared" si="1"/>
        <v>0</v>
      </c>
      <c r="AC10" s="553">
        <f t="shared" si="1"/>
        <v>-8372187234</v>
      </c>
      <c r="AD10" s="553">
        <f t="shared" si="1"/>
        <v>-98245642236</v>
      </c>
      <c r="AE10" s="553">
        <f t="shared" si="1"/>
        <v>-12897295977</v>
      </c>
      <c r="AF10" s="553">
        <f t="shared" si="1"/>
        <v>-5410354427</v>
      </c>
      <c r="AG10" s="553">
        <f t="shared" si="1"/>
        <v>2110176429</v>
      </c>
      <c r="AH10" s="553">
        <f t="shared" si="1"/>
        <v>-15877040273</v>
      </c>
      <c r="AI10" s="553">
        <f t="shared" si="1"/>
        <v>0</v>
      </c>
      <c r="AJ10" s="553">
        <f t="shared" si="1"/>
        <v>0</v>
      </c>
      <c r="AK10" s="553">
        <f t="shared" si="1"/>
        <v>3290788398</v>
      </c>
      <c r="AL10" s="553">
        <f>AL8-AL9</f>
        <v>24234076171</v>
      </c>
      <c r="AM10" s="553">
        <f t="shared" si="1"/>
        <v>0</v>
      </c>
      <c r="AN10" s="553">
        <f t="shared" si="1"/>
        <v>0</v>
      </c>
      <c r="AO10" s="553">
        <f t="shared" si="1"/>
        <v>0</v>
      </c>
      <c r="AP10" s="553">
        <f t="shared" si="1"/>
        <v>0</v>
      </c>
      <c r="AQ10" s="553">
        <f t="shared" si="1"/>
        <v>35430131736</v>
      </c>
      <c r="AR10" s="553">
        <f t="shared" si="1"/>
        <v>64944591</v>
      </c>
      <c r="AS10" s="553">
        <f t="shared" si="1"/>
        <v>0</v>
      </c>
      <c r="AT10" s="553">
        <f t="shared" si="1"/>
        <v>-4735334275</v>
      </c>
      <c r="AU10" s="553">
        <f t="shared" si="1"/>
        <v>-344280825000</v>
      </c>
      <c r="AV10" s="553">
        <f t="shared" si="1"/>
        <v>-645422070645</v>
      </c>
      <c r="AW10" s="553">
        <f t="shared" si="1"/>
        <v>-13850428637</v>
      </c>
      <c r="AX10" s="553">
        <f t="shared" si="1"/>
        <v>-614703573</v>
      </c>
      <c r="AY10" s="553">
        <f t="shared" si="1"/>
        <v>57099484403</v>
      </c>
      <c r="AZ10" s="553">
        <f t="shared" si="1"/>
        <v>326205816418</v>
      </c>
      <c r="BA10" s="553">
        <f t="shared" si="1"/>
        <v>607876616030.68762</v>
      </c>
    </row>
    <row r="11" spans="1:54" ht="13.5" customHeight="1">
      <c r="A11" s="527"/>
      <c r="D11" s="528"/>
      <c r="F11" s="555"/>
      <c r="G11" s="555"/>
      <c r="H11" s="555"/>
      <c r="I11" s="555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0"/>
      <c r="AH11" s="520"/>
      <c r="AI11" s="520"/>
      <c r="AJ11" s="520"/>
      <c r="AK11" s="520"/>
      <c r="AL11" s="520"/>
      <c r="AM11" s="520"/>
      <c r="AN11" s="520"/>
      <c r="AO11" s="520"/>
      <c r="AP11" s="520"/>
      <c r="AQ11" s="520"/>
      <c r="AR11" s="520"/>
      <c r="AS11" s="520"/>
      <c r="AT11" s="520"/>
      <c r="AU11" s="520"/>
      <c r="BB11" s="520"/>
    </row>
    <row r="12" spans="1:54" ht="13.5" customHeight="1">
      <c r="A12" s="527" t="s">
        <v>858</v>
      </c>
      <c r="D12" s="528"/>
      <c r="F12" s="556" t="s">
        <v>859</v>
      </c>
      <c r="G12" s="556" t="s">
        <v>823</v>
      </c>
      <c r="H12" s="556" t="s">
        <v>860</v>
      </c>
      <c r="I12" s="556"/>
      <c r="J12" s="520"/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520"/>
      <c r="W12" s="520"/>
      <c r="X12" s="520"/>
      <c r="Y12" s="520"/>
      <c r="Z12" s="520"/>
      <c r="AA12" s="520"/>
      <c r="AB12" s="520"/>
      <c r="AC12" s="520"/>
      <c r="AD12" s="520"/>
      <c r="AE12" s="520"/>
      <c r="AF12" s="520"/>
      <c r="AG12" s="520"/>
      <c r="AH12" s="520"/>
      <c r="AI12" s="520"/>
      <c r="AJ12" s="520"/>
      <c r="AK12" s="520"/>
      <c r="AL12" s="520"/>
      <c r="AM12" s="520"/>
      <c r="AN12" s="520"/>
      <c r="AO12" s="520"/>
      <c r="AP12" s="520"/>
      <c r="AQ12" s="520"/>
      <c r="AR12" s="520"/>
      <c r="AS12" s="520"/>
      <c r="AT12" s="520"/>
      <c r="AU12" s="520"/>
      <c r="BB12" s="520"/>
    </row>
    <row r="13" spans="1:54" ht="13.5" customHeight="1">
      <c r="B13" s="519" t="s">
        <v>861</v>
      </c>
      <c r="D13" s="528"/>
      <c r="E13" s="559"/>
      <c r="F13" s="557">
        <v>-306555782011.98303</v>
      </c>
      <c r="G13" s="557">
        <f>H13-F13</f>
        <v>-690171916863.01697</v>
      </c>
      <c r="H13" s="558">
        <f>ROUND(SUM(J13:BA13),0)</f>
        <v>-996727698875</v>
      </c>
      <c r="I13" s="557"/>
      <c r="J13" s="520"/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520"/>
      <c r="W13" s="520"/>
      <c r="X13" s="520"/>
      <c r="Y13" s="520"/>
      <c r="Z13" s="520"/>
      <c r="AA13" s="520"/>
      <c r="AB13" s="520"/>
      <c r="AC13" s="520">
        <f>'Consol SoPL-OCI 23 &amp; 22'!AC56</f>
        <v>8372187235</v>
      </c>
      <c r="AD13" s="520"/>
      <c r="AE13" s="520"/>
      <c r="AF13" s="520"/>
      <c r="AG13" s="520">
        <v>0</v>
      </c>
      <c r="AH13" s="520"/>
      <c r="AI13" s="520"/>
      <c r="AJ13" s="520"/>
      <c r="AK13" s="520"/>
      <c r="AL13" s="520"/>
      <c r="AM13" s="520"/>
      <c r="AN13" s="520"/>
      <c r="AO13" s="520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>
        <f>'Consol SoPL-OCI 23 &amp; 22'!AC61</f>
        <v>-58403961762.594269</v>
      </c>
      <c r="AZ13" s="520">
        <f>-'Consol SoPL-OCI 23 &amp; 22'!AC86</f>
        <v>-326205816417.49524</v>
      </c>
      <c r="BA13" s="520">
        <f>-'Consol SoPL-OCI 23 &amp; 22'!AC87</f>
        <v>-620490107930.3269</v>
      </c>
      <c r="BB13" s="520">
        <f>H13-SUM(J13:BA13)</f>
        <v>0.4163818359375</v>
      </c>
    </row>
    <row r="14" spans="1:54">
      <c r="D14" s="528"/>
      <c r="F14" s="557"/>
      <c r="G14" s="557"/>
      <c r="H14" s="557"/>
      <c r="I14" s="557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  <c r="W14" s="520"/>
      <c r="X14" s="520"/>
      <c r="Y14" s="520"/>
      <c r="Z14" s="520"/>
      <c r="AA14" s="520"/>
      <c r="AB14" s="520"/>
      <c r="AC14" s="520"/>
      <c r="AD14" s="520"/>
      <c r="AE14" s="520"/>
      <c r="AF14" s="520"/>
      <c r="AG14" s="520"/>
      <c r="AH14" s="520"/>
      <c r="AI14" s="520"/>
      <c r="AJ14" s="520"/>
      <c r="AK14" s="520"/>
      <c r="AL14" s="520"/>
      <c r="AM14" s="520"/>
      <c r="AN14" s="520"/>
      <c r="AO14" s="520"/>
      <c r="AP14" s="520"/>
      <c r="AQ14" s="520"/>
      <c r="AR14" s="520"/>
      <c r="AS14" s="520"/>
      <c r="AT14" s="520"/>
      <c r="AU14" s="520"/>
      <c r="BB14" s="520"/>
    </row>
    <row r="15" spans="1:54">
      <c r="B15" s="519" t="s">
        <v>862</v>
      </c>
      <c r="D15" s="528"/>
      <c r="F15" s="559"/>
      <c r="G15" s="559"/>
      <c r="H15" s="559"/>
      <c r="I15" s="559"/>
      <c r="J15" s="520"/>
      <c r="K15" s="520"/>
      <c r="L15" s="520"/>
      <c r="M15" s="520"/>
      <c r="N15" s="520"/>
      <c r="O15" s="520"/>
      <c r="P15" s="520"/>
      <c r="Q15" s="520"/>
      <c r="R15" s="520"/>
      <c r="S15" s="520"/>
      <c r="T15" s="520"/>
      <c r="U15" s="520"/>
      <c r="V15" s="520"/>
      <c r="W15" s="520"/>
      <c r="X15" s="520"/>
      <c r="Y15" s="520"/>
      <c r="Z15" s="520"/>
      <c r="AA15" s="520"/>
      <c r="AB15" s="520"/>
      <c r="AC15" s="520"/>
      <c r="AD15" s="520"/>
      <c r="AE15" s="520"/>
      <c r="AF15" s="520"/>
      <c r="AG15" s="520"/>
      <c r="AH15" s="520"/>
      <c r="AI15" s="520"/>
      <c r="AJ15" s="520"/>
      <c r="AK15" s="520"/>
      <c r="AL15" s="520"/>
      <c r="AM15" s="520"/>
      <c r="AN15" s="520"/>
      <c r="AO15" s="520"/>
      <c r="AP15" s="520"/>
      <c r="AQ15" s="520"/>
      <c r="AR15" s="520"/>
      <c r="AS15" s="520"/>
      <c r="AT15" s="520"/>
      <c r="AU15" s="520"/>
      <c r="BB15" s="520"/>
    </row>
    <row r="16" spans="1:54">
      <c r="C16" s="519" t="s">
        <v>863</v>
      </c>
      <c r="D16" s="528"/>
      <c r="E16" s="559"/>
      <c r="F16" s="559">
        <v>126032479.64999999</v>
      </c>
      <c r="G16" s="559">
        <f>H16-F16</f>
        <v>17543936017.349998</v>
      </c>
      <c r="H16" s="559">
        <f t="shared" ref="H16:H27" si="2">ROUND(SUM(J16:BA16),0)</f>
        <v>17669968497</v>
      </c>
      <c r="I16" s="559"/>
      <c r="J16" s="520"/>
      <c r="K16" s="520"/>
      <c r="L16" s="520"/>
      <c r="M16" s="520"/>
      <c r="N16" s="520"/>
      <c r="O16" s="520"/>
      <c r="P16" s="520"/>
      <c r="Q16" s="520"/>
      <c r="R16" s="520"/>
      <c r="S16" s="520"/>
      <c r="T16" s="520"/>
      <c r="U16" s="520">
        <f>-'Supplementary CF 23'!M24</f>
        <v>17669968496.727749</v>
      </c>
      <c r="V16" s="520"/>
      <c r="W16" s="520"/>
      <c r="X16" s="520"/>
      <c r="Y16" s="520"/>
      <c r="Z16" s="520"/>
      <c r="AA16" s="520"/>
      <c r="AB16" s="520"/>
      <c r="AC16" s="520"/>
      <c r="AD16" s="520"/>
      <c r="AE16" s="520"/>
      <c r="AF16" s="520"/>
      <c r="AG16" s="520"/>
      <c r="AH16" s="520"/>
      <c r="AI16" s="520"/>
      <c r="AJ16" s="520"/>
      <c r="AK16" s="520"/>
      <c r="AL16" s="520"/>
      <c r="AM16" s="520"/>
      <c r="AN16" s="520"/>
      <c r="AO16" s="520"/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>
        <f t="shared" ref="BB16:BB31" si="3">H16-SUM(J16:BA16)</f>
        <v>0.27225112915039063</v>
      </c>
    </row>
    <row r="17" spans="3:54">
      <c r="C17" s="519" t="s">
        <v>864</v>
      </c>
      <c r="D17" s="528"/>
      <c r="F17" s="559">
        <v>0</v>
      </c>
      <c r="G17" s="559">
        <f t="shared" ref="G17:G30" si="4">H17-F17</f>
        <v>32453747018</v>
      </c>
      <c r="H17" s="559">
        <f t="shared" si="2"/>
        <v>32453747018</v>
      </c>
      <c r="I17" s="559"/>
      <c r="J17" s="520"/>
      <c r="K17" s="520"/>
      <c r="L17" s="520"/>
      <c r="M17" s="520"/>
      <c r="N17" s="520"/>
      <c r="O17" s="520"/>
      <c r="P17" s="520"/>
      <c r="Q17" s="520"/>
      <c r="R17" s="520"/>
      <c r="S17" s="520"/>
      <c r="T17" s="520"/>
      <c r="U17" s="520">
        <f>-'Supplementary CF 23'!M25</f>
        <v>32453747017.514847</v>
      </c>
      <c r="V17" s="520"/>
      <c r="W17" s="520"/>
      <c r="X17" s="520"/>
      <c r="Y17" s="520"/>
      <c r="Z17" s="520"/>
      <c r="AA17" s="520"/>
      <c r="AB17" s="520"/>
      <c r="AC17" s="520"/>
      <c r="AD17" s="520"/>
      <c r="AE17" s="520"/>
      <c r="AF17" s="520"/>
      <c r="AG17" s="520"/>
      <c r="AH17" s="520"/>
      <c r="AI17" s="520"/>
      <c r="AJ17" s="520"/>
      <c r="AK17" s="520"/>
      <c r="AL17" s="520"/>
      <c r="AM17" s="520"/>
      <c r="AN17" s="520"/>
      <c r="AO17" s="520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>
        <f t="shared" si="3"/>
        <v>0.4851531982421875</v>
      </c>
    </row>
    <row r="18" spans="3:54">
      <c r="C18" s="519" t="s">
        <v>865</v>
      </c>
      <c r="D18" s="528"/>
      <c r="F18" s="559">
        <v>0</v>
      </c>
      <c r="G18" s="559">
        <f t="shared" si="4"/>
        <v>83296105213</v>
      </c>
      <c r="H18" s="559">
        <f t="shared" si="2"/>
        <v>83296105213</v>
      </c>
      <c r="I18" s="559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/>
      <c r="V18" s="520"/>
      <c r="W18" s="520">
        <f>-'Supplementary CF 23'!F43</f>
        <v>83296105212.599991</v>
      </c>
      <c r="X18" s="520"/>
      <c r="Y18" s="520"/>
      <c r="Z18" s="520"/>
      <c r="AA18" s="520"/>
      <c r="AB18" s="520"/>
      <c r="AC18" s="520"/>
      <c r="AD18" s="520"/>
      <c r="AE18" s="520"/>
      <c r="AF18" s="520"/>
      <c r="AG18" s="520"/>
      <c r="AH18" s="520"/>
      <c r="AI18" s="520"/>
      <c r="AJ18" s="520"/>
      <c r="AK18" s="520"/>
      <c r="AL18" s="520"/>
      <c r="AM18" s="520"/>
      <c r="AN18" s="520"/>
      <c r="AO18" s="520"/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>
        <f t="shared" si="3"/>
        <v>0.4000091552734375</v>
      </c>
    </row>
    <row r="19" spans="3:54">
      <c r="C19" s="519" t="s">
        <v>866</v>
      </c>
      <c r="D19" s="528"/>
      <c r="F19" s="559">
        <v>0</v>
      </c>
      <c r="G19" s="559">
        <f t="shared" si="4"/>
        <v>88325573940</v>
      </c>
      <c r="H19" s="559">
        <f t="shared" si="2"/>
        <v>88325573940</v>
      </c>
      <c r="I19" s="559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/>
      <c r="V19" s="520"/>
      <c r="W19" s="520">
        <f>-'Supplementary CF 23'!F44</f>
        <v>88325573940.449997</v>
      </c>
      <c r="X19" s="520"/>
      <c r="Y19" s="520"/>
      <c r="Z19" s="520"/>
      <c r="AA19" s="520"/>
      <c r="AB19" s="520"/>
      <c r="AC19" s="520"/>
      <c r="AD19" s="520"/>
      <c r="AE19" s="520"/>
      <c r="AF19" s="520"/>
      <c r="AG19" s="520"/>
      <c r="AH19" s="520"/>
      <c r="AI19" s="520"/>
      <c r="AJ19" s="520"/>
      <c r="AK19" s="520"/>
      <c r="AL19" s="520"/>
      <c r="AM19" s="520"/>
      <c r="AN19" s="520"/>
      <c r="AO19" s="520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>
        <f t="shared" si="3"/>
        <v>-0.4499969482421875</v>
      </c>
    </row>
    <row r="20" spans="3:54">
      <c r="C20" s="519" t="s">
        <v>867</v>
      </c>
      <c r="D20" s="528"/>
      <c r="F20" s="559">
        <v>0</v>
      </c>
      <c r="G20" s="559">
        <f t="shared" si="4"/>
        <v>-7662849305</v>
      </c>
      <c r="H20" s="559">
        <f t="shared" si="2"/>
        <v>-7662849305</v>
      </c>
      <c r="I20" s="559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/>
      <c r="V20" s="520"/>
      <c r="W20" s="520">
        <f>-'Supplementary CF 23'!F42</f>
        <v>49691894071.049995</v>
      </c>
      <c r="X20" s="520"/>
      <c r="Y20" s="520"/>
      <c r="Z20" s="520"/>
      <c r="AA20" s="520"/>
      <c r="AB20" s="520"/>
      <c r="AC20" s="520"/>
      <c r="AD20" s="520"/>
      <c r="AE20" s="520"/>
      <c r="AF20" s="520"/>
      <c r="AG20" s="520"/>
      <c r="AH20" s="520"/>
      <c r="AI20" s="520"/>
      <c r="AJ20" s="520"/>
      <c r="AK20" s="520"/>
      <c r="AL20" s="520"/>
      <c r="AM20" s="520"/>
      <c r="AN20" s="520"/>
      <c r="AO20" s="520"/>
      <c r="AP20" s="520"/>
      <c r="AQ20" s="520">
        <f>'Supplementary CF 23'!F55</f>
        <v>-57354743376</v>
      </c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>
        <f t="shared" si="3"/>
        <v>-4.999542236328125E-2</v>
      </c>
    </row>
    <row r="21" spans="3:54">
      <c r="C21" s="519" t="s">
        <v>869</v>
      </c>
      <c r="D21" s="528"/>
      <c r="F21" s="559">
        <v>6937353471.8249998</v>
      </c>
      <c r="G21" s="559">
        <f t="shared" si="4"/>
        <v>3917849626.1750002</v>
      </c>
      <c r="H21" s="559">
        <f t="shared" si="2"/>
        <v>10855203098</v>
      </c>
      <c r="I21" s="559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  <c r="U21" s="520"/>
      <c r="V21" s="520"/>
      <c r="W21" s="520"/>
      <c r="X21" s="520">
        <f>-'Supplementary CF 23'!M66</f>
        <v>10855203097.725</v>
      </c>
      <c r="Y21" s="520"/>
      <c r="Z21" s="520"/>
      <c r="AA21" s="520"/>
      <c r="AB21" s="520"/>
      <c r="AC21" s="520"/>
      <c r="AD21" s="520"/>
      <c r="AE21" s="520"/>
      <c r="AF21" s="520"/>
      <c r="AG21" s="520"/>
      <c r="AH21" s="520"/>
      <c r="AI21" s="520"/>
      <c r="AJ21" s="520"/>
      <c r="AK21" s="520"/>
      <c r="AL21" s="520"/>
      <c r="AM21" s="520"/>
      <c r="AN21" s="520"/>
      <c r="AO21" s="5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>
        <f t="shared" si="3"/>
        <v>0.27499961853027344</v>
      </c>
    </row>
    <row r="22" spans="3:54">
      <c r="C22" s="519" t="s">
        <v>870</v>
      </c>
      <c r="D22" s="528"/>
      <c r="F22" s="559">
        <v>7747016325.3000002</v>
      </c>
      <c r="G22" s="559">
        <f t="shared" si="4"/>
        <v>-0.30000019073486328</v>
      </c>
      <c r="H22" s="559">
        <f t="shared" si="2"/>
        <v>7747016325</v>
      </c>
      <c r="I22" s="559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  <c r="U22" s="520"/>
      <c r="V22" s="520"/>
      <c r="W22" s="520"/>
      <c r="X22" s="520">
        <f>-'Supplementary CF 23'!M67</f>
        <v>7747016325.3000002</v>
      </c>
      <c r="Y22" s="520"/>
      <c r="Z22" s="520"/>
      <c r="AA22" s="520"/>
      <c r="AB22" s="520"/>
      <c r="AC22" s="520"/>
      <c r="AD22" s="520"/>
      <c r="AE22" s="520"/>
      <c r="AF22" s="520"/>
      <c r="AG22" s="520"/>
      <c r="AH22" s="520"/>
      <c r="AI22" s="520"/>
      <c r="AJ22" s="520"/>
      <c r="AK22" s="520"/>
      <c r="AL22" s="520"/>
      <c r="AM22" s="520"/>
      <c r="AN22" s="520"/>
      <c r="AO22" s="520"/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>
        <f t="shared" si="3"/>
        <v>-0.30000019073486328</v>
      </c>
    </row>
    <row r="23" spans="3:54">
      <c r="C23" s="519" t="s">
        <v>871</v>
      </c>
      <c r="D23" s="528"/>
      <c r="F23" s="559">
        <v>0</v>
      </c>
      <c r="G23" s="559">
        <f t="shared" si="4"/>
        <v>133536375</v>
      </c>
      <c r="H23" s="559">
        <f t="shared" si="2"/>
        <v>133536375</v>
      </c>
      <c r="I23" s="559"/>
      <c r="J23" s="520"/>
      <c r="K23" s="520"/>
      <c r="L23" s="520"/>
      <c r="M23" s="520"/>
      <c r="N23" s="520"/>
      <c r="O23" s="520"/>
      <c r="P23" s="520"/>
      <c r="Q23" s="520"/>
      <c r="R23" s="520"/>
      <c r="S23" s="520"/>
      <c r="T23" s="520"/>
      <c r="U23" s="520">
        <f>-'Supplementary CF 23'!M23</f>
        <v>133536375</v>
      </c>
      <c r="V23" s="520"/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0"/>
      <c r="AH23" s="520"/>
      <c r="AI23" s="520"/>
      <c r="AJ23" s="520"/>
      <c r="AK23" s="520"/>
      <c r="AL23" s="520"/>
      <c r="AM23" s="520"/>
      <c r="AN23" s="520"/>
      <c r="AO23" s="5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>
        <f t="shared" si="3"/>
        <v>0</v>
      </c>
    </row>
    <row r="24" spans="3:54">
      <c r="C24" s="519" t="s">
        <v>872</v>
      </c>
      <c r="D24" s="528"/>
      <c r="F24" s="559">
        <v>501958297.57499999</v>
      </c>
      <c r="G24" s="559">
        <f t="shared" si="4"/>
        <v>888904201.42499995</v>
      </c>
      <c r="H24" s="559">
        <f t="shared" si="2"/>
        <v>1390862499</v>
      </c>
      <c r="I24" s="559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/>
      <c r="AA24" s="520"/>
      <c r="AB24" s="520"/>
      <c r="AC24" s="520"/>
      <c r="AD24" s="520"/>
      <c r="AE24" s="520"/>
      <c r="AF24" s="520"/>
      <c r="AG24" s="520"/>
      <c r="AH24" s="520"/>
      <c r="AI24" s="520"/>
      <c r="AJ24" s="520"/>
      <c r="AK24" s="520"/>
      <c r="AL24" s="520"/>
      <c r="AM24" s="520"/>
      <c r="AN24" s="520"/>
      <c r="AO24" s="520"/>
      <c r="AP24" s="520"/>
      <c r="AQ24" s="520"/>
      <c r="AR24" s="520">
        <f>-AR10</f>
        <v>-64944591</v>
      </c>
      <c r="AS24" s="520"/>
      <c r="AT24" s="520"/>
      <c r="AU24" s="520"/>
      <c r="AV24" s="520"/>
      <c r="AW24" s="520"/>
      <c r="AX24" s="520">
        <f>-'Supplementary CF 23'!E88</f>
        <v>614703573.22500002</v>
      </c>
      <c r="AY24" s="520">
        <f>-'Supplementary CF 23'!K100</f>
        <v>27756416.058525</v>
      </c>
      <c r="AZ24" s="520"/>
      <c r="BA24" s="520">
        <f>-'NCI Detail &amp; Movement'!J194</f>
        <v>813347100.86647499</v>
      </c>
      <c r="BB24" s="520">
        <f t="shared" si="3"/>
        <v>-0.15000009536743164</v>
      </c>
    </row>
    <row r="25" spans="3:54">
      <c r="C25" s="519" t="s">
        <v>873</v>
      </c>
      <c r="D25" s="528"/>
      <c r="F25" s="559">
        <v>2587048838.3249998</v>
      </c>
      <c r="G25" s="559">
        <f t="shared" si="4"/>
        <v>-687590038.32499981</v>
      </c>
      <c r="H25" s="559">
        <f t="shared" si="2"/>
        <v>1899458800</v>
      </c>
      <c r="I25" s="559"/>
      <c r="J25" s="520"/>
      <c r="K25" s="520">
        <f>SUM('Supplementary CF 23'!K10,'Supplementary CF 23'!K12)</f>
        <v>1899458800.4250002</v>
      </c>
      <c r="L25" s="520">
        <v>0</v>
      </c>
      <c r="M25" s="520"/>
      <c r="N25" s="520"/>
      <c r="O25" s="520"/>
      <c r="P25" s="520"/>
      <c r="Q25" s="520">
        <v>0</v>
      </c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0"/>
      <c r="AH25" s="520"/>
      <c r="AI25" s="520"/>
      <c r="AJ25" s="520"/>
      <c r="AK25" s="520"/>
      <c r="AL25" s="520"/>
      <c r="AM25" s="520"/>
      <c r="AN25" s="520"/>
      <c r="AO25" s="520"/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>
        <f t="shared" si="3"/>
        <v>-0.42500019073486328</v>
      </c>
    </row>
    <row r="26" spans="3:54">
      <c r="C26" s="519" t="s">
        <v>1131</v>
      </c>
      <c r="D26" s="528"/>
      <c r="F26" s="559">
        <v>0</v>
      </c>
      <c r="G26" s="559">
        <f t="shared" si="4"/>
        <v>5028226875</v>
      </c>
      <c r="H26" s="559">
        <f t="shared" si="2"/>
        <v>5028226875</v>
      </c>
      <c r="I26" s="559"/>
      <c r="J26" s="520"/>
      <c r="K26" s="520">
        <f>-'Supplementary CF 23'!K11</f>
        <v>5028226875</v>
      </c>
      <c r="L26" s="520">
        <v>0</v>
      </c>
      <c r="M26" s="520"/>
      <c r="N26" s="520"/>
      <c r="O26" s="520"/>
      <c r="P26" s="520"/>
      <c r="Q26" s="520">
        <v>0</v>
      </c>
      <c r="R26" s="520"/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0"/>
      <c r="AJ26" s="520"/>
      <c r="AK26" s="520"/>
      <c r="AL26" s="520"/>
      <c r="AM26" s="520"/>
      <c r="AN26" s="520"/>
      <c r="AO26" s="520"/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>
        <f t="shared" si="3"/>
        <v>0</v>
      </c>
    </row>
    <row r="27" spans="3:54">
      <c r="C27" s="519" t="s">
        <v>92</v>
      </c>
      <c r="D27" s="528"/>
      <c r="F27" s="559">
        <v>13850428636.799999</v>
      </c>
      <c r="G27" s="559">
        <f t="shared" si="4"/>
        <v>7005370700.2000008</v>
      </c>
      <c r="H27" s="559">
        <f t="shared" si="2"/>
        <v>20855799337</v>
      </c>
      <c r="I27" s="559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0"/>
      <c r="AG27" s="520"/>
      <c r="AH27" s="520"/>
      <c r="AI27" s="520"/>
      <c r="AJ27" s="520"/>
      <c r="AK27" s="520"/>
      <c r="AL27" s="520"/>
      <c r="AM27" s="520"/>
      <c r="AN27" s="520"/>
      <c r="AO27" s="520"/>
      <c r="AP27" s="520"/>
      <c r="AQ27" s="520"/>
      <c r="AR27" s="520">
        <v>0</v>
      </c>
      <c r="AS27" s="520"/>
      <c r="AT27" s="520">
        <v>0</v>
      </c>
      <c r="AU27" s="520"/>
      <c r="AV27" s="520"/>
      <c r="AW27" s="520">
        <f>-AW10</f>
        <v>13850428637</v>
      </c>
      <c r="AX27" s="520"/>
      <c r="AY27" s="520">
        <f>-'Supplementary CF 23'!K101</f>
        <v>231177233.115675</v>
      </c>
      <c r="AZ27" s="520"/>
      <c r="BA27" s="520">
        <f>-'NCI Detail &amp; Movement'!L194</f>
        <v>6774193467.3593245</v>
      </c>
      <c r="BB27" s="520">
        <f t="shared" si="3"/>
        <v>-0.47499847412109375</v>
      </c>
    </row>
    <row r="28" spans="3:54">
      <c r="C28" s="519" t="s">
        <v>875</v>
      </c>
      <c r="D28" s="528"/>
      <c r="F28" s="559">
        <v>-24693637285.799999</v>
      </c>
      <c r="G28" s="559">
        <f t="shared" si="4"/>
        <v>16087755259.262722</v>
      </c>
      <c r="H28" s="559">
        <f>SUM(J28:BA28)</f>
        <v>-8605882026.5372772</v>
      </c>
      <c r="I28" s="559"/>
      <c r="J28" s="520"/>
      <c r="K28" s="520"/>
      <c r="L28" s="520"/>
      <c r="M28" s="520"/>
      <c r="N28" s="520"/>
      <c r="O28" s="520"/>
      <c r="P28" s="520"/>
      <c r="Q28" s="520">
        <v>0</v>
      </c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20"/>
      <c r="AF28" s="520"/>
      <c r="AG28" s="520"/>
      <c r="AH28" s="520"/>
      <c r="AI28" s="520"/>
      <c r="AJ28" s="520"/>
      <c r="AK28" s="520"/>
      <c r="AL28" s="520"/>
      <c r="AM28" s="520"/>
      <c r="AN28" s="520"/>
      <c r="AO28" s="520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>
        <f>'Consol SoPL-OCI 23 &amp; 22'!AC35</f>
        <v>-8605882026.5372772</v>
      </c>
      <c r="BA28" s="520"/>
      <c r="BB28" s="520">
        <f t="shared" si="3"/>
        <v>0</v>
      </c>
    </row>
    <row r="29" spans="3:54" ht="12.65" customHeight="1">
      <c r="C29" s="519" t="s">
        <v>876</v>
      </c>
      <c r="D29" s="528"/>
      <c r="F29" s="559">
        <v>3839026341.1500001</v>
      </c>
      <c r="G29" s="559">
        <f t="shared" si="4"/>
        <v>28075197465.803631</v>
      </c>
      <c r="H29" s="559">
        <f>SUM(J29:BA29)</f>
        <v>31914223806.953632</v>
      </c>
      <c r="I29" s="559"/>
      <c r="J29" s="520"/>
      <c r="K29" s="520"/>
      <c r="L29" s="520"/>
      <c r="M29" s="520"/>
      <c r="N29" s="520"/>
      <c r="O29" s="520"/>
      <c r="P29" s="520"/>
      <c r="Q29" s="520"/>
      <c r="R29" s="520"/>
      <c r="S29" s="520"/>
      <c r="T29" s="520"/>
      <c r="U29" s="520"/>
      <c r="V29" s="520"/>
      <c r="W29" s="520"/>
      <c r="X29" s="520"/>
      <c r="Y29" s="520"/>
      <c r="Z29" s="520"/>
      <c r="AA29" s="520"/>
      <c r="AB29" s="520"/>
      <c r="AC29" s="520"/>
      <c r="AD29" s="520"/>
      <c r="AE29" s="520"/>
      <c r="AF29" s="520"/>
      <c r="AG29" s="520"/>
      <c r="AH29" s="520"/>
      <c r="AI29" s="520"/>
      <c r="AJ29" s="520"/>
      <c r="AK29" s="520"/>
      <c r="AL29" s="520"/>
      <c r="AM29" s="520"/>
      <c r="AN29" s="520"/>
      <c r="AO29" s="520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>
        <f>'Consol SoPL-OCI 23 &amp; 22'!AC36</f>
        <v>31914223806.953632</v>
      </c>
      <c r="BA29" s="520"/>
      <c r="BB29" s="520">
        <f t="shared" si="3"/>
        <v>0</v>
      </c>
    </row>
    <row r="30" spans="3:54" ht="12.65" customHeight="1">
      <c r="C30" s="519" t="s">
        <v>877</v>
      </c>
      <c r="D30" s="528"/>
      <c r="F30" s="559">
        <v>0</v>
      </c>
      <c r="G30" s="559">
        <f t="shared" si="4"/>
        <v>13001777997</v>
      </c>
      <c r="H30" s="559">
        <f>ROUND(SUM(J30:BA30),0)</f>
        <v>13001777997</v>
      </c>
      <c r="I30" s="559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0"/>
      <c r="AH30" s="520"/>
      <c r="AI30" s="520"/>
      <c r="AJ30" s="520"/>
      <c r="AK30" s="520"/>
      <c r="AL30" s="520"/>
      <c r="AM30" s="520"/>
      <c r="AN30" s="520"/>
      <c r="AO30" s="520"/>
      <c r="AP30" s="520"/>
      <c r="AQ30" s="520">
        <f>'Supplementary CF 23'!F53</f>
        <v>13001777996.817863</v>
      </c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>
        <f t="shared" si="3"/>
        <v>0.18213653564453125</v>
      </c>
    </row>
    <row r="31" spans="3:54">
      <c r="D31" s="528"/>
      <c r="F31" s="561"/>
      <c r="G31" s="561"/>
      <c r="H31" s="561"/>
      <c r="I31" s="562"/>
      <c r="J31" s="520"/>
      <c r="K31" s="520"/>
      <c r="L31" s="520"/>
      <c r="M31" s="520"/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  <c r="Y31" s="520"/>
      <c r="Z31" s="520"/>
      <c r="AA31" s="520"/>
      <c r="AB31" s="520"/>
      <c r="AC31" s="520"/>
      <c r="AD31" s="520"/>
      <c r="AE31" s="520"/>
      <c r="AF31" s="520"/>
      <c r="AG31" s="520"/>
      <c r="AH31" s="520"/>
      <c r="AI31" s="520"/>
      <c r="AJ31" s="520"/>
      <c r="AK31" s="520"/>
      <c r="AL31" s="520"/>
      <c r="AM31" s="520"/>
      <c r="AN31" s="520"/>
      <c r="AO31" s="520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>
        <f t="shared" si="3"/>
        <v>0</v>
      </c>
    </row>
    <row r="32" spans="3:54">
      <c r="D32" s="528"/>
      <c r="F32" s="557">
        <f>SUM(F13:F31)</f>
        <v>-295660554907.15796</v>
      </c>
      <c r="G32" s="557">
        <f>SUM(G13:G31)</f>
        <v>-402764375518.42566</v>
      </c>
      <c r="H32" s="557">
        <f>SUM(H13:H31)</f>
        <v>-698424930425.58362</v>
      </c>
      <c r="I32" s="557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  <c r="Y32" s="520"/>
      <c r="Z32" s="520"/>
      <c r="AA32" s="520"/>
      <c r="AB32" s="520"/>
      <c r="AC32" s="520"/>
      <c r="AD32" s="520"/>
      <c r="AE32" s="520"/>
      <c r="AF32" s="520"/>
      <c r="AG32" s="520"/>
      <c r="AH32" s="520"/>
      <c r="AI32" s="520"/>
      <c r="AJ32" s="520"/>
      <c r="AK32" s="520"/>
      <c r="AL32" s="520"/>
      <c r="AM32" s="520"/>
      <c r="AN32" s="520"/>
      <c r="AO32" s="52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>
        <v>0</v>
      </c>
    </row>
    <row r="33" spans="2:54">
      <c r="B33" s="519" t="s">
        <v>878</v>
      </c>
      <c r="D33" s="528"/>
      <c r="F33" s="559"/>
      <c r="G33" s="559"/>
      <c r="H33" s="559"/>
      <c r="I33" s="559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0"/>
      <c r="AH33" s="520"/>
      <c r="AI33" s="520"/>
      <c r="AJ33" s="520"/>
      <c r="AK33" s="520"/>
      <c r="AL33" s="520"/>
      <c r="AM33" s="520"/>
      <c r="AN33" s="520"/>
      <c r="AO33" s="520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>
        <f t="shared" ref="BB33:BB43" si="5">H33-SUM(J33:BA33)</f>
        <v>0</v>
      </c>
    </row>
    <row r="34" spans="2:54">
      <c r="C34" s="519" t="s">
        <v>827</v>
      </c>
      <c r="D34" s="528"/>
      <c r="F34" s="559">
        <f>42097916433.825-3796710247.575</f>
        <v>38301206186.25</v>
      </c>
      <c r="G34" s="559">
        <f t="shared" ref="G34:G36" si="6">H34-F34</f>
        <v>-140548754673.25</v>
      </c>
      <c r="H34" s="563">
        <f t="shared" ref="H34:H42" si="7">ROUND(SUM(J34:BA34),0)</f>
        <v>-102247548487</v>
      </c>
      <c r="I34" s="559"/>
      <c r="J34" s="520"/>
      <c r="K34" s="520">
        <f>-K10-K25-K26</f>
        <v>-102247548487.425</v>
      </c>
      <c r="L34" s="520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  <c r="Y34" s="520"/>
      <c r="Z34" s="520"/>
      <c r="AA34" s="520"/>
      <c r="AB34" s="520"/>
      <c r="AC34" s="520"/>
      <c r="AD34" s="520"/>
      <c r="AE34" s="520"/>
      <c r="AF34" s="520"/>
      <c r="AG34" s="520"/>
      <c r="AH34" s="520"/>
      <c r="AI34" s="520"/>
      <c r="AJ34" s="520"/>
      <c r="AK34" s="520"/>
      <c r="AL34" s="520"/>
      <c r="AM34" s="520"/>
      <c r="AN34" s="520"/>
      <c r="AO34" s="520"/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>
        <f t="shared" si="5"/>
        <v>0.4250030517578125</v>
      </c>
    </row>
    <row r="35" spans="2:54">
      <c r="C35" s="519" t="s">
        <v>879</v>
      </c>
      <c r="D35" s="528"/>
      <c r="F35" s="559">
        <v>-18838056735.224998</v>
      </c>
      <c r="G35" s="559">
        <f t="shared" si="6"/>
        <v>-14083960721.775002</v>
      </c>
      <c r="H35" s="563">
        <f t="shared" si="7"/>
        <v>-32922017457</v>
      </c>
      <c r="I35" s="559"/>
      <c r="J35" s="520"/>
      <c r="K35" s="520"/>
      <c r="L35" s="520"/>
      <c r="M35" s="520"/>
      <c r="N35" s="520">
        <f>-N10</f>
        <v>-32922017457</v>
      </c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  <c r="Z35" s="520">
        <v>0</v>
      </c>
      <c r="AA35" s="520"/>
      <c r="AB35" s="520"/>
      <c r="AC35" s="520"/>
      <c r="AD35" s="520"/>
      <c r="AE35" s="520"/>
      <c r="AF35" s="520"/>
      <c r="AG35" s="520"/>
      <c r="AH35" s="520"/>
      <c r="AI35" s="520"/>
      <c r="AJ35" s="520"/>
      <c r="AK35" s="520"/>
      <c r="AL35" s="520"/>
      <c r="AM35" s="520"/>
      <c r="AN35" s="520"/>
      <c r="AO35" s="520"/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>
        <f t="shared" si="5"/>
        <v>0</v>
      </c>
    </row>
    <row r="36" spans="2:54">
      <c r="C36" s="519" t="s">
        <v>839</v>
      </c>
      <c r="D36" s="528"/>
      <c r="F36" s="559">
        <v>-855547035.52499998</v>
      </c>
      <c r="G36" s="559">
        <f t="shared" si="6"/>
        <v>35475838024.525002</v>
      </c>
      <c r="H36" s="563">
        <f t="shared" si="7"/>
        <v>34620290989</v>
      </c>
      <c r="I36" s="559"/>
      <c r="J36" s="520"/>
      <c r="K36" s="520"/>
      <c r="L36" s="520"/>
      <c r="M36" s="520"/>
      <c r="N36" s="520">
        <v>0</v>
      </c>
      <c r="O36" s="520">
        <f>-O10</f>
        <v>34620290989</v>
      </c>
      <c r="P36" s="520"/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520"/>
      <c r="AF36" s="520"/>
      <c r="AG36" s="520"/>
      <c r="AH36" s="520"/>
      <c r="AI36" s="520"/>
      <c r="AJ36" s="520"/>
      <c r="AK36" s="520"/>
      <c r="AL36" s="520"/>
      <c r="AM36" s="520"/>
      <c r="AN36" s="520"/>
      <c r="AO36" s="520"/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>
        <f t="shared" si="5"/>
        <v>0</v>
      </c>
    </row>
    <row r="37" spans="2:54">
      <c r="C37" s="519" t="s">
        <v>163</v>
      </c>
      <c r="D37" s="528"/>
      <c r="F37" s="559">
        <v>-208055852.54999998</v>
      </c>
      <c r="G37" s="559">
        <f>H37-F37</f>
        <v>-13184054449.450001</v>
      </c>
      <c r="H37" s="563">
        <f t="shared" si="7"/>
        <v>-13392110302</v>
      </c>
      <c r="I37" s="559"/>
      <c r="J37" s="520"/>
      <c r="K37" s="520"/>
      <c r="L37" s="520"/>
      <c r="M37" s="520"/>
      <c r="N37" s="520"/>
      <c r="O37" s="520"/>
      <c r="P37" s="520"/>
      <c r="Q37" s="520"/>
      <c r="R37" s="520">
        <f>-R10</f>
        <v>-11378819597</v>
      </c>
      <c r="S37" s="520"/>
      <c r="T37" s="520"/>
      <c r="U37" s="520"/>
      <c r="V37" s="520"/>
      <c r="W37" s="520"/>
      <c r="X37" s="520"/>
      <c r="Y37" s="520"/>
      <c r="Z37" s="520">
        <f>-Z10</f>
        <v>-2013290705</v>
      </c>
      <c r="AA37" s="520"/>
      <c r="AB37" s="520"/>
      <c r="AC37" s="520"/>
      <c r="AD37" s="520"/>
      <c r="AE37" s="520"/>
      <c r="AF37" s="520"/>
      <c r="AG37" s="520"/>
      <c r="AH37" s="520"/>
      <c r="AI37" s="520"/>
      <c r="AJ37" s="520"/>
      <c r="AK37" s="520"/>
      <c r="AL37" s="520"/>
      <c r="AM37" s="520"/>
      <c r="AN37" s="520"/>
      <c r="AO37" s="520"/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>
        <f t="shared" si="5"/>
        <v>0</v>
      </c>
    </row>
    <row r="38" spans="2:54">
      <c r="C38" s="519" t="s">
        <v>880</v>
      </c>
      <c r="D38" s="528"/>
      <c r="F38" s="559">
        <v>6290449732.3499994</v>
      </c>
      <c r="G38" s="559">
        <f t="shared" ref="G38:G42" si="8">H38-F38</f>
        <v>5839647994.6500006</v>
      </c>
      <c r="H38" s="563">
        <f t="shared" si="7"/>
        <v>12130097727</v>
      </c>
      <c r="I38" s="559"/>
      <c r="J38" s="520"/>
      <c r="K38" s="520"/>
      <c r="L38" s="520"/>
      <c r="M38" s="520"/>
      <c r="N38" s="520"/>
      <c r="O38" s="520"/>
      <c r="P38" s="520"/>
      <c r="Q38" s="520"/>
      <c r="R38" s="520"/>
      <c r="S38" s="520"/>
      <c r="T38" s="520"/>
      <c r="U38" s="520"/>
      <c r="V38" s="520"/>
      <c r="W38" s="520"/>
      <c r="X38" s="520"/>
      <c r="Y38" s="520"/>
      <c r="Z38" s="520"/>
      <c r="AA38" s="520"/>
      <c r="AB38" s="520"/>
      <c r="AC38" s="520"/>
      <c r="AD38" s="520"/>
      <c r="AE38" s="520">
        <f>-AE10-AE56</f>
        <v>12130097727</v>
      </c>
      <c r="AF38" s="520"/>
      <c r="AG38" s="520"/>
      <c r="AH38" s="520"/>
      <c r="AI38" s="520"/>
      <c r="AJ38" s="520"/>
      <c r="AK38" s="520"/>
      <c r="AL38" s="520"/>
      <c r="AM38" s="520"/>
      <c r="AN38" s="520"/>
      <c r="AO38" s="520"/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>
        <f t="shared" si="5"/>
        <v>0</v>
      </c>
    </row>
    <row r="39" spans="2:54">
      <c r="C39" s="519" t="s">
        <v>881</v>
      </c>
      <c r="D39" s="528"/>
      <c r="F39" s="559">
        <v>-2110176428.8499999</v>
      </c>
      <c r="G39" s="559">
        <f t="shared" si="8"/>
        <v>-0.15000009536743164</v>
      </c>
      <c r="H39" s="563">
        <f t="shared" si="7"/>
        <v>-2110176429</v>
      </c>
      <c r="I39" s="559"/>
      <c r="J39" s="520"/>
      <c r="K39" s="520"/>
      <c r="L39" s="520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  <c r="Y39" s="520"/>
      <c r="Z39" s="520"/>
      <c r="AA39" s="520"/>
      <c r="AB39" s="520"/>
      <c r="AC39" s="520"/>
      <c r="AD39" s="520"/>
      <c r="AE39" s="520"/>
      <c r="AF39" s="520"/>
      <c r="AG39" s="520">
        <f>-AG10</f>
        <v>-2110176429</v>
      </c>
      <c r="AH39" s="520"/>
      <c r="AI39" s="520"/>
      <c r="AJ39" s="520"/>
      <c r="AK39" s="520"/>
      <c r="AL39" s="520"/>
      <c r="AM39" s="520"/>
      <c r="AN39" s="520"/>
      <c r="AO39" s="520"/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>
        <f t="shared" si="5"/>
        <v>0</v>
      </c>
    </row>
    <row r="40" spans="2:54">
      <c r="C40" s="519" t="s">
        <v>882</v>
      </c>
      <c r="D40" s="521"/>
      <c r="F40" s="559">
        <v>0</v>
      </c>
      <c r="G40" s="559">
        <f t="shared" si="8"/>
        <v>-24234076171</v>
      </c>
      <c r="H40" s="563">
        <f t="shared" si="7"/>
        <v>-24234076171</v>
      </c>
      <c r="I40" s="559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/>
      <c r="AF40" s="520"/>
      <c r="AG40" s="520"/>
      <c r="AH40" s="520"/>
      <c r="AI40" s="520"/>
      <c r="AJ40" s="520"/>
      <c r="AK40" s="520"/>
      <c r="AL40" s="520">
        <f>-AL10</f>
        <v>-24234076171</v>
      </c>
      <c r="AM40" s="520"/>
      <c r="AN40" s="520"/>
      <c r="AO40" s="520"/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>
        <f t="shared" si="5"/>
        <v>0</v>
      </c>
    </row>
    <row r="41" spans="2:54">
      <c r="C41" s="519" t="s">
        <v>883</v>
      </c>
      <c r="D41" s="521"/>
      <c r="F41" s="559">
        <v>-18831866300.099998</v>
      </c>
      <c r="G41" s="559">
        <f t="shared" si="8"/>
        <v>13008070718.099998</v>
      </c>
      <c r="H41" s="563">
        <f t="shared" si="7"/>
        <v>-5823795582</v>
      </c>
      <c r="I41" s="559"/>
      <c r="J41" s="520"/>
      <c r="K41" s="520"/>
      <c r="L41" s="520"/>
      <c r="M41" s="520"/>
      <c r="N41" s="520"/>
      <c r="O41" s="520"/>
      <c r="P41" s="520"/>
      <c r="Q41" s="520">
        <f>-Q10</f>
        <v>-2533007184</v>
      </c>
      <c r="R41" s="520"/>
      <c r="S41" s="520"/>
      <c r="T41" s="520"/>
      <c r="U41" s="520"/>
      <c r="V41" s="520"/>
      <c r="W41" s="520"/>
      <c r="X41" s="520"/>
      <c r="Y41" s="520"/>
      <c r="Z41" s="520"/>
      <c r="AA41" s="520"/>
      <c r="AB41" s="520"/>
      <c r="AC41" s="520"/>
      <c r="AD41" s="520"/>
      <c r="AE41" s="520"/>
      <c r="AF41" s="520"/>
      <c r="AG41" s="520"/>
      <c r="AH41" s="520"/>
      <c r="AI41" s="520"/>
      <c r="AJ41" s="520"/>
      <c r="AK41" s="520">
        <f>-AK10</f>
        <v>-3290788398</v>
      </c>
      <c r="AL41" s="520"/>
      <c r="AM41" s="520"/>
      <c r="AN41" s="520"/>
      <c r="AO41" s="520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>
        <f t="shared" si="5"/>
        <v>0</v>
      </c>
    </row>
    <row r="42" spans="2:54">
      <c r="C42" s="519" t="s">
        <v>83</v>
      </c>
      <c r="D42" s="521"/>
      <c r="F42" s="559">
        <v>-1775850270.075</v>
      </c>
      <c r="G42" s="559">
        <f t="shared" si="8"/>
        <v>6511184545.0749998</v>
      </c>
      <c r="H42" s="563">
        <f t="shared" si="7"/>
        <v>4735334275</v>
      </c>
      <c r="I42" s="559"/>
      <c r="J42" s="520"/>
      <c r="K42" s="520"/>
      <c r="L42" s="520"/>
      <c r="M42" s="520"/>
      <c r="N42" s="520"/>
      <c r="O42" s="520"/>
      <c r="P42" s="520"/>
      <c r="Q42" s="520"/>
      <c r="R42" s="520"/>
      <c r="S42" s="520"/>
      <c r="T42" s="520"/>
      <c r="U42" s="520"/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/>
      <c r="AJ42" s="520"/>
      <c r="AK42" s="520"/>
      <c r="AL42" s="520"/>
      <c r="AM42" s="520"/>
      <c r="AN42" s="520">
        <f>-AN10</f>
        <v>0</v>
      </c>
      <c r="AO42" s="520"/>
      <c r="AP42" s="520"/>
      <c r="AQ42" s="520"/>
      <c r="AR42" s="520"/>
      <c r="AS42" s="520"/>
      <c r="AT42" s="520">
        <f>-AT10</f>
        <v>4735334275</v>
      </c>
      <c r="AU42" s="520"/>
      <c r="AV42" s="520"/>
      <c r="AW42" s="520"/>
      <c r="AX42" s="520"/>
      <c r="AY42" s="520"/>
      <c r="AZ42" s="520"/>
      <c r="BA42" s="520"/>
      <c r="BB42" s="520">
        <f t="shared" si="5"/>
        <v>0</v>
      </c>
    </row>
    <row r="43" spans="2:54">
      <c r="D43" s="521"/>
      <c r="F43" s="559"/>
      <c r="G43" s="559"/>
      <c r="H43" s="563"/>
      <c r="I43" s="559"/>
      <c r="J43" s="520"/>
      <c r="K43" s="520"/>
      <c r="L43" s="520"/>
      <c r="M43" s="520"/>
      <c r="N43" s="520"/>
      <c r="O43" s="520"/>
      <c r="P43" s="520"/>
      <c r="Q43" s="520"/>
      <c r="R43" s="520"/>
      <c r="S43" s="520"/>
      <c r="T43" s="520"/>
      <c r="U43" s="520"/>
      <c r="V43" s="520"/>
      <c r="W43" s="520"/>
      <c r="X43" s="520"/>
      <c r="Y43" s="520"/>
      <c r="Z43" s="520"/>
      <c r="AA43" s="520"/>
      <c r="AB43" s="520"/>
      <c r="AC43" s="520"/>
      <c r="AD43" s="520"/>
      <c r="AE43" s="520"/>
      <c r="AF43" s="520"/>
      <c r="AG43" s="520"/>
      <c r="AH43" s="520"/>
      <c r="AI43" s="520"/>
      <c r="AJ43" s="520"/>
      <c r="AK43" s="520"/>
      <c r="AL43" s="520"/>
      <c r="AM43" s="520"/>
      <c r="AN43" s="520"/>
      <c r="AO43" s="520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>
        <f t="shared" si="5"/>
        <v>0</v>
      </c>
    </row>
    <row r="44" spans="2:54">
      <c r="D44" s="521"/>
      <c r="F44" s="564">
        <f>SUM(F32:F43)</f>
        <v>-293688451610.88293</v>
      </c>
      <c r="G44" s="564">
        <f>SUM(G32:G43)</f>
        <v>-533980480251.70074</v>
      </c>
      <c r="H44" s="564">
        <f>SUM(H32:H43)</f>
        <v>-827668931862.58362</v>
      </c>
      <c r="I44" s="565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  <c r="Y44" s="520"/>
      <c r="Z44" s="520"/>
      <c r="AA44" s="520"/>
      <c r="AB44" s="520"/>
      <c r="AC44" s="520"/>
      <c r="AD44" s="520"/>
      <c r="AE44" s="520"/>
      <c r="AF44" s="520"/>
      <c r="AG44" s="520"/>
      <c r="AH44" s="520"/>
      <c r="AI44" s="520"/>
      <c r="AJ44" s="520"/>
      <c r="AK44" s="520"/>
      <c r="AL44" s="520"/>
      <c r="AM44" s="520"/>
      <c r="AN44" s="520"/>
      <c r="AO44" s="520"/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</row>
    <row r="45" spans="2:54">
      <c r="D45" s="521"/>
      <c r="F45" s="559"/>
      <c r="G45" s="559"/>
      <c r="H45" s="559">
        <v>0</v>
      </c>
      <c r="I45" s="559"/>
      <c r="J45" s="520"/>
      <c r="K45" s="520"/>
      <c r="L45" s="520"/>
      <c r="M45" s="520"/>
      <c r="N45" s="520"/>
      <c r="O45" s="520"/>
      <c r="P45" s="520"/>
      <c r="Q45" s="520"/>
      <c r="R45" s="520"/>
      <c r="S45" s="520"/>
      <c r="T45" s="520"/>
      <c r="U45" s="520"/>
      <c r="V45" s="520"/>
      <c r="W45" s="520"/>
      <c r="X45" s="520"/>
      <c r="Y45" s="520"/>
      <c r="Z45" s="520"/>
      <c r="AA45" s="520"/>
      <c r="AB45" s="520"/>
      <c r="AC45" s="520"/>
      <c r="AD45" s="520"/>
      <c r="AE45" s="520"/>
      <c r="AF45" s="520"/>
      <c r="AG45" s="520"/>
      <c r="AH45" s="520"/>
      <c r="AI45" s="520"/>
      <c r="AJ45" s="520"/>
      <c r="AK45" s="520"/>
      <c r="AL45" s="520"/>
      <c r="AM45" s="520"/>
      <c r="AN45" s="520"/>
      <c r="AO45" s="520"/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</row>
    <row r="46" spans="2:54">
      <c r="B46" s="519" t="s">
        <v>884</v>
      </c>
      <c r="D46" s="521"/>
      <c r="F46" s="559">
        <v>0</v>
      </c>
      <c r="G46" s="559">
        <f>H46-F46</f>
        <v>0</v>
      </c>
      <c r="H46" s="563">
        <f>ROUND(SUM(J46:BA46),0)</f>
        <v>0</v>
      </c>
      <c r="I46" s="559"/>
      <c r="J46" s="520"/>
      <c r="K46" s="520"/>
      <c r="L46" s="520"/>
      <c r="M46" s="520"/>
      <c r="N46" s="520"/>
      <c r="O46" s="520"/>
      <c r="P46" s="520"/>
      <c r="Q46" s="520"/>
      <c r="R46" s="520"/>
      <c r="S46" s="520"/>
      <c r="T46" s="520"/>
      <c r="U46" s="520"/>
      <c r="V46" s="520"/>
      <c r="W46" s="520"/>
      <c r="X46" s="520"/>
      <c r="Y46" s="520"/>
      <c r="Z46" s="520"/>
      <c r="AA46" s="520"/>
      <c r="AB46" s="520"/>
      <c r="AC46" s="520"/>
      <c r="AD46" s="520"/>
      <c r="AE46" s="520"/>
      <c r="AF46" s="520"/>
      <c r="AG46" s="520"/>
      <c r="AH46" s="520"/>
      <c r="AI46" s="520"/>
      <c r="AJ46" s="520"/>
      <c r="AK46" s="520"/>
      <c r="AL46" s="520"/>
      <c r="AM46" s="520"/>
      <c r="AN46" s="520"/>
      <c r="AO46" s="520"/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>
        <f>H46-SUM(J46:BA46)</f>
        <v>0</v>
      </c>
    </row>
    <row r="47" spans="2:54">
      <c r="B47" s="519" t="s">
        <v>885</v>
      </c>
      <c r="D47" s="521"/>
      <c r="F47" s="559">
        <v>0</v>
      </c>
      <c r="G47" s="559">
        <f>H47-F47</f>
        <v>10854125148</v>
      </c>
      <c r="H47" s="563">
        <f>ROUND(SUM(J47:BA47),0)</f>
        <v>10854125148</v>
      </c>
      <c r="I47" s="559"/>
      <c r="J47" s="520"/>
      <c r="K47" s="520"/>
      <c r="L47" s="520">
        <f>-L10</f>
        <v>-1387860951</v>
      </c>
      <c r="M47" s="520"/>
      <c r="N47" s="520"/>
      <c r="O47" s="520"/>
      <c r="P47" s="520">
        <v>0</v>
      </c>
      <c r="Q47" s="520"/>
      <c r="R47" s="520"/>
      <c r="S47" s="520"/>
      <c r="T47" s="520">
        <f>-T10</f>
        <v>12241986099</v>
      </c>
      <c r="U47" s="520"/>
      <c r="V47" s="520"/>
      <c r="W47" s="520"/>
      <c r="X47" s="520"/>
      <c r="Y47" s="520"/>
      <c r="Z47" s="520"/>
      <c r="AA47" s="520"/>
      <c r="AB47" s="520"/>
      <c r="AC47" s="520"/>
      <c r="AD47" s="520"/>
      <c r="AE47" s="520"/>
      <c r="AF47" s="520"/>
      <c r="AG47" s="520">
        <v>0</v>
      </c>
      <c r="AH47" s="520"/>
      <c r="AI47" s="520"/>
      <c r="AJ47" s="520"/>
      <c r="AK47" s="520"/>
      <c r="AL47" s="520"/>
      <c r="AM47" s="520"/>
      <c r="AN47" s="520"/>
      <c r="AO47" s="520"/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>
        <f>H47-SUM(J47:BA47)</f>
        <v>0</v>
      </c>
    </row>
    <row r="48" spans="2:54">
      <c r="B48" s="519" t="s">
        <v>886</v>
      </c>
      <c r="D48" s="521"/>
      <c r="F48" s="559">
        <v>0</v>
      </c>
      <c r="G48" s="559">
        <f>H48-F48</f>
        <v>0</v>
      </c>
      <c r="H48" s="563">
        <f>ROUND(SUM(J48:BA48),0)</f>
        <v>0</v>
      </c>
      <c r="I48" s="559"/>
      <c r="J48" s="520"/>
      <c r="K48" s="520"/>
      <c r="L48" s="520"/>
      <c r="M48" s="520"/>
      <c r="N48" s="520"/>
      <c r="O48" s="520"/>
      <c r="P48" s="520"/>
      <c r="Q48" s="520"/>
      <c r="R48" s="520"/>
      <c r="S48" s="520"/>
      <c r="T48" s="520"/>
      <c r="U48" s="520"/>
      <c r="V48" s="520"/>
      <c r="W48" s="520"/>
      <c r="X48" s="520"/>
      <c r="Y48" s="520"/>
      <c r="Z48" s="520"/>
      <c r="AA48" s="520"/>
      <c r="AB48" s="520"/>
      <c r="AC48" s="520"/>
      <c r="AD48" s="520"/>
      <c r="AE48" s="520"/>
      <c r="AF48" s="520"/>
      <c r="AG48" s="520">
        <v>0</v>
      </c>
      <c r="AH48" s="520"/>
      <c r="AI48" s="520"/>
      <c r="AJ48" s="520"/>
      <c r="AK48" s="520"/>
      <c r="AL48" s="520"/>
      <c r="AM48" s="520"/>
      <c r="AN48" s="520"/>
      <c r="AO48" s="520"/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>
        <f>H48-SUM(J48:BA48)</f>
        <v>0</v>
      </c>
    </row>
    <row r="49" spans="1:54">
      <c r="B49" s="519" t="s">
        <v>887</v>
      </c>
      <c r="D49" s="521"/>
      <c r="F49" s="559">
        <v>685605302.54999995</v>
      </c>
      <c r="G49" s="559">
        <f>H49-F49</f>
        <v>7920276723.987277</v>
      </c>
      <c r="H49" s="563">
        <f>-H28</f>
        <v>8605882026.5372772</v>
      </c>
      <c r="I49" s="559"/>
      <c r="J49" s="520"/>
      <c r="K49" s="520"/>
      <c r="L49" s="520"/>
      <c r="M49" s="520"/>
      <c r="N49" s="520"/>
      <c r="O49" s="520"/>
      <c r="P49" s="520"/>
      <c r="Q49" s="520"/>
      <c r="R49" s="520"/>
      <c r="S49" s="520"/>
      <c r="T49" s="520"/>
      <c r="U49" s="520"/>
      <c r="V49" s="520"/>
      <c r="W49" s="520"/>
      <c r="X49" s="520"/>
      <c r="Y49" s="520"/>
      <c r="Z49" s="520"/>
      <c r="AA49" s="520"/>
      <c r="AB49" s="520"/>
      <c r="AC49" s="520"/>
      <c r="AD49" s="520"/>
      <c r="AE49" s="520"/>
      <c r="AF49" s="520"/>
      <c r="AG49" s="520"/>
      <c r="AH49" s="520"/>
      <c r="AI49" s="520"/>
      <c r="AJ49" s="520"/>
      <c r="AK49" s="520"/>
      <c r="AL49" s="520"/>
      <c r="AM49" s="520"/>
      <c r="AN49" s="520"/>
      <c r="AO49" s="520"/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>
        <f>-AZ28</f>
        <v>8605882026.5372772</v>
      </c>
      <c r="BA49" s="520"/>
      <c r="BB49" s="520">
        <f>H49-SUM(J49:BA49)</f>
        <v>0</v>
      </c>
    </row>
    <row r="50" spans="1:54">
      <c r="B50" s="519" t="s">
        <v>888</v>
      </c>
      <c r="D50" s="521"/>
      <c r="F50" s="559">
        <v>-3839026341.1500001</v>
      </c>
      <c r="G50" s="559">
        <f>H50-F50</f>
        <v>-28075197465.803631</v>
      </c>
      <c r="H50" s="563">
        <f>-H29</f>
        <v>-31914223806.953632</v>
      </c>
      <c r="I50" s="559"/>
      <c r="J50" s="520"/>
      <c r="K50" s="520"/>
      <c r="L50" s="520"/>
      <c r="M50" s="520"/>
      <c r="N50" s="520"/>
      <c r="O50" s="520"/>
      <c r="P50" s="520"/>
      <c r="Q50" s="520"/>
      <c r="R50" s="520"/>
      <c r="S50" s="520"/>
      <c r="T50" s="520"/>
      <c r="U50" s="520"/>
      <c r="V50" s="520"/>
      <c r="W50" s="520"/>
      <c r="X50" s="520"/>
      <c r="Y50" s="520"/>
      <c r="Z50" s="520"/>
      <c r="AA50" s="520"/>
      <c r="AB50" s="520"/>
      <c r="AC50" s="520"/>
      <c r="AD50" s="520"/>
      <c r="AE50" s="520"/>
      <c r="AF50" s="520"/>
      <c r="AG50" s="520"/>
      <c r="AH50" s="520"/>
      <c r="AI50" s="520"/>
      <c r="AJ50" s="520"/>
      <c r="AK50" s="520"/>
      <c r="AL50" s="520"/>
      <c r="AM50" s="520"/>
      <c r="AN50" s="520"/>
      <c r="AO50" s="520"/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>
        <f>-AZ29</f>
        <v>-31914223806.953632</v>
      </c>
      <c r="BA50" s="520"/>
      <c r="BB50" s="520">
        <f>H50-SUM(J50:BA50)</f>
        <v>0</v>
      </c>
    </row>
    <row r="51" spans="1:54">
      <c r="D51" s="521"/>
      <c r="F51" s="520"/>
      <c r="G51" s="520"/>
      <c r="H51" s="520"/>
      <c r="I51" s="520"/>
      <c r="J51" s="520"/>
      <c r="K51" s="520"/>
      <c r="L51" s="520"/>
      <c r="M51" s="520"/>
      <c r="N51" s="520"/>
      <c r="O51" s="520"/>
      <c r="P51" s="520"/>
      <c r="Q51" s="520"/>
      <c r="R51" s="520"/>
      <c r="S51" s="520"/>
      <c r="T51" s="520"/>
      <c r="U51" s="520"/>
      <c r="V51" s="520"/>
      <c r="W51" s="520"/>
      <c r="X51" s="520"/>
      <c r="Y51" s="520"/>
      <c r="Z51" s="520"/>
      <c r="AA51" s="520"/>
      <c r="AB51" s="520"/>
      <c r="AC51" s="520"/>
      <c r="AD51" s="520"/>
      <c r="AE51" s="520"/>
      <c r="AF51" s="520"/>
      <c r="AG51" s="520"/>
      <c r="AH51" s="520"/>
      <c r="AI51" s="520"/>
      <c r="AJ51" s="520"/>
      <c r="AK51" s="520"/>
      <c r="AL51" s="520"/>
      <c r="AM51" s="520"/>
      <c r="AN51" s="520"/>
      <c r="AO51" s="520"/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</row>
    <row r="52" spans="1:54" s="518" customFormat="1">
      <c r="B52" s="518" t="s">
        <v>889</v>
      </c>
      <c r="D52" s="566"/>
      <c r="E52" s="567"/>
      <c r="F52" s="567">
        <f>SUM(F44:F51)</f>
        <v>-296841872649.48297</v>
      </c>
      <c r="G52" s="567">
        <f>SUM(G44:G51)</f>
        <v>-543281275845.51709</v>
      </c>
      <c r="H52" s="567">
        <f>SUM(H44:H51)</f>
        <v>-840123148495</v>
      </c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20"/>
      <c r="AU52" s="520"/>
      <c r="AV52" s="520"/>
      <c r="AW52" s="520"/>
      <c r="AX52" s="520"/>
      <c r="AY52" s="520"/>
      <c r="AZ52" s="520"/>
      <c r="BA52" s="520"/>
      <c r="BB52" s="567"/>
    </row>
    <row r="53" spans="1:54">
      <c r="D53" s="521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/>
      <c r="U53" s="520"/>
      <c r="V53" s="520"/>
      <c r="W53" s="520"/>
      <c r="X53" s="520"/>
      <c r="Y53" s="520"/>
      <c r="Z53" s="520"/>
      <c r="AA53" s="520"/>
      <c r="AB53" s="520"/>
      <c r="AC53" s="520"/>
      <c r="AD53" s="520"/>
      <c r="AE53" s="520"/>
      <c r="AF53" s="520"/>
      <c r="AG53" s="520"/>
      <c r="AH53" s="520"/>
      <c r="AI53" s="520"/>
      <c r="AJ53" s="520"/>
      <c r="AK53" s="520"/>
      <c r="AL53" s="520"/>
      <c r="AM53" s="520"/>
      <c r="AN53" s="520"/>
      <c r="AO53" s="520"/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</row>
    <row r="54" spans="1:54" ht="13.5" customHeight="1">
      <c r="A54" s="527" t="s">
        <v>890</v>
      </c>
      <c r="D54" s="528"/>
      <c r="F54" s="557"/>
      <c r="G54" s="557"/>
      <c r="H54" s="557"/>
      <c r="I54" s="557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T54" s="520"/>
      <c r="U54" s="520"/>
      <c r="V54" s="520"/>
      <c r="W54" s="520"/>
      <c r="X54" s="520"/>
      <c r="Y54" s="520"/>
      <c r="Z54" s="520"/>
      <c r="AA54" s="520"/>
      <c r="AB54" s="520"/>
      <c r="AC54" s="520"/>
      <c r="AD54" s="520"/>
      <c r="AE54" s="520"/>
      <c r="AF54" s="520"/>
      <c r="AG54" s="520"/>
      <c r="AH54" s="520"/>
      <c r="AI54" s="520"/>
      <c r="AJ54" s="520"/>
      <c r="AK54" s="520"/>
      <c r="AL54" s="520"/>
      <c r="AM54" s="520"/>
      <c r="AN54" s="520"/>
      <c r="AO54" s="520"/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</row>
    <row r="55" spans="1:54" ht="12.65" customHeight="1">
      <c r="B55" s="518"/>
      <c r="D55" s="521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</row>
    <row r="56" spans="1:54" ht="12.65" customHeight="1">
      <c r="B56" s="518"/>
      <c r="C56" s="519" t="s">
        <v>891</v>
      </c>
      <c r="D56" s="521"/>
      <c r="F56" s="559">
        <v>-177562430.32499999</v>
      </c>
      <c r="G56" s="559">
        <f t="shared" ref="G56:G57" si="9">H56-F56</f>
        <v>-35481168914.675003</v>
      </c>
      <c r="H56" s="563">
        <f t="shared" ref="H56:H57" si="10">ROUND(SUM(J56:BA56),0)</f>
        <v>-35658731345</v>
      </c>
      <c r="I56" s="559"/>
      <c r="J56" s="520"/>
      <c r="K56" s="520"/>
      <c r="L56" s="520"/>
      <c r="M56" s="520"/>
      <c r="N56" s="520"/>
      <c r="O56" s="520"/>
      <c r="P56" s="520"/>
      <c r="Q56" s="520"/>
      <c r="R56" s="520"/>
      <c r="S56" s="520"/>
      <c r="T56" s="520"/>
      <c r="U56" s="520">
        <f>-'Supplementary CF 23'!M34</f>
        <v>-36425929594.949997</v>
      </c>
      <c r="V56" s="520"/>
      <c r="W56" s="520"/>
      <c r="X56" s="520"/>
      <c r="Y56" s="520"/>
      <c r="Z56" s="520"/>
      <c r="AA56" s="520"/>
      <c r="AB56" s="520"/>
      <c r="AC56" s="520"/>
      <c r="AD56" s="520"/>
      <c r="AE56" s="520">
        <f>'Supplementary CF 23'!K32</f>
        <v>767198250</v>
      </c>
      <c r="AF56" s="520"/>
      <c r="AG56" s="520"/>
      <c r="AH56" s="520"/>
      <c r="AI56" s="520"/>
      <c r="AJ56" s="520"/>
      <c r="AK56" s="520"/>
      <c r="AL56" s="520"/>
      <c r="AM56" s="520"/>
      <c r="AN56" s="520"/>
      <c r="AO56" s="520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>
        <f t="shared" ref="BB56" si="11">H56-SUM(J56:BA56)</f>
        <v>-5.00030517578125E-2</v>
      </c>
    </row>
    <row r="57" spans="1:54">
      <c r="C57" s="519" t="s">
        <v>901</v>
      </c>
      <c r="E57" s="519"/>
      <c r="F57" s="559">
        <v>0</v>
      </c>
      <c r="G57" s="559">
        <f t="shared" si="9"/>
        <v>0</v>
      </c>
      <c r="H57" s="559">
        <f t="shared" si="10"/>
        <v>0</v>
      </c>
      <c r="I57" s="559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/>
      <c r="W57" s="520"/>
      <c r="X57" s="520"/>
      <c r="Y57" s="520"/>
      <c r="Z57" s="520"/>
      <c r="AA57" s="520"/>
      <c r="AB57" s="520"/>
      <c r="AC57" s="520"/>
      <c r="AD57" s="520"/>
      <c r="AE57" s="520"/>
      <c r="AF57" s="520"/>
      <c r="AG57" s="520"/>
      <c r="AH57" s="520"/>
      <c r="AI57" s="520"/>
      <c r="AJ57" s="520"/>
      <c r="AK57" s="520"/>
      <c r="AL57" s="520"/>
      <c r="AM57" s="520"/>
      <c r="AN57" s="520"/>
      <c r="AO57" s="520"/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>
        <f>H57-SUM(J57:BA57)</f>
        <v>0</v>
      </c>
    </row>
    <row r="58" spans="1:54">
      <c r="E58" s="519"/>
      <c r="F58" s="520"/>
      <c r="G58" s="520"/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0"/>
      <c r="AB58" s="520"/>
      <c r="AC58" s="520"/>
      <c r="AD58" s="520"/>
      <c r="AE58" s="520"/>
      <c r="AF58" s="520"/>
      <c r="AG58" s="520"/>
      <c r="AH58" s="520"/>
      <c r="AI58" s="520"/>
      <c r="AJ58" s="520"/>
      <c r="AK58" s="520"/>
      <c r="AL58" s="520"/>
      <c r="AM58" s="520"/>
      <c r="AN58" s="520"/>
      <c r="AO58" s="520"/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</row>
    <row r="59" spans="1:54">
      <c r="B59" s="518" t="s">
        <v>902</v>
      </c>
      <c r="E59" s="519"/>
      <c r="F59" s="567">
        <f>SUM(F55:F58)</f>
        <v>-177562430.32499999</v>
      </c>
      <c r="G59" s="567">
        <f>SUM(G55:G58)</f>
        <v>-35481168914.675003</v>
      </c>
      <c r="H59" s="567">
        <f>SUM(H55:H58)</f>
        <v>-35658731345</v>
      </c>
      <c r="I59" s="567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0"/>
      <c r="AB59" s="520"/>
      <c r="AC59" s="520"/>
      <c r="AD59" s="520"/>
      <c r="AE59" s="520"/>
      <c r="AF59" s="520"/>
      <c r="AG59" s="520"/>
      <c r="AH59" s="520"/>
      <c r="AI59" s="520"/>
      <c r="AJ59" s="520"/>
      <c r="AK59" s="520"/>
      <c r="AL59" s="520"/>
      <c r="AM59" s="520"/>
      <c r="AN59" s="520"/>
      <c r="AO59" s="520"/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</row>
    <row r="60" spans="1:54">
      <c r="E60" s="519"/>
      <c r="F60" s="520"/>
      <c r="G60" s="520"/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  <c r="AA60" s="520"/>
      <c r="AB60" s="520"/>
      <c r="AC60" s="520"/>
      <c r="AD60" s="520"/>
      <c r="AE60" s="520"/>
      <c r="AF60" s="520"/>
      <c r="AG60" s="520"/>
      <c r="AH60" s="520"/>
      <c r="AI60" s="520"/>
      <c r="AJ60" s="520"/>
      <c r="AK60" s="520"/>
      <c r="AL60" s="520"/>
      <c r="AM60" s="520"/>
      <c r="AN60" s="520"/>
      <c r="AO60" s="520"/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</row>
    <row r="61" spans="1:54">
      <c r="A61" s="527" t="s">
        <v>903</v>
      </c>
      <c r="B61" s="518"/>
      <c r="D61" s="569"/>
      <c r="E61" s="570"/>
      <c r="F61" s="570"/>
      <c r="G61" s="570"/>
      <c r="H61" s="570"/>
      <c r="I61" s="57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/>
      <c r="Z61" s="520"/>
      <c r="AA61" s="520"/>
      <c r="AB61" s="520"/>
      <c r="AC61" s="520"/>
      <c r="AD61" s="520"/>
      <c r="AE61" s="520"/>
      <c r="AF61" s="520"/>
      <c r="AG61" s="520"/>
      <c r="AH61" s="520"/>
      <c r="AI61" s="520"/>
      <c r="AJ61" s="520"/>
      <c r="AK61" s="520"/>
      <c r="AL61" s="520"/>
      <c r="AM61" s="520"/>
      <c r="AN61" s="520"/>
      <c r="AO61" s="520"/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</row>
    <row r="62" spans="1:54">
      <c r="A62" s="527"/>
      <c r="B62" s="518"/>
      <c r="D62" s="569"/>
      <c r="E62" s="570"/>
      <c r="F62" s="570"/>
      <c r="G62" s="570"/>
      <c r="H62" s="570"/>
      <c r="I62" s="570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  <c r="Y62" s="520"/>
      <c r="Z62" s="520"/>
      <c r="AA62" s="520"/>
      <c r="AB62" s="520"/>
      <c r="AC62" s="520"/>
      <c r="AD62" s="520"/>
      <c r="AE62" s="520"/>
      <c r="AF62" s="520"/>
      <c r="AG62" s="520"/>
      <c r="AH62" s="520"/>
      <c r="AI62" s="520"/>
      <c r="AJ62" s="520"/>
      <c r="AK62" s="520"/>
      <c r="AL62" s="520"/>
      <c r="AM62" s="520"/>
      <c r="AN62" s="520"/>
      <c r="AO62" s="520"/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</row>
    <row r="63" spans="1:54">
      <c r="C63" s="519" t="s">
        <v>962</v>
      </c>
      <c r="D63" s="568"/>
      <c r="F63" s="559">
        <v>-11025000000</v>
      </c>
      <c r="G63" s="559">
        <f>H63-F63</f>
        <v>109270642236</v>
      </c>
      <c r="H63" s="563">
        <f t="shared" ref="H63:H70" si="12">ROUND(SUM(J63:BA63),0)</f>
        <v>98245642236</v>
      </c>
      <c r="I63" s="559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0"/>
      <c r="AB63" s="520">
        <f>-AB10</f>
        <v>0</v>
      </c>
      <c r="AC63" s="520"/>
      <c r="AD63" s="520">
        <f>-AD10</f>
        <v>98245642236</v>
      </c>
      <c r="AE63" s="520"/>
      <c r="AF63" s="520"/>
      <c r="AG63" s="520"/>
      <c r="AH63" s="520"/>
      <c r="AI63" s="520">
        <f>-AI10</f>
        <v>0</v>
      </c>
      <c r="AJ63" s="520"/>
      <c r="AK63" s="520"/>
      <c r="AL63" s="520"/>
      <c r="AM63" s="520"/>
      <c r="AN63" s="520"/>
      <c r="AO63" s="520"/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>
        <f>H63-SUM(J63:BA63)</f>
        <v>0</v>
      </c>
    </row>
    <row r="64" spans="1:54">
      <c r="C64" s="519" t="s">
        <v>906</v>
      </c>
      <c r="D64" s="568"/>
      <c r="F64" s="559">
        <v>15877040271.75</v>
      </c>
      <c r="G64" s="559">
        <f>H64-F64</f>
        <v>1.25</v>
      </c>
      <c r="H64" s="559">
        <f t="shared" si="12"/>
        <v>15877040273</v>
      </c>
      <c r="I64" s="559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0"/>
      <c r="AB64" s="520"/>
      <c r="AC64" s="520"/>
      <c r="AD64" s="520"/>
      <c r="AE64" s="520"/>
      <c r="AF64" s="520"/>
      <c r="AG64" s="520"/>
      <c r="AH64" s="520">
        <f>-AH10</f>
        <v>15877040273</v>
      </c>
      <c r="AI64" s="520"/>
      <c r="AJ64" s="520"/>
      <c r="AK64" s="520"/>
      <c r="AL64" s="520"/>
      <c r="AM64" s="520"/>
      <c r="AN64" s="520"/>
      <c r="AO64" s="520"/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>
        <f>H64-SUM(J64:BA64)</f>
        <v>0</v>
      </c>
    </row>
    <row r="65" spans="2:54">
      <c r="C65" s="519" t="s">
        <v>907</v>
      </c>
      <c r="D65" s="568"/>
      <c r="F65" s="559">
        <v>-682035902528.21692</v>
      </c>
      <c r="G65" s="559">
        <f>H65-F65</f>
        <v>670692571580.21692</v>
      </c>
      <c r="H65" s="559">
        <f>ROUND(SUM(J65:BA65),0)</f>
        <v>-11343330948</v>
      </c>
      <c r="I65" s="559"/>
      <c r="J65" s="520"/>
      <c r="K65" s="520"/>
      <c r="L65" s="520"/>
      <c r="M65" s="520">
        <f>-M10</f>
        <v>-15145610375</v>
      </c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>
        <f>-Y10</f>
        <v>-1608075000</v>
      </c>
      <c r="Z65" s="520"/>
      <c r="AA65" s="520"/>
      <c r="AB65" s="520"/>
      <c r="AC65" s="520"/>
      <c r="AD65" s="520"/>
      <c r="AE65" s="520"/>
      <c r="AF65" s="520">
        <f>-AF10</f>
        <v>5410354427</v>
      </c>
      <c r="AG65" s="520"/>
      <c r="AH65" s="520"/>
      <c r="AI65" s="520"/>
      <c r="AJ65" s="520"/>
      <c r="AK65" s="520"/>
      <c r="AL65" s="520"/>
      <c r="AM65" s="520"/>
      <c r="AN65" s="520"/>
      <c r="AO65" s="520"/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>
        <f>H65-SUM(J65:BA65)</f>
        <v>0</v>
      </c>
    </row>
    <row r="66" spans="2:54">
      <c r="C66" s="519" t="s">
        <v>420</v>
      </c>
      <c r="D66" s="568"/>
      <c r="F66" s="559">
        <v>0</v>
      </c>
      <c r="G66" s="559"/>
      <c r="H66" s="559">
        <f t="shared" si="12"/>
        <v>6071495040</v>
      </c>
      <c r="I66" s="559"/>
      <c r="J66" s="520"/>
      <c r="K66" s="520"/>
      <c r="L66" s="520"/>
      <c r="M66" s="520"/>
      <c r="N66" s="520"/>
      <c r="O66" s="520"/>
      <c r="P66" s="520"/>
      <c r="Q66" s="520"/>
      <c r="R66" s="520"/>
      <c r="S66" s="520"/>
      <c r="T66" s="520"/>
      <c r="U66" s="520"/>
      <c r="V66" s="520"/>
      <c r="W66" s="520"/>
      <c r="X66" s="520"/>
      <c r="Y66" s="520"/>
      <c r="Z66" s="520"/>
      <c r="AA66" s="520"/>
      <c r="AB66" s="520"/>
      <c r="AC66" s="520"/>
      <c r="AD66" s="520"/>
      <c r="AE66" s="520"/>
      <c r="AF66" s="520"/>
      <c r="AG66" s="520"/>
      <c r="AH66" s="520"/>
      <c r="AI66" s="520"/>
      <c r="AJ66" s="520"/>
      <c r="AK66" s="520"/>
      <c r="AL66" s="520"/>
      <c r="AM66" s="520"/>
      <c r="AN66" s="520"/>
      <c r="AO66" s="520"/>
      <c r="AP66" s="520"/>
      <c r="AQ66" s="520"/>
      <c r="AR66" s="520"/>
      <c r="AS66" s="520"/>
      <c r="AT66" s="520"/>
      <c r="AU66" s="520"/>
      <c r="AV66" s="520"/>
      <c r="AW66" s="520"/>
      <c r="AX66" s="520"/>
      <c r="AY66" s="520">
        <f>-'Supplementary CF 23'!K98</f>
        <v>1045543711.3348504</v>
      </c>
      <c r="AZ66" s="520"/>
      <c r="BA66" s="520">
        <f>-'NCI Detail &amp; Movement'!F200</f>
        <v>5025951329.1151619</v>
      </c>
      <c r="BB66" s="520"/>
    </row>
    <row r="67" spans="2:54">
      <c r="C67" s="519" t="s">
        <v>909</v>
      </c>
      <c r="D67" s="568"/>
      <c r="F67" s="559">
        <v>989702895645.44995</v>
      </c>
      <c r="G67" s="559">
        <v>0</v>
      </c>
      <c r="H67" s="559">
        <f t="shared" si="12"/>
        <v>989702895645</v>
      </c>
      <c r="I67" s="559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0"/>
      <c r="AB67" s="520"/>
      <c r="AC67" s="520"/>
      <c r="AD67" s="520"/>
      <c r="AE67" s="520"/>
      <c r="AF67" s="520"/>
      <c r="AG67" s="520"/>
      <c r="AH67" s="520"/>
      <c r="AI67" s="520"/>
      <c r="AJ67" s="520"/>
      <c r="AK67" s="520"/>
      <c r="AL67" s="520"/>
      <c r="AM67" s="520"/>
      <c r="AN67" s="520"/>
      <c r="AO67" s="520">
        <f>-AO10</f>
        <v>0</v>
      </c>
      <c r="AP67" s="520"/>
      <c r="AQ67" s="520"/>
      <c r="AR67" s="520"/>
      <c r="AS67" s="520"/>
      <c r="AT67" s="520"/>
      <c r="AU67" s="520">
        <f>-AU10</f>
        <v>344280825000</v>
      </c>
      <c r="AV67" s="520">
        <f>-'Supplementary CF 23'!E76-AU67</f>
        <v>645422070645.44995</v>
      </c>
      <c r="AW67" s="520"/>
      <c r="AX67" s="520"/>
      <c r="AY67" s="520"/>
      <c r="AZ67" s="520"/>
      <c r="BA67" s="520"/>
      <c r="BB67" s="520">
        <f>H67-SUM(J67:BA67)</f>
        <v>-0.449951171875</v>
      </c>
    </row>
    <row r="68" spans="2:54" ht="12.65" customHeight="1">
      <c r="C68" s="519" t="s">
        <v>910</v>
      </c>
      <c r="F68" s="559">
        <v>0</v>
      </c>
      <c r="G68" s="559">
        <f>H68-F68</f>
        <v>-104234521916</v>
      </c>
      <c r="H68" s="559">
        <f t="shared" si="12"/>
        <v>-104234521916</v>
      </c>
      <c r="I68" s="559"/>
      <c r="J68" s="520"/>
      <c r="K68" s="520"/>
      <c r="L68" s="520"/>
      <c r="M68" s="520"/>
      <c r="N68" s="520"/>
      <c r="O68" s="520"/>
      <c r="P68" s="520">
        <f>-P10</f>
        <v>-104234521916</v>
      </c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0"/>
      <c r="AB68" s="520"/>
      <c r="AC68" s="520"/>
      <c r="AD68" s="520"/>
      <c r="AE68" s="520"/>
      <c r="AF68" s="520"/>
      <c r="AG68" s="520"/>
      <c r="AH68" s="520"/>
      <c r="AI68" s="520"/>
      <c r="AJ68" s="520"/>
      <c r="AK68" s="520"/>
      <c r="AL68" s="520"/>
      <c r="AM68" s="520"/>
      <c r="AN68" s="520"/>
      <c r="AO68" s="520"/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>
        <f>H68-SUM(J68:BA68)</f>
        <v>0</v>
      </c>
    </row>
    <row r="69" spans="2:54">
      <c r="C69" s="519" t="s">
        <v>911</v>
      </c>
      <c r="D69" s="568"/>
      <c r="F69" s="559">
        <v>0</v>
      </c>
      <c r="G69" s="559">
        <f>H69-F69</f>
        <v>-84089112726</v>
      </c>
      <c r="H69" s="559">
        <f t="shared" si="12"/>
        <v>-84089112726</v>
      </c>
      <c r="I69" s="559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0"/>
      <c r="AB69" s="520"/>
      <c r="AC69" s="520"/>
      <c r="AD69" s="520"/>
      <c r="AE69" s="520"/>
      <c r="AF69" s="520"/>
      <c r="AG69" s="520"/>
      <c r="AH69" s="520"/>
      <c r="AI69" s="520"/>
      <c r="AJ69" s="520"/>
      <c r="AK69" s="520"/>
      <c r="AL69" s="520"/>
      <c r="AM69" s="520"/>
      <c r="AN69" s="520"/>
      <c r="AO69" s="520"/>
      <c r="AP69" s="520"/>
      <c r="AQ69" s="520">
        <f>'Supplementary CF 23'!M54</f>
        <v>-84089112726.149994</v>
      </c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>
        <f>H69-SUM(J69:BA69)</f>
        <v>0.149993896484375</v>
      </c>
    </row>
    <row r="70" spans="2:54">
      <c r="C70" s="519" t="s">
        <v>912</v>
      </c>
      <c r="D70" s="568"/>
      <c r="F70" s="559">
        <v>0</v>
      </c>
      <c r="G70" s="559">
        <f>H70-F70</f>
        <v>0</v>
      </c>
      <c r="H70" s="559">
        <f t="shared" si="12"/>
        <v>0</v>
      </c>
      <c r="I70" s="559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0"/>
      <c r="AB70" s="520"/>
      <c r="AC70" s="520"/>
      <c r="AD70" s="520"/>
      <c r="AE70" s="520"/>
      <c r="AF70" s="520"/>
      <c r="AG70" s="520"/>
      <c r="AH70" s="520"/>
      <c r="AI70" s="520"/>
      <c r="AJ70" s="520"/>
      <c r="AK70" s="520"/>
      <c r="AL70" s="520"/>
      <c r="AM70" s="520"/>
      <c r="AN70" s="520"/>
      <c r="AO70" s="520"/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</row>
    <row r="71" spans="2:54">
      <c r="D71" s="568"/>
      <c r="E71" s="536"/>
      <c r="F71" s="536"/>
      <c r="G71" s="536"/>
      <c r="H71" s="536"/>
      <c r="I71" s="536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  <c r="Y71" s="520"/>
      <c r="Z71" s="520"/>
      <c r="AA71" s="520"/>
      <c r="AB71" s="520"/>
      <c r="AC71" s="520"/>
      <c r="AD71" s="520"/>
      <c r="AE71" s="520"/>
      <c r="AF71" s="520"/>
      <c r="AG71" s="520"/>
      <c r="AH71" s="520"/>
      <c r="AI71" s="520"/>
      <c r="AJ71" s="520"/>
      <c r="AK71" s="520"/>
      <c r="AL71" s="520"/>
      <c r="AM71" s="520"/>
      <c r="AN71" s="520"/>
      <c r="AO71" s="520"/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</row>
    <row r="72" spans="2:54">
      <c r="B72" s="518" t="s">
        <v>913</v>
      </c>
      <c r="D72" s="568"/>
      <c r="F72" s="570">
        <f>SUM(F63:F71)</f>
        <v>312519033388.98303</v>
      </c>
      <c r="G72" s="559">
        <f>H72-F72</f>
        <v>597711074215.01697</v>
      </c>
      <c r="H72" s="570">
        <f>SUM(H63:H71)</f>
        <v>910230107604</v>
      </c>
      <c r="I72" s="57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0"/>
      <c r="AB72" s="520"/>
      <c r="AC72" s="520"/>
      <c r="AD72" s="520"/>
      <c r="AE72" s="520"/>
      <c r="AF72" s="520"/>
      <c r="AG72" s="520"/>
      <c r="AH72" s="520"/>
      <c r="AI72" s="520"/>
      <c r="AJ72" s="520"/>
      <c r="AK72" s="520"/>
      <c r="AL72" s="520"/>
      <c r="AM72" s="520"/>
      <c r="AN72" s="520"/>
      <c r="AO72" s="520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</row>
    <row r="73" spans="2:54">
      <c r="D73" s="568"/>
      <c r="E73" s="536"/>
      <c r="F73" s="571"/>
      <c r="G73" s="571"/>
      <c r="H73" s="571"/>
      <c r="I73" s="571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0"/>
      <c r="AB73" s="520"/>
      <c r="AC73" s="520"/>
      <c r="AD73" s="520"/>
      <c r="AE73" s="520"/>
      <c r="AF73" s="520"/>
      <c r="AG73" s="520"/>
      <c r="AH73" s="520"/>
      <c r="AI73" s="520"/>
      <c r="AJ73" s="520"/>
      <c r="AK73" s="520"/>
      <c r="AL73" s="520"/>
      <c r="AM73" s="520"/>
      <c r="AN73" s="520"/>
      <c r="AO73" s="520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</row>
    <row r="74" spans="2:54">
      <c r="D74" s="568"/>
      <c r="E74" s="536"/>
      <c r="F74" s="571"/>
      <c r="G74" s="571"/>
      <c r="H74" s="571"/>
      <c r="I74" s="571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0"/>
      <c r="AB74" s="520"/>
      <c r="AC74" s="520"/>
      <c r="AD74" s="520"/>
      <c r="AE74" s="520"/>
      <c r="AF74" s="520"/>
      <c r="AG74" s="520"/>
      <c r="AH74" s="520"/>
      <c r="AI74" s="520"/>
      <c r="AJ74" s="520"/>
      <c r="AK74" s="520"/>
      <c r="AL74" s="520"/>
      <c r="AM74" s="520"/>
      <c r="AN74" s="520"/>
      <c r="AO74" s="520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</row>
    <row r="75" spans="2:54">
      <c r="B75" s="518" t="s">
        <v>914</v>
      </c>
      <c r="D75" s="569"/>
      <c r="F75" s="572">
        <f>F52+F59+F72</f>
        <v>15499598309.175049</v>
      </c>
      <c r="G75" s="559">
        <f>H75-F75</f>
        <v>18948629454.824951</v>
      </c>
      <c r="H75" s="572">
        <f>H52+H59+H72</f>
        <v>34448227764</v>
      </c>
      <c r="I75" s="572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0"/>
      <c r="AB75" s="520"/>
      <c r="AC75" s="520"/>
      <c r="AD75" s="520"/>
      <c r="AE75" s="520"/>
      <c r="AF75" s="520"/>
      <c r="AG75" s="520"/>
      <c r="AH75" s="520"/>
      <c r="AI75" s="520"/>
      <c r="AJ75" s="520"/>
      <c r="AK75" s="520"/>
      <c r="AL75" s="520"/>
      <c r="AM75" s="520"/>
      <c r="AN75" s="520"/>
      <c r="AO75" s="520"/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</row>
    <row r="76" spans="2:54">
      <c r="B76" s="518"/>
      <c r="D76" s="568"/>
      <c r="E76" s="536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0"/>
      <c r="AB76" s="520"/>
      <c r="AC76" s="520"/>
      <c r="AD76" s="520"/>
      <c r="AE76" s="520"/>
      <c r="AF76" s="520"/>
      <c r="AG76" s="520"/>
      <c r="AH76" s="520"/>
      <c r="AI76" s="520"/>
      <c r="AJ76" s="520"/>
      <c r="AK76" s="520"/>
      <c r="AL76" s="520"/>
      <c r="AM76" s="520"/>
      <c r="AN76" s="520"/>
      <c r="AO76" s="520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</row>
    <row r="77" spans="2:54" hidden="1">
      <c r="B77" s="518" t="s">
        <v>915</v>
      </c>
      <c r="D77" s="568"/>
      <c r="E77" s="536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0"/>
      <c r="AB77" s="520"/>
      <c r="AC77" s="520"/>
      <c r="AD77" s="520"/>
      <c r="AE77" s="520"/>
      <c r="AF77" s="520"/>
      <c r="AG77" s="520"/>
      <c r="AH77" s="520"/>
      <c r="AI77" s="520"/>
      <c r="AJ77" s="520"/>
      <c r="AK77" s="520"/>
      <c r="AL77" s="520"/>
      <c r="AM77" s="520"/>
      <c r="AN77" s="520"/>
      <c r="AO77" s="520"/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</row>
    <row r="78" spans="2:54" hidden="1">
      <c r="B78" s="518"/>
      <c r="D78" s="568"/>
      <c r="E78" s="536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0"/>
      <c r="AB78" s="520"/>
      <c r="AC78" s="520"/>
      <c r="AD78" s="520"/>
      <c r="AE78" s="520"/>
      <c r="AF78" s="520"/>
      <c r="AG78" s="520"/>
      <c r="AH78" s="520"/>
      <c r="AI78" s="520"/>
      <c r="AJ78" s="520"/>
      <c r="AK78" s="520"/>
      <c r="AL78" s="520"/>
      <c r="AM78" s="520"/>
      <c r="AN78" s="520"/>
      <c r="AO78" s="520"/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</row>
    <row r="79" spans="2:54">
      <c r="B79" s="518" t="s">
        <v>916</v>
      </c>
      <c r="D79" s="568"/>
      <c r="F79" s="557"/>
      <c r="G79" s="559">
        <f>H79-F79</f>
        <v>0</v>
      </c>
      <c r="H79" s="559">
        <v>0</v>
      </c>
      <c r="I79" s="559"/>
      <c r="J79" s="520"/>
      <c r="K79" s="520"/>
      <c r="L79" s="520"/>
      <c r="M79" s="520"/>
      <c r="N79" s="520"/>
      <c r="O79" s="520"/>
      <c r="P79" s="520"/>
      <c r="Q79" s="520"/>
      <c r="R79" s="520"/>
      <c r="S79" s="520"/>
      <c r="T79" s="520"/>
      <c r="U79" s="520"/>
      <c r="V79" s="520"/>
      <c r="W79" s="520"/>
      <c r="X79" s="520"/>
      <c r="Y79" s="520"/>
      <c r="Z79" s="520"/>
      <c r="AA79" s="520"/>
      <c r="AB79" s="520"/>
      <c r="AC79" s="520"/>
      <c r="AD79" s="520"/>
      <c r="AE79" s="520"/>
      <c r="AF79" s="520"/>
      <c r="AG79" s="520"/>
      <c r="AH79" s="520"/>
      <c r="AI79" s="520"/>
      <c r="AJ79" s="520"/>
      <c r="AK79" s="520"/>
      <c r="AL79" s="520"/>
      <c r="AM79" s="520"/>
      <c r="AN79" s="520"/>
      <c r="AO79" s="520"/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</row>
    <row r="80" spans="2:54">
      <c r="B80" s="518"/>
      <c r="C80" s="518"/>
      <c r="D80" s="568"/>
      <c r="E80" s="536"/>
      <c r="F80" s="571"/>
      <c r="G80" s="571"/>
      <c r="H80" s="571"/>
      <c r="I80" s="571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0"/>
      <c r="V80" s="520"/>
      <c r="W80" s="520"/>
      <c r="X80" s="520"/>
      <c r="Y80" s="520"/>
      <c r="Z80" s="520"/>
      <c r="AA80" s="520"/>
      <c r="AB80" s="520"/>
      <c r="AC80" s="520"/>
      <c r="AD80" s="520"/>
      <c r="AE80" s="520"/>
      <c r="AF80" s="520"/>
      <c r="AG80" s="520"/>
      <c r="AH80" s="520"/>
      <c r="AI80" s="520"/>
      <c r="AJ80" s="520"/>
      <c r="AK80" s="520"/>
      <c r="AL80" s="520"/>
      <c r="AM80" s="520"/>
      <c r="AN80" s="520"/>
      <c r="AO80" s="520"/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</row>
    <row r="81" spans="2:54">
      <c r="B81" s="518" t="s">
        <v>917</v>
      </c>
      <c r="C81" s="518"/>
      <c r="D81" s="569"/>
      <c r="F81" s="572">
        <v>25526565336.825001</v>
      </c>
      <c r="G81" s="559">
        <f>H81-F81</f>
        <v>15134693000.174999</v>
      </c>
      <c r="H81" s="572">
        <f>J9</f>
        <v>40661258337</v>
      </c>
      <c r="I81" s="572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  <c r="Y81" s="520"/>
      <c r="Z81" s="520"/>
      <c r="AA81" s="520"/>
      <c r="AB81" s="520"/>
      <c r="AC81" s="520"/>
      <c r="AD81" s="520"/>
      <c r="AE81" s="520"/>
      <c r="AF81" s="520"/>
      <c r="AG81" s="520"/>
      <c r="AH81" s="520"/>
      <c r="AI81" s="520"/>
      <c r="AJ81" s="520"/>
      <c r="AK81" s="520"/>
      <c r="AL81" s="520"/>
      <c r="AM81" s="520"/>
      <c r="AN81" s="520"/>
      <c r="AO81" s="520"/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</row>
    <row r="82" spans="2:54">
      <c r="B82" s="518"/>
      <c r="C82" s="518"/>
      <c r="D82" s="569"/>
      <c r="E82" s="536"/>
      <c r="F82" s="572"/>
      <c r="G82" s="572"/>
      <c r="H82" s="572"/>
      <c r="I82" s="572"/>
      <c r="J82" s="520"/>
      <c r="K82" s="520"/>
      <c r="L82" s="520"/>
      <c r="M82" s="520"/>
      <c r="N82" s="520"/>
      <c r="O82" s="520"/>
      <c r="P82" s="520"/>
      <c r="Q82" s="520"/>
      <c r="R82" s="520"/>
      <c r="S82" s="520"/>
      <c r="T82" s="520"/>
      <c r="U82" s="520"/>
      <c r="V82" s="520"/>
      <c r="W82" s="520"/>
      <c r="X82" s="520"/>
      <c r="Y82" s="520"/>
      <c r="Z82" s="520"/>
      <c r="AA82" s="520"/>
      <c r="AB82" s="520"/>
      <c r="AC82" s="520"/>
      <c r="AD82" s="520"/>
      <c r="AE82" s="520"/>
      <c r="AF82" s="520"/>
      <c r="AG82" s="520"/>
      <c r="AH82" s="520"/>
      <c r="AI82" s="520"/>
      <c r="AJ82" s="520"/>
      <c r="AK82" s="520"/>
      <c r="AL82" s="520"/>
      <c r="AM82" s="520"/>
      <c r="AN82" s="520"/>
      <c r="AO82" s="520"/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</row>
    <row r="83" spans="2:54">
      <c r="B83" s="518" t="s">
        <v>918</v>
      </c>
      <c r="D83" s="569"/>
      <c r="F83" s="572">
        <f>SUM(F75:F82)</f>
        <v>41026163646.000046</v>
      </c>
      <c r="G83" s="559">
        <f>H83-F83</f>
        <v>34083322454.999954</v>
      </c>
      <c r="H83" s="572">
        <f>SUM(H75:H82)</f>
        <v>75109486101</v>
      </c>
      <c r="I83" s="572"/>
      <c r="J83" s="520"/>
      <c r="K83" s="520"/>
      <c r="L83" s="520"/>
      <c r="M83" s="520"/>
      <c r="N83" s="520"/>
      <c r="O83" s="520"/>
      <c r="P83" s="520"/>
      <c r="Q83" s="520"/>
      <c r="R83" s="520"/>
      <c r="S83" s="520"/>
      <c r="T83" s="520"/>
      <c r="U83" s="520"/>
      <c r="V83" s="520"/>
      <c r="W83" s="520"/>
      <c r="X83" s="520"/>
      <c r="Y83" s="520"/>
      <c r="Z83" s="520"/>
      <c r="AA83" s="520"/>
      <c r="AB83" s="520"/>
      <c r="AC83" s="520"/>
      <c r="AD83" s="520"/>
      <c r="AE83" s="520"/>
      <c r="AF83" s="520"/>
      <c r="AG83" s="520"/>
      <c r="AH83" s="520"/>
      <c r="AI83" s="520"/>
      <c r="AJ83" s="520"/>
      <c r="AK83" s="520"/>
      <c r="AL83" s="520"/>
      <c r="AM83" s="520"/>
      <c r="AN83" s="520"/>
      <c r="AO83" s="520"/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</row>
    <row r="84" spans="2:54">
      <c r="D84" s="568"/>
      <c r="E84" s="536"/>
      <c r="F84" s="571"/>
      <c r="G84" s="571"/>
      <c r="H84" s="571"/>
      <c r="I84" s="571"/>
      <c r="J84" s="520"/>
      <c r="K84" s="520"/>
      <c r="L84" s="520"/>
      <c r="M84" s="520"/>
      <c r="N84" s="520"/>
      <c r="O84" s="520"/>
      <c r="P84" s="520"/>
      <c r="Q84" s="520"/>
      <c r="R84" s="520"/>
      <c r="S84" s="520"/>
      <c r="T84" s="520"/>
      <c r="U84" s="520"/>
      <c r="V84" s="520"/>
      <c r="W84" s="520"/>
      <c r="X84" s="520"/>
      <c r="Y84" s="520"/>
      <c r="Z84" s="520"/>
      <c r="AA84" s="520"/>
      <c r="AB84" s="520"/>
      <c r="AC84" s="520"/>
      <c r="AD84" s="520"/>
      <c r="AE84" s="520"/>
      <c r="AF84" s="520"/>
      <c r="AG84" s="520"/>
      <c r="AH84" s="520"/>
      <c r="AI84" s="520"/>
      <c r="AJ84" s="520"/>
      <c r="AK84" s="520"/>
      <c r="AL84" s="520"/>
      <c r="AM84" s="520"/>
      <c r="AN84" s="520"/>
      <c r="AO84" s="520"/>
      <c r="AP84" s="520"/>
      <c r="AQ84" s="520"/>
      <c r="AR84" s="520"/>
      <c r="AS84" s="520"/>
      <c r="AT84" s="520"/>
      <c r="AU84" s="520"/>
      <c r="BB84" s="520"/>
    </row>
    <row r="85" spans="2:54">
      <c r="B85" s="518"/>
      <c r="C85" s="518" t="s">
        <v>919</v>
      </c>
      <c r="D85" s="569"/>
      <c r="E85" s="570"/>
      <c r="F85" s="572">
        <f>'Consol SoFP 23 &amp; 22'!H15</f>
        <v>41026163646</v>
      </c>
      <c r="G85" s="559">
        <f>H85-F85</f>
        <v>34083322449</v>
      </c>
      <c r="H85" s="572">
        <f>J8</f>
        <v>75109486095</v>
      </c>
      <c r="I85" s="572"/>
      <c r="J85" s="520"/>
      <c r="K85" s="520"/>
      <c r="L85" s="520"/>
      <c r="M85" s="520"/>
      <c r="N85" s="520"/>
      <c r="O85" s="520"/>
      <c r="P85" s="520"/>
      <c r="Q85" s="520"/>
      <c r="R85" s="520"/>
      <c r="S85" s="520"/>
      <c r="T85" s="520"/>
      <c r="U85" s="520"/>
      <c r="V85" s="520"/>
      <c r="W85" s="520"/>
      <c r="X85" s="520"/>
      <c r="Y85" s="520"/>
      <c r="Z85" s="520"/>
      <c r="AA85" s="520"/>
      <c r="AB85" s="520"/>
      <c r="AC85" s="520"/>
      <c r="AD85" s="520"/>
      <c r="AE85" s="520"/>
      <c r="AF85" s="520"/>
      <c r="AG85" s="520"/>
      <c r="AH85" s="520"/>
      <c r="AI85" s="520"/>
      <c r="AJ85" s="520"/>
      <c r="AK85" s="520"/>
      <c r="AL85" s="520"/>
      <c r="AM85" s="520"/>
      <c r="AN85" s="520"/>
      <c r="AO85" s="520"/>
      <c r="AP85" s="520"/>
      <c r="AQ85" s="520"/>
      <c r="AR85" s="520"/>
      <c r="AS85" s="520"/>
      <c r="AT85" s="520"/>
      <c r="AU85" s="520"/>
      <c r="BB85" s="520"/>
    </row>
    <row r="86" spans="2:54" ht="13.5" thickBot="1">
      <c r="B86" s="573"/>
      <c r="C86" s="573" t="s">
        <v>347</v>
      </c>
      <c r="D86" s="574"/>
      <c r="E86" s="575"/>
      <c r="F86" s="576">
        <f>F83-F85</f>
        <v>0</v>
      </c>
      <c r="G86" s="576">
        <f>G83-G85</f>
        <v>5.9999542236328125</v>
      </c>
      <c r="H86" s="577">
        <f>H83-H85</f>
        <v>6</v>
      </c>
      <c r="I86" s="576"/>
      <c r="J86" s="578">
        <f>SUM(J11:J85)</f>
        <v>0</v>
      </c>
      <c r="K86" s="578">
        <f t="shared" ref="K86:BA86" si="13">SUM(K10:K85)</f>
        <v>0</v>
      </c>
      <c r="L86" s="578">
        <f t="shared" si="13"/>
        <v>0</v>
      </c>
      <c r="M86" s="578">
        <f t="shared" si="13"/>
        <v>0</v>
      </c>
      <c r="N86" s="578">
        <f t="shared" si="13"/>
        <v>0</v>
      </c>
      <c r="O86" s="578">
        <f t="shared" si="13"/>
        <v>0</v>
      </c>
      <c r="P86" s="578">
        <f t="shared" si="13"/>
        <v>0</v>
      </c>
      <c r="Q86" s="578">
        <f t="shared" si="13"/>
        <v>0</v>
      </c>
      <c r="R86" s="578">
        <f t="shared" si="13"/>
        <v>0</v>
      </c>
      <c r="S86" s="578">
        <f t="shared" si="13"/>
        <v>0</v>
      </c>
      <c r="T86" s="578">
        <f t="shared" si="13"/>
        <v>0</v>
      </c>
      <c r="U86" s="578">
        <f t="shared" si="13"/>
        <v>2.2926025390625</v>
      </c>
      <c r="V86" s="578">
        <f t="shared" si="13"/>
        <v>0</v>
      </c>
      <c r="W86" s="578">
        <f t="shared" si="13"/>
        <v>93011946372.099976</v>
      </c>
      <c r="X86" s="578">
        <f t="shared" si="13"/>
        <v>2.5000572204589844E-2</v>
      </c>
      <c r="Y86" s="578">
        <f t="shared" si="13"/>
        <v>0</v>
      </c>
      <c r="Z86" s="578">
        <f t="shared" si="13"/>
        <v>0</v>
      </c>
      <c r="AA86" s="578">
        <f t="shared" si="13"/>
        <v>0</v>
      </c>
      <c r="AB86" s="578">
        <f t="shared" si="13"/>
        <v>0</v>
      </c>
      <c r="AC86" s="578">
        <f t="shared" si="13"/>
        <v>1</v>
      </c>
      <c r="AD86" s="578">
        <f t="shared" si="13"/>
        <v>0</v>
      </c>
      <c r="AE86" s="578">
        <f t="shared" si="13"/>
        <v>0</v>
      </c>
      <c r="AF86" s="578">
        <f t="shared" si="13"/>
        <v>0</v>
      </c>
      <c r="AG86" s="578">
        <f t="shared" si="13"/>
        <v>0</v>
      </c>
      <c r="AH86" s="578">
        <f t="shared" si="13"/>
        <v>0</v>
      </c>
      <c r="AI86" s="578">
        <f t="shared" si="13"/>
        <v>0</v>
      </c>
      <c r="AJ86" s="578">
        <f t="shared" si="13"/>
        <v>0</v>
      </c>
      <c r="AK86" s="578">
        <f t="shared" si="13"/>
        <v>0</v>
      </c>
      <c r="AL86" s="578">
        <f t="shared" si="13"/>
        <v>0</v>
      </c>
      <c r="AM86" s="578">
        <f t="shared" si="13"/>
        <v>0</v>
      </c>
      <c r="AN86" s="578">
        <f t="shared" si="13"/>
        <v>0</v>
      </c>
      <c r="AO86" s="578">
        <f t="shared" si="13"/>
        <v>0</v>
      </c>
      <c r="AP86" s="578">
        <f t="shared" si="13"/>
        <v>0</v>
      </c>
      <c r="AQ86" s="578">
        <f t="shared" si="13"/>
        <v>-93011946369.332123</v>
      </c>
      <c r="AR86" s="578">
        <f t="shared" si="13"/>
        <v>0</v>
      </c>
      <c r="AS86" s="578">
        <f t="shared" si="13"/>
        <v>0</v>
      </c>
      <c r="AT86" s="578">
        <f t="shared" si="13"/>
        <v>0</v>
      </c>
      <c r="AU86" s="578">
        <f t="shared" si="13"/>
        <v>0</v>
      </c>
      <c r="AV86" s="578">
        <f t="shared" si="13"/>
        <v>0.449951171875</v>
      </c>
      <c r="AW86" s="578">
        <f t="shared" si="13"/>
        <v>0</v>
      </c>
      <c r="AX86" s="578">
        <f t="shared" si="13"/>
        <v>0.22500002384185791</v>
      </c>
      <c r="AY86" s="578">
        <f t="shared" si="13"/>
        <v>0.91478168964385986</v>
      </c>
      <c r="AZ86" s="578">
        <f t="shared" si="13"/>
        <v>0.5047607421875</v>
      </c>
      <c r="BA86" s="578">
        <f t="shared" si="13"/>
        <v>-2.2983217239379883</v>
      </c>
      <c r="BB86" s="520"/>
    </row>
    <row r="87" spans="2:54">
      <c r="D87" s="568"/>
      <c r="E87" s="536"/>
      <c r="F87" s="571"/>
      <c r="G87" s="571"/>
      <c r="H87" s="571"/>
      <c r="I87" s="571"/>
      <c r="J87" s="520"/>
      <c r="K87" s="520"/>
      <c r="L87" s="520"/>
      <c r="M87" s="520"/>
      <c r="N87" s="520"/>
      <c r="O87" s="520"/>
      <c r="P87" s="520"/>
      <c r="Q87" s="520"/>
      <c r="R87" s="520"/>
      <c r="S87" s="520"/>
      <c r="T87" s="520"/>
      <c r="U87" s="520"/>
      <c r="V87" s="520"/>
      <c r="W87" s="520"/>
      <c r="X87" s="520"/>
      <c r="Y87" s="520"/>
      <c r="Z87" s="520"/>
      <c r="AA87" s="520"/>
      <c r="AB87" s="520"/>
      <c r="AC87" s="520"/>
      <c r="AD87" s="520"/>
      <c r="AE87" s="520"/>
      <c r="AF87" s="520"/>
      <c r="AG87" s="520"/>
      <c r="AH87" s="520"/>
      <c r="AI87" s="520"/>
      <c r="AJ87" s="520"/>
      <c r="AK87" s="520"/>
      <c r="AL87" s="520"/>
      <c r="AM87" s="520"/>
      <c r="AN87" s="520"/>
      <c r="AO87" s="520"/>
      <c r="AP87" s="520"/>
      <c r="AQ87" s="520"/>
      <c r="AR87" s="520"/>
      <c r="AS87" s="520"/>
      <c r="AT87" s="520"/>
      <c r="AU87" s="520"/>
      <c r="BB87" s="520"/>
    </row>
    <row r="88" spans="2:54" s="579" customFormat="1">
      <c r="E88" s="580"/>
      <c r="J88" s="58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118B-B798-42AF-88F1-F8917CC3A739}">
  <sheetPr>
    <tabColor rgb="FFC00000"/>
  </sheetPr>
  <dimension ref="A1"/>
  <sheetViews>
    <sheetView workbookViewId="0"/>
  </sheetViews>
  <sheetFormatPr defaultColWidth="9.1796875" defaultRowHeight="14.5"/>
  <cols>
    <col min="1" max="16384" width="9.1796875" style="62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17D1-959A-40C0-B3B0-E29BB77197CD}">
  <dimension ref="A2:M59"/>
  <sheetViews>
    <sheetView workbookViewId="0">
      <selection activeCell="A14" sqref="A14"/>
    </sheetView>
  </sheetViews>
  <sheetFormatPr defaultColWidth="8.453125" defaultRowHeight="13"/>
  <cols>
    <col min="1" max="1" width="44.54296875" style="246" customWidth="1"/>
    <col min="2" max="2" width="9" style="247" customWidth="1"/>
    <col min="3" max="8" width="19.453125" style="246" customWidth="1"/>
    <col min="9" max="9" width="1.81640625" style="246" customWidth="1"/>
    <col min="10" max="10" width="19.453125" style="246" customWidth="1"/>
    <col min="11" max="11" width="4" style="246" customWidth="1"/>
    <col min="12" max="12" width="19.1796875" style="246" customWidth="1"/>
    <col min="13" max="13" width="17.7265625" style="246" bestFit="1" customWidth="1"/>
    <col min="14" max="16384" width="8.453125" style="246"/>
  </cols>
  <sheetData>
    <row r="2" spans="1:12" s="471" customFormat="1">
      <c r="A2" s="471" t="s">
        <v>177</v>
      </c>
      <c r="B2" s="510"/>
    </row>
    <row r="4" spans="1:12">
      <c r="C4" s="248"/>
      <c r="D4" s="248">
        <v>0.51</v>
      </c>
      <c r="E4" s="248">
        <v>0.51</v>
      </c>
      <c r="F4" s="248">
        <v>0.51</v>
      </c>
      <c r="G4" s="248">
        <v>0.51</v>
      </c>
      <c r="H4" s="248">
        <v>0.51</v>
      </c>
      <c r="J4" s="248">
        <v>0.51</v>
      </c>
    </row>
    <row r="5" spans="1:12">
      <c r="C5" s="248"/>
      <c r="D5" s="248">
        <f t="shared" ref="D5:E5" si="0">100%-D4</f>
        <v>0.49</v>
      </c>
      <c r="E5" s="248">
        <f t="shared" si="0"/>
        <v>0.49</v>
      </c>
      <c r="F5" s="248">
        <f>100%-F4</f>
        <v>0.49</v>
      </c>
      <c r="G5" s="248">
        <f>100%-G4</f>
        <v>0.49</v>
      </c>
      <c r="H5" s="248">
        <f>100%-H4</f>
        <v>0.49</v>
      </c>
      <c r="J5" s="248">
        <f>100%-J4</f>
        <v>0.49</v>
      </c>
    </row>
    <row r="6" spans="1:12">
      <c r="C6" s="254"/>
      <c r="D6" s="254"/>
      <c r="E6" s="254"/>
      <c r="F6" s="254"/>
      <c r="G6" s="254"/>
      <c r="H6" s="254"/>
      <c r="J6" s="254"/>
    </row>
    <row r="7" spans="1:12" s="255" customFormat="1">
      <c r="B7" s="247"/>
      <c r="C7" s="103" t="s">
        <v>562</v>
      </c>
      <c r="D7" s="103" t="s">
        <v>563</v>
      </c>
      <c r="E7" s="103" t="s">
        <v>546</v>
      </c>
      <c r="F7" s="103" t="s">
        <v>547</v>
      </c>
      <c r="G7" s="103" t="s">
        <v>548</v>
      </c>
      <c r="H7" s="103" t="s">
        <v>549</v>
      </c>
      <c r="J7" s="103" t="s">
        <v>204</v>
      </c>
      <c r="L7" s="103" t="s">
        <v>204</v>
      </c>
    </row>
    <row r="8" spans="1:12" s="255" customFormat="1">
      <c r="B8" s="247"/>
      <c r="C8" s="257"/>
      <c r="D8" s="257"/>
      <c r="E8" s="257"/>
      <c r="F8" s="257"/>
      <c r="G8" s="257"/>
      <c r="H8" s="257"/>
      <c r="J8" s="257"/>
      <c r="L8" s="257"/>
    </row>
    <row r="11" spans="1:12">
      <c r="A11" s="246" t="s">
        <v>564</v>
      </c>
      <c r="C11" s="254">
        <f>'Consol SoFP 23 &amp; 22'!AJ101</f>
        <v>145740154214</v>
      </c>
      <c r="D11" s="254">
        <f>'Consol SoFP 23 &amp; 22'!AT101</f>
        <v>-20240927228</v>
      </c>
      <c r="E11" s="254">
        <f>'Consol SoFP 23 &amp; 22'!AM101</f>
        <v>129961640658.14999</v>
      </c>
      <c r="F11" s="254">
        <f>'Consol SoFP 23 &amp; 22'!AP101</f>
        <v>0</v>
      </c>
      <c r="G11" s="254">
        <f>'Consol SoFP 23 &amp; 22'!AQ101</f>
        <v>-11332579376.475</v>
      </c>
      <c r="H11" s="254">
        <f>'Consol SoFP 23 &amp; 22'!AY101</f>
        <v>0</v>
      </c>
      <c r="J11" s="254">
        <f>SUM('Consol SoFP 23 &amp; 22'!BD101:BE101)</f>
        <v>-98388134053.674988</v>
      </c>
      <c r="L11" s="254">
        <f>SUM(C11:H11,J11)</f>
        <v>145740154214</v>
      </c>
    </row>
    <row r="12" spans="1:12" ht="13.5" thickBot="1">
      <c r="A12" s="246" t="s">
        <v>221</v>
      </c>
      <c r="C12" s="509">
        <f>'Consol SoPL-OCI 23 &amp; 22'!AH86</f>
        <v>177933758110.67499</v>
      </c>
      <c r="D12" s="509">
        <f>'Consol SoPL-OCI 23 &amp; 22'!AT86</f>
        <v>39420351553.376801</v>
      </c>
      <c r="E12" s="509">
        <f>'Consol SoPL-OCI 23 &amp; 22'!AK86</f>
        <v>382074481738.04993</v>
      </c>
      <c r="F12" s="509">
        <f>'Consol SoPL-OCI 23 &amp; 22'!AN86</f>
        <v>282618817.42500013</v>
      </c>
      <c r="G12" s="509">
        <f>'Consol SoPL-OCI 23 &amp; 22'!AQ86</f>
        <v>574553968</v>
      </c>
      <c r="H12" s="509">
        <v>0</v>
      </c>
      <c r="J12" s="509">
        <f>SUM('Consol SoFP 23 &amp; 22'!BD102:BE102)</f>
        <v>-422352006076.85168</v>
      </c>
      <c r="L12" s="509">
        <f>SUM(C12:H12,J12)</f>
        <v>177933758110.67505</v>
      </c>
    </row>
    <row r="13" spans="1:12">
      <c r="A13" s="246" t="s">
        <v>566</v>
      </c>
      <c r="C13" s="254">
        <f>SUM(C11:C12)</f>
        <v>323673912324.67499</v>
      </c>
      <c r="D13" s="254">
        <f t="shared" ref="D13:H13" si="1">SUM(D11:D12)</f>
        <v>19179424325.376801</v>
      </c>
      <c r="E13" s="254">
        <f t="shared" si="1"/>
        <v>512036122396.19995</v>
      </c>
      <c r="F13" s="254">
        <f t="shared" si="1"/>
        <v>282618817.42500013</v>
      </c>
      <c r="G13" s="254">
        <f t="shared" si="1"/>
        <v>-10758025408.475</v>
      </c>
      <c r="H13" s="254">
        <f t="shared" si="1"/>
        <v>0</v>
      </c>
      <c r="J13" s="254">
        <f t="shared" ref="J13:L15" si="2">SUM(H13:I13)</f>
        <v>0</v>
      </c>
      <c r="L13" s="254">
        <f t="shared" ref="L13" si="3">SUM(L11:L12)</f>
        <v>323673912324.67505</v>
      </c>
    </row>
    <row r="14" spans="1:12">
      <c r="A14" s="246" t="s">
        <v>435</v>
      </c>
      <c r="C14" s="254">
        <f>SUM('Consol SoFP 23 &amp; 22'!AJ101:AJ102)</f>
        <v>323673912324.67499</v>
      </c>
      <c r="D14" s="254">
        <f>SUM('Consol SoFP 23 &amp; 22'!AT101:AT102)</f>
        <v>19179424325.376801</v>
      </c>
      <c r="E14" s="254">
        <f>SUM('Consol SoFP 23 &amp; 22'!AM101:AM102)</f>
        <v>512036122396.19995</v>
      </c>
      <c r="F14" s="254">
        <f>SUM('Consol SoFP 23 &amp; 22'!AP101:AP102)</f>
        <v>282618817.42500013</v>
      </c>
      <c r="G14" s="254">
        <f>SUM('Consol SoFP 23 &amp; 22'!AQ101:AQ102)</f>
        <v>-10758025408.475</v>
      </c>
      <c r="H14" s="254">
        <f>'Consol SoFP 23 &amp; 22'!AY101</f>
        <v>0</v>
      </c>
      <c r="J14" s="254">
        <f t="shared" si="2"/>
        <v>0</v>
      </c>
      <c r="L14" s="254">
        <f>SUM('Consol SoFP 23 &amp; 22'!BF101:BF102)</f>
        <v>323673912325</v>
      </c>
    </row>
    <row r="15" spans="1:12">
      <c r="A15" s="246" t="s">
        <v>109</v>
      </c>
      <c r="C15" s="254">
        <f>C13-C14</f>
        <v>0</v>
      </c>
      <c r="D15" s="254">
        <f t="shared" ref="D15:H15" si="4">D13-D14</f>
        <v>0</v>
      </c>
      <c r="E15" s="254">
        <f t="shared" si="4"/>
        <v>0</v>
      </c>
      <c r="F15" s="254">
        <f t="shared" si="4"/>
        <v>0</v>
      </c>
      <c r="G15" s="254">
        <f t="shared" si="4"/>
        <v>0</v>
      </c>
      <c r="H15" s="254">
        <f t="shared" si="4"/>
        <v>0</v>
      </c>
      <c r="J15" s="254">
        <f t="shared" si="2"/>
        <v>0</v>
      </c>
      <c r="L15" s="254">
        <f t="shared" si="2"/>
        <v>0</v>
      </c>
    </row>
    <row r="17" spans="1:12">
      <c r="A17" s="246" t="s">
        <v>567</v>
      </c>
      <c r="C17" s="283">
        <f>C13</f>
        <v>323673912324.67499</v>
      </c>
      <c r="D17" s="283">
        <f t="shared" ref="D17:H17" si="5">D13</f>
        <v>19179424325.376801</v>
      </c>
      <c r="E17" s="283">
        <f t="shared" si="5"/>
        <v>512036122396.19995</v>
      </c>
      <c r="F17" s="283">
        <f t="shared" si="5"/>
        <v>282618817.42500013</v>
      </c>
      <c r="G17" s="283">
        <f t="shared" si="5"/>
        <v>-10758025408.475</v>
      </c>
      <c r="H17" s="283">
        <f t="shared" si="5"/>
        <v>0</v>
      </c>
      <c r="J17" s="283">
        <f>SUM('Consol SoFP 23 &amp; 22'!AC101:AD101)</f>
        <v>-520740140129.17499</v>
      </c>
      <c r="L17" s="283">
        <f>SUM(C17:H17,J17)</f>
        <v>323673912326.02679</v>
      </c>
    </row>
    <row r="18" spans="1:12" ht="13.5" thickBot="1">
      <c r="A18" s="246" t="s">
        <v>221</v>
      </c>
      <c r="C18" s="509">
        <f>'Consol SoPL-OCI 23 &amp; 22'!G86</f>
        <v>307170485582.5</v>
      </c>
      <c r="D18" s="509">
        <f>'Consol SoPL-OCI 23 &amp; 22'!S86</f>
        <v>79178338799.328873</v>
      </c>
      <c r="E18" s="509">
        <f>'Consol SoPL-OCI 23 &amp; 22'!J86</f>
        <v>603198187479.59229</v>
      </c>
      <c r="F18" s="509">
        <f>'Consol SoPL-OCI 23 &amp; 22'!M86</f>
        <v>-2677772539</v>
      </c>
      <c r="G18" s="509">
        <f>'Consol SoPL-OCI 23 &amp; 22'!P86</f>
        <v>-1013465132</v>
      </c>
      <c r="H18" s="509">
        <v>0</v>
      </c>
      <c r="J18" s="509">
        <f>SUM('Consol SoFP 23 &amp; 22'!AC102:AD102)</f>
        <v>-659649957772.50476</v>
      </c>
      <c r="L18" s="509">
        <f>SUM(C18:H18,J18)</f>
        <v>326205816417.91638</v>
      </c>
    </row>
    <row r="19" spans="1:12">
      <c r="A19" s="246" t="s">
        <v>568</v>
      </c>
      <c r="C19" s="254">
        <f>SUM(C17:C18)</f>
        <v>630844397907.17505</v>
      </c>
      <c r="D19" s="254">
        <f t="shared" ref="D19:L19" si="6">SUM(D17:D18)</f>
        <v>98357763124.705673</v>
      </c>
      <c r="E19" s="254">
        <f t="shared" si="6"/>
        <v>1115234309875.7922</v>
      </c>
      <c r="F19" s="254">
        <f t="shared" si="6"/>
        <v>-2395153721.5749998</v>
      </c>
      <c r="G19" s="254">
        <f t="shared" si="6"/>
        <v>-11771490540.475</v>
      </c>
      <c r="H19" s="254">
        <f t="shared" si="6"/>
        <v>0</v>
      </c>
      <c r="J19" s="254">
        <f t="shared" si="6"/>
        <v>-1180390097901.6797</v>
      </c>
      <c r="L19" s="254">
        <f t="shared" si="6"/>
        <v>649879728743.94312</v>
      </c>
    </row>
    <row r="20" spans="1:12">
      <c r="A20" s="246" t="s">
        <v>435</v>
      </c>
      <c r="C20" s="254">
        <f>SUM('Consol SoFP 23 &amp; 22'!H101:H102)</f>
        <v>630844397907.17505</v>
      </c>
      <c r="D20" s="254">
        <f>SUM('Consol SoFP 23 &amp; 22'!T101:T102)</f>
        <v>98357763125.328873</v>
      </c>
      <c r="E20" s="254">
        <f>SUM('Consol SoFP 23 &amp; 22'!K101:K102)</f>
        <v>1115234309874.0674</v>
      </c>
      <c r="F20" s="254">
        <f>SUM('Consol SoFP 23 &amp; 22'!N101:N102)</f>
        <v>-2395153721.5749998</v>
      </c>
      <c r="G20" s="254">
        <f>SUM('Consol SoFP 23 &amp; 22'!Q101:Q102)</f>
        <v>-11771490540.725</v>
      </c>
      <c r="H20" s="254">
        <f>'Consol SoFP 23 &amp; 22'!AY107</f>
        <v>0</v>
      </c>
      <c r="L20" s="254">
        <f>SUM('Consol SoFP 23 &amp; 22'!AE101:AE102)</f>
        <v>649879728743</v>
      </c>
    </row>
    <row r="21" spans="1:12">
      <c r="A21" s="246" t="s">
        <v>109</v>
      </c>
      <c r="C21" s="254">
        <f>C19-C20</f>
        <v>0</v>
      </c>
      <c r="D21" s="254">
        <f t="shared" ref="D21" si="7">D19-D20</f>
        <v>-0.623199462890625</v>
      </c>
      <c r="E21" s="254">
        <f t="shared" ref="E21" si="8">E19-E20</f>
        <v>1.724853515625</v>
      </c>
      <c r="F21" s="254">
        <f t="shared" ref="F21" si="9">F19-F20</f>
        <v>0</v>
      </c>
      <c r="G21" s="254">
        <f t="shared" ref="G21" si="10">G19-G20</f>
        <v>0.25</v>
      </c>
      <c r="H21" s="254">
        <f t="shared" ref="H21" si="11">H19-H20</f>
        <v>0</v>
      </c>
      <c r="L21" s="254">
        <f t="shared" ref="L21" si="12">L19-L20</f>
        <v>0.943115234375</v>
      </c>
    </row>
    <row r="23" spans="1:12">
      <c r="A23" s="246" t="s">
        <v>570</v>
      </c>
      <c r="C23" s="283">
        <f>C19</f>
        <v>630844397907.17505</v>
      </c>
      <c r="D23" s="283">
        <f t="shared" ref="D23:H23" si="13">D19</f>
        <v>98357763124.705673</v>
      </c>
      <c r="E23" s="283">
        <f t="shared" si="13"/>
        <v>1115234309875.7922</v>
      </c>
      <c r="F23" s="283">
        <f t="shared" si="13"/>
        <v>-2395153721.5749998</v>
      </c>
      <c r="G23" s="283">
        <f t="shared" si="13"/>
        <v>-11771490540.475</v>
      </c>
      <c r="H23" s="283">
        <f t="shared" si="13"/>
        <v>0</v>
      </c>
      <c r="J23" s="283">
        <f>SUM('Consol SoFP 23 &amp; 22'!AC107:AD107)</f>
        <v>0</v>
      </c>
      <c r="L23" s="283">
        <f>SUM(C23:H23,J23)</f>
        <v>1830269826645.6228</v>
      </c>
    </row>
    <row r="24" spans="1:12">
      <c r="A24" s="246" t="s">
        <v>221</v>
      </c>
      <c r="C24" s="283">
        <f>'Consol SoPL-OCI 24'!E63+'Consol SoPL-OCI 24'!F63</f>
        <v>232074381913</v>
      </c>
      <c r="D24" s="283">
        <f>'Consol SoPL-OCI 24'!W87</f>
        <v>9124405937.9246941</v>
      </c>
      <c r="E24" s="283">
        <f>'Consol SoPL-OCI 24'!M87</f>
        <v>243676524429.64999</v>
      </c>
      <c r="F24" s="283">
        <f>'Consol SoPL-OCI 24'!P79</f>
        <v>10891649906</v>
      </c>
      <c r="G24" s="283">
        <f>'Consol SoPL-OCI 24'!T79</f>
        <v>36098801827</v>
      </c>
      <c r="H24" s="283">
        <f>'Consol SoFP 24'!Y102</f>
        <v>-897156804.60000002</v>
      </c>
      <c r="J24" s="283"/>
      <c r="L24" s="283"/>
    </row>
    <row r="25" spans="1:12" ht="13.5" thickBot="1">
      <c r="A25" s="246" t="s">
        <v>569</v>
      </c>
      <c r="C25" s="509">
        <f>SUM('Consol SoFP 24'!F102:G102)</f>
        <v>19370964516.675003</v>
      </c>
      <c r="D25" s="509">
        <f>'Consol SoPL-OCI 23 &amp; 22'!S92</f>
        <v>0</v>
      </c>
      <c r="E25" s="509">
        <f>'Consol SoPL-OCI 23 &amp; 22'!J92</f>
        <v>0</v>
      </c>
      <c r="F25" s="509">
        <f>'Consol SoPL-OCI 23 &amp; 22'!M92</f>
        <v>0</v>
      </c>
      <c r="G25" s="509">
        <f>'Consol SoPL-OCI 23 &amp; 22'!P92</f>
        <v>0</v>
      </c>
      <c r="H25" s="509">
        <v>0</v>
      </c>
      <c r="J25" s="509">
        <f>SUM('Consol SoFP 23 &amp; 22'!AC108:AD108)</f>
        <v>0</v>
      </c>
      <c r="L25" s="509">
        <f>SUM(C25:H25,J25)</f>
        <v>19370964516.675003</v>
      </c>
    </row>
    <row r="26" spans="1:12">
      <c r="A26" s="246" t="s">
        <v>571</v>
      </c>
      <c r="C26" s="254">
        <f>SUM(C23:C25)</f>
        <v>882289744336.8501</v>
      </c>
      <c r="D26" s="254">
        <f t="shared" ref="D26" si="14">SUM(D23:D25)</f>
        <v>107482169062.63037</v>
      </c>
      <c r="E26" s="254">
        <f t="shared" ref="E26" si="15">SUM(E23:E25)</f>
        <v>1358910834305.4421</v>
      </c>
      <c r="F26" s="254">
        <f t="shared" ref="F26" si="16">SUM(F23:F25)</f>
        <v>8496496184.4250002</v>
      </c>
      <c r="G26" s="254">
        <f t="shared" ref="G26" si="17">SUM(G23:G25)</f>
        <v>24327311286.525002</v>
      </c>
      <c r="H26" s="254">
        <f t="shared" ref="H26" si="18">SUM(H23:H25)</f>
        <v>-897156804.60000002</v>
      </c>
      <c r="J26" s="254">
        <f t="shared" ref="J26" si="19">SUM(J23:J25)</f>
        <v>0</v>
      </c>
      <c r="L26" s="254">
        <f t="shared" ref="L26" si="20">SUM(L23:L25)</f>
        <v>1849640791162.2979</v>
      </c>
    </row>
    <row r="27" spans="1:12">
      <c r="A27" s="246" t="s">
        <v>572</v>
      </c>
      <c r="C27" s="254">
        <f>SUM('Consol SoFP 24'!H101:H102)</f>
        <v>882289744333.5752</v>
      </c>
      <c r="D27" s="254">
        <f>SUM('Consol SoFP 24'!V101:V102)</f>
        <v>107482169062.9247</v>
      </c>
      <c r="E27" s="254">
        <f>SUM('Consol SoFP 24'!L101:L102)</f>
        <v>1358910834294.4265</v>
      </c>
      <c r="F27" s="254">
        <f>SUM('Consol SoFP 24'!M101:M102)</f>
        <v>8207054749</v>
      </c>
      <c r="G27" s="254">
        <f>SUM('Consol SoFP 24'!S101:S102)</f>
        <v>24327311287.124496</v>
      </c>
      <c r="H27" s="254">
        <v>0</v>
      </c>
      <c r="L27" s="254">
        <f>SUM('Consol SoFP 23 &amp; 22'!AE107:AE108)</f>
        <v>0</v>
      </c>
    </row>
    <row r="28" spans="1:12">
      <c r="A28" s="246" t="s">
        <v>109</v>
      </c>
      <c r="C28" s="254">
        <f>C26-C27</f>
        <v>3.27490234375</v>
      </c>
      <c r="D28" s="254">
        <f t="shared" ref="D28" si="21">D26-D27</f>
        <v>-0.2943267822265625</v>
      </c>
      <c r="E28" s="254">
        <f t="shared" ref="E28" si="22">E26-E27</f>
        <v>11.015625</v>
      </c>
      <c r="F28" s="254">
        <f t="shared" ref="F28" si="23">F26-F27</f>
        <v>289441435.42500019</v>
      </c>
      <c r="G28" s="254">
        <f t="shared" ref="G28" si="24">G26-G27</f>
        <v>-0.59949493408203125</v>
      </c>
      <c r="H28" s="254">
        <v>0</v>
      </c>
      <c r="L28" s="254">
        <f t="shared" ref="L28" si="25">L26-L27</f>
        <v>1849640791162.2979</v>
      </c>
    </row>
    <row r="30" spans="1:12">
      <c r="A30" s="246" t="s">
        <v>573</v>
      </c>
    </row>
    <row r="31" spans="1:12">
      <c r="A31" s="246" t="s">
        <v>574</v>
      </c>
    </row>
    <row r="32" spans="1:12">
      <c r="A32" s="246" t="s">
        <v>575</v>
      </c>
      <c r="F32" s="283">
        <f>-F28</f>
        <v>-289441435.42500019</v>
      </c>
    </row>
    <row r="34" spans="1:13">
      <c r="A34" s="246" t="s">
        <v>570</v>
      </c>
      <c r="C34" s="283">
        <f>C23</f>
        <v>630844397907.17505</v>
      </c>
      <c r="D34" s="283">
        <f t="shared" ref="D34:L34" si="26">D23</f>
        <v>98357763124.705673</v>
      </c>
      <c r="E34" s="283">
        <f t="shared" si="26"/>
        <v>1115234309875.7922</v>
      </c>
      <c r="F34" s="283">
        <f t="shared" si="26"/>
        <v>-2395153721.5749998</v>
      </c>
      <c r="G34" s="283">
        <f t="shared" si="26"/>
        <v>-11771490540.475</v>
      </c>
      <c r="H34" s="283">
        <f t="shared" si="26"/>
        <v>0</v>
      </c>
      <c r="J34" s="283">
        <f t="shared" si="26"/>
        <v>0</v>
      </c>
      <c r="L34" s="283">
        <f t="shared" si="26"/>
        <v>1830269826645.6228</v>
      </c>
    </row>
    <row r="35" spans="1:13">
      <c r="A35" s="246" t="s">
        <v>221</v>
      </c>
      <c r="C35" s="283">
        <f>C24</f>
        <v>232074381913</v>
      </c>
      <c r="D35" s="283">
        <f>D24</f>
        <v>9124405937.9246941</v>
      </c>
      <c r="E35" s="283">
        <f>'Consol SoPL-OCI 24'!M98</f>
        <v>243676524429.64999</v>
      </c>
      <c r="F35" s="283">
        <f>'Consol SoPL-OCI 24'!P90</f>
        <v>10891649906</v>
      </c>
      <c r="G35" s="283">
        <f>'Consol SoPL-OCI 24'!T90</f>
        <v>36098801827</v>
      </c>
      <c r="H35" s="283">
        <f>'Consol SoFP 24'!Y102</f>
        <v>-897156804.60000002</v>
      </c>
      <c r="J35" s="283"/>
      <c r="L35" s="283"/>
    </row>
    <row r="36" spans="1:13" ht="13.5" thickBot="1">
      <c r="A36" s="246" t="s">
        <v>569</v>
      </c>
      <c r="C36" s="509">
        <f>C25</f>
        <v>19370964516.675003</v>
      </c>
      <c r="D36" s="509">
        <f>'Consol SoPL-OCI 23 &amp; 22'!S103</f>
        <v>0</v>
      </c>
      <c r="E36" s="509">
        <f>'Consol SoPL-OCI 23 &amp; 22'!J103</f>
        <v>0</v>
      </c>
      <c r="F36" s="509">
        <f>'Consol SoPL-OCI 23 &amp; 22'!M103</f>
        <v>0</v>
      </c>
      <c r="G36" s="509">
        <f>'Consol SoPL-OCI 23 &amp; 22'!P103</f>
        <v>0</v>
      </c>
      <c r="H36" s="509">
        <v>0</v>
      </c>
      <c r="J36" s="509">
        <f>SUM('Consol SoFP 23 &amp; 22'!AC119:AD119)</f>
        <v>0</v>
      </c>
      <c r="L36" s="509">
        <f>SUM(C36:H36,J36)</f>
        <v>19370964516.675003</v>
      </c>
    </row>
    <row r="37" spans="1:13">
      <c r="A37" s="246" t="s">
        <v>571</v>
      </c>
      <c r="C37" s="254">
        <f>SUM(C34:C36)</f>
        <v>882289744336.8501</v>
      </c>
      <c r="D37" s="254">
        <f t="shared" ref="D37" si="27">SUM(D34:D36)</f>
        <v>107482169062.63037</v>
      </c>
      <c r="E37" s="254">
        <f t="shared" ref="E37" si="28">SUM(E34:E36)</f>
        <v>1358910834305.4421</v>
      </c>
      <c r="F37" s="254">
        <f t="shared" ref="F37" si="29">SUM(F34:F36)</f>
        <v>8496496184.4250002</v>
      </c>
      <c r="G37" s="254">
        <f t="shared" ref="G37" si="30">SUM(G34:G36)</f>
        <v>24327311286.525002</v>
      </c>
      <c r="H37" s="254">
        <f t="shared" ref="H37" si="31">SUM(H34:H36)</f>
        <v>-897156804.60000002</v>
      </c>
      <c r="J37" s="254">
        <f t="shared" ref="J37" si="32">SUM(J34:J36)</f>
        <v>0</v>
      </c>
      <c r="L37" s="254">
        <f t="shared" ref="L37" si="33">SUM(L34:L36)</f>
        <v>1849640791162.2979</v>
      </c>
    </row>
    <row r="38" spans="1:13">
      <c r="A38" s="246" t="s">
        <v>576</v>
      </c>
      <c r="C38" s="254">
        <f>SUM('Consol SoFP 24'!H101:H102)</f>
        <v>882289744333.5752</v>
      </c>
      <c r="D38" s="254">
        <f>SUM('Consol SoFP 24'!V101:V102)</f>
        <v>107482169062.9247</v>
      </c>
      <c r="E38" s="254">
        <f>SUM('Consol SoFP 24'!L101:L102)</f>
        <v>1358910834294.4265</v>
      </c>
      <c r="F38" s="254">
        <f>SUM('Consol SoFP 24'!O101:O102)</f>
        <v>8496496184.4250002</v>
      </c>
      <c r="G38" s="254">
        <f>SUM('Consol SoFP 24'!S101:S102)</f>
        <v>24327311287.124496</v>
      </c>
      <c r="H38" s="254">
        <v>0</v>
      </c>
      <c r="L38" s="254">
        <f>SUM('Consol SoFP 23 &amp; 22'!AE118:AE119)</f>
        <v>652411632835.49524</v>
      </c>
    </row>
    <row r="39" spans="1:13">
      <c r="A39" s="246" t="s">
        <v>109</v>
      </c>
      <c r="C39" s="254">
        <f>C37-C38</f>
        <v>3.27490234375</v>
      </c>
      <c r="D39" s="254">
        <f t="shared" ref="D39" si="34">D37-D38</f>
        <v>-0.2943267822265625</v>
      </c>
      <c r="E39" s="254">
        <f t="shared" ref="E39" si="35">E37-E38</f>
        <v>11.015625</v>
      </c>
      <c r="F39" s="254">
        <f t="shared" ref="F39" si="36">F37-F38</f>
        <v>0</v>
      </c>
      <c r="G39" s="254">
        <f t="shared" ref="G39" si="37">G37-G38</f>
        <v>-0.59949493408203125</v>
      </c>
      <c r="H39" s="254">
        <v>0</v>
      </c>
      <c r="L39" s="254">
        <f t="shared" ref="L39" si="38">L37-L38</f>
        <v>1197229158326.8027</v>
      </c>
    </row>
    <row r="41" spans="1:13" s="471" customFormat="1">
      <c r="A41" s="471" t="s">
        <v>353</v>
      </c>
      <c r="B41" s="510"/>
    </row>
    <row r="43" spans="1:13">
      <c r="C43" s="254"/>
      <c r="D43" s="254"/>
      <c r="E43" s="254"/>
      <c r="F43" s="254"/>
      <c r="G43" s="254"/>
      <c r="H43" s="254"/>
      <c r="J43" s="254"/>
    </row>
    <row r="44" spans="1:13" s="255" customFormat="1">
      <c r="B44" s="247"/>
      <c r="C44" s="103" t="s">
        <v>359</v>
      </c>
      <c r="D44" s="103" t="s">
        <v>580</v>
      </c>
      <c r="E44" s="103" t="s">
        <v>9</v>
      </c>
      <c r="F44" s="103" t="s">
        <v>9</v>
      </c>
      <c r="G44" s="103" t="s">
        <v>87</v>
      </c>
      <c r="H44" s="103" t="s">
        <v>581</v>
      </c>
      <c r="J44" s="103" t="s">
        <v>204</v>
      </c>
      <c r="L44" s="103" t="s">
        <v>204</v>
      </c>
    </row>
    <row r="45" spans="1:13" s="255" customFormat="1">
      <c r="B45" s="247"/>
      <c r="C45" s="257" t="s">
        <v>5</v>
      </c>
      <c r="D45" s="257" t="s">
        <v>583</v>
      </c>
      <c r="E45" s="257" t="s">
        <v>584</v>
      </c>
      <c r="F45" s="257" t="s">
        <v>585</v>
      </c>
      <c r="G45" s="257" t="s">
        <v>334</v>
      </c>
      <c r="H45" s="257" t="s">
        <v>582</v>
      </c>
      <c r="J45" s="257" t="s">
        <v>565</v>
      </c>
      <c r="L45" s="257" t="s">
        <v>565</v>
      </c>
    </row>
    <row r="48" spans="1:13">
      <c r="A48" s="246" t="s">
        <v>563</v>
      </c>
      <c r="C48" s="254">
        <v>240975000</v>
      </c>
      <c r="D48" s="254">
        <f>SUM('Proforma Adjustment'!N123:O123)</f>
        <v>-49921484193.599892</v>
      </c>
      <c r="E48" s="254">
        <f>'Proforma Adjustment'!E136</f>
        <v>7780628834.6999998</v>
      </c>
      <c r="F48" s="254">
        <f>'Proforma Adjustment'!D139</f>
        <v>42140855359.050003</v>
      </c>
      <c r="G48" s="254">
        <f>-'Consol SoPL-OCI 24'!G48</f>
        <v>-12434075863.041597</v>
      </c>
      <c r="H48" s="254">
        <f>SUM(C48:G48)</f>
        <v>-12193100862.891489</v>
      </c>
      <c r="J48" s="254">
        <f>SUM('Elimination 2024'!H57,'Elimination 2024'!G62,'Elimination 2024'!H67)</f>
        <v>12193100863.041595</v>
      </c>
      <c r="L48" s="254">
        <f>SUM(H48,J48)</f>
        <v>0.15010643005371094</v>
      </c>
      <c r="M48" s="282"/>
    </row>
    <row r="49" spans="1:13">
      <c r="A49" s="246" t="s">
        <v>546</v>
      </c>
      <c r="C49" s="254">
        <f>SUM('BS RP Disclosure 2024'!E253:F253)</f>
        <v>21504957075</v>
      </c>
      <c r="D49" s="254">
        <f>SUM('Proforma Adjustment'!N120:O120)</f>
        <v>-14831473886.355602</v>
      </c>
      <c r="E49" s="254">
        <f>'Proforma Adjustment'!E112</f>
        <v>-2910673035.4171801</v>
      </c>
      <c r="F49" s="254">
        <f>'Proforma Adjustment'!D115</f>
        <v>17742147473.468147</v>
      </c>
      <c r="G49" s="254">
        <f>-'Consol SoPL-OCI 24'!G45</f>
        <v>-5130652270.7612705</v>
      </c>
      <c r="H49" s="254">
        <f t="shared" ref="H49:H51" si="39">SUM(C49:G49)</f>
        <v>16374305355.934095</v>
      </c>
      <c r="J49" s="254">
        <f>SUM('Elimination 2024'!H7,'Elimination 2024'!G10,'Elimination 2024'!H18,'Elimination 2024'!H23,'Elimination 2024'!G27)</f>
        <v>62119903071.184227</v>
      </c>
      <c r="L49" s="254">
        <f t="shared" ref="L49:L51" si="40">SUM(H49,J49)</f>
        <v>78494208427.118317</v>
      </c>
      <c r="M49" s="282">
        <f>L49/2</f>
        <v>39247104213.559158</v>
      </c>
    </row>
    <row r="50" spans="1:13">
      <c r="A50" s="246" t="s">
        <v>547</v>
      </c>
      <c r="C50" s="254">
        <f>'BS RP Disclosure 2024'!F254</f>
        <v>12049420</v>
      </c>
      <c r="D50" s="254">
        <f>SUM('Proforma Adjustment'!N121:O121)</f>
        <v>1233577148.0032501</v>
      </c>
      <c r="E50" s="254">
        <f>'Proforma Adjustment'!E120</f>
        <v>-1582834860.8691001</v>
      </c>
      <c r="F50" s="254">
        <f>'Proforma Adjustment'!D123</f>
        <v>349257712.86585021</v>
      </c>
      <c r="G50" s="254">
        <f>-'Consol SoPL-OCI 24'!G46</f>
        <v>-3971906591.1909003</v>
      </c>
      <c r="H50" s="254">
        <f t="shared" si="39"/>
        <v>-3959857171.1908998</v>
      </c>
      <c r="J50" s="254">
        <f>SUM('Elimination 2024'!H31,'Elimination 2024'!G36,'Elimination 2024'!H41)</f>
        <v>3959857841.1908998</v>
      </c>
      <c r="L50" s="254">
        <f t="shared" si="40"/>
        <v>670</v>
      </c>
    </row>
    <row r="51" spans="1:13">
      <c r="A51" s="246" t="s">
        <v>548</v>
      </c>
      <c r="C51" s="254">
        <f>'BS RP Disclosure 2024'!F255</f>
        <v>2510156250</v>
      </c>
      <c r="D51" s="254">
        <f>SUM('Proforma Adjustment'!N122:O122)</f>
        <v>8513616425.3222504</v>
      </c>
      <c r="E51" s="254">
        <f>'Proforma Adjustment'!D127</f>
        <v>-9333360669.8477993</v>
      </c>
      <c r="F51" s="254">
        <f>'Proforma Adjustment'!E132</f>
        <v>819744244.51129341</v>
      </c>
      <c r="G51" s="254">
        <f>-'Consol SoPL-OCI 24'!G47</f>
        <v>-9077028261.9222012</v>
      </c>
      <c r="H51" s="254">
        <f t="shared" si="39"/>
        <v>-6566872011.9364567</v>
      </c>
      <c r="J51" s="254">
        <f>SUM('Elimination 2024'!H44,'Elimination 2024'!G49,'Elimination 2024'!G53)</f>
        <v>6566872011.7944508</v>
      </c>
      <c r="L51" s="254">
        <f t="shared" si="40"/>
        <v>-0.14200592041015625</v>
      </c>
      <c r="M51" s="283"/>
    </row>
    <row r="52" spans="1:13">
      <c r="A52" s="246" t="s">
        <v>549</v>
      </c>
      <c r="F52" s="254"/>
      <c r="J52" s="254"/>
    </row>
    <row r="53" spans="1:13">
      <c r="C53" s="283">
        <f>SUM(C48:C51)</f>
        <v>24268137745</v>
      </c>
      <c r="D53" s="283">
        <f t="shared" ref="D53" si="41">SUM(D48:D51)</f>
        <v>-55005764506.62999</v>
      </c>
      <c r="E53" s="254">
        <f t="shared" ref="E53:F53" si="42">SUM(E48:E51)</f>
        <v>-6046239731.4340801</v>
      </c>
      <c r="F53" s="254">
        <f t="shared" si="42"/>
        <v>61052004789.895294</v>
      </c>
      <c r="G53" s="283">
        <f>SUM(G48:G51)</f>
        <v>-30613662986.91597</v>
      </c>
      <c r="H53" s="283">
        <f>SUM(H48:H51)</f>
        <v>-6345524690.0847502</v>
      </c>
      <c r="J53" s="406">
        <f>SUM(J48:J51)</f>
        <v>84839733787.211182</v>
      </c>
      <c r="L53" s="406">
        <f>SUM(L48:L51)</f>
        <v>78494209097.126404</v>
      </c>
    </row>
    <row r="54" spans="1:13">
      <c r="C54" s="406">
        <f>SUM('BS RP Disclosure 2024'!E261:F261)</f>
        <v>24268137745</v>
      </c>
      <c r="D54" s="283">
        <f>SUM('Consol SoFP 24'!Z40:AA40)</f>
        <v>-55005764506.62999</v>
      </c>
      <c r="E54" s="254">
        <f>-'Consol SoPL-OCI 24'!AA50</f>
        <v>-6046239731.4340792</v>
      </c>
      <c r="F54" s="254"/>
      <c r="G54" s="406">
        <f>SUM('Consol SoFP 24'!F40)</f>
        <v>-30613662987</v>
      </c>
      <c r="H54" s="406">
        <f>'Consol SoFP 24'!AE40</f>
        <v>-6325837190.1687775</v>
      </c>
      <c r="J54" s="406">
        <f>'Consol SoFP 24'!AG40</f>
        <v>-110074268373.58955</v>
      </c>
      <c r="L54" s="406">
        <f>'Consol SoFP 24'!AH40</f>
        <v>0</v>
      </c>
    </row>
    <row r="55" spans="1:13">
      <c r="C55" s="283">
        <f>C53-C54</f>
        <v>0</v>
      </c>
      <c r="D55" s="283">
        <f t="shared" ref="D55:E55" si="43">D53-D54</f>
        <v>0</v>
      </c>
      <c r="E55" s="283">
        <f t="shared" si="43"/>
        <v>0</v>
      </c>
      <c r="G55" s="283">
        <f>G53-G54</f>
        <v>8.40301513671875E-2</v>
      </c>
      <c r="H55" s="406">
        <f>H53-H54</f>
        <v>-19687499.91597271</v>
      </c>
      <c r="J55" s="406">
        <f>J53-J54</f>
        <v>194914002160.80072</v>
      </c>
      <c r="L55" s="406">
        <f>L53-L54</f>
        <v>78494209097.126404</v>
      </c>
    </row>
    <row r="56" spans="1:13">
      <c r="F56" s="283">
        <f>SUM(E53:F53)</f>
        <v>55005765058.461212</v>
      </c>
    </row>
    <row r="57" spans="1:13">
      <c r="F57" s="283">
        <f>'Consol SoFP 24'!AB40</f>
        <v>55005765058.461212</v>
      </c>
      <c r="G57" s="511"/>
    </row>
    <row r="58" spans="1:13">
      <c r="C58" s="254">
        <f t="shared" ref="C58" si="44">C56-C57</f>
        <v>0</v>
      </c>
      <c r="D58" s="254">
        <f t="shared" ref="D58" si="45">D56-D57</f>
        <v>0</v>
      </c>
      <c r="E58" s="254">
        <f t="shared" ref="E58" si="46">E56-E57</f>
        <v>0</v>
      </c>
      <c r="F58" s="254">
        <f t="shared" ref="F58" si="47">F56-F57</f>
        <v>0</v>
      </c>
      <c r="G58" s="254"/>
      <c r="L58" s="254">
        <f t="shared" ref="L58" si="48">L56-L57</f>
        <v>0</v>
      </c>
    </row>
    <row r="59" spans="1:13">
      <c r="G59" s="283">
        <f>G51+'Proforma Adjustment'!D127</f>
        <v>-18410388931.77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81A9-5477-4285-86D9-E13160A08FE6}">
  <dimension ref="B2:AM121"/>
  <sheetViews>
    <sheetView zoomScale="89" workbookViewId="0">
      <pane xSplit="3" ySplit="11" topLeftCell="AF108" activePane="bottomRight" state="frozen"/>
      <selection pane="topRight" activeCell="D1" sqref="D1"/>
      <selection pane="bottomLeft" activeCell="A12" sqref="A12"/>
      <selection pane="bottomRight" activeCell="AH40" sqref="AH40"/>
    </sheetView>
  </sheetViews>
  <sheetFormatPr defaultColWidth="8.26953125" defaultRowHeight="12.5" outlineLevelCol="2"/>
  <cols>
    <col min="1" max="1" width="3" style="27" bestFit="1" customWidth="1"/>
    <col min="2" max="2" width="12.7265625" style="27" customWidth="1"/>
    <col min="3" max="3" width="38.81640625" style="27" customWidth="1"/>
    <col min="4" max="5" width="20.7265625" style="27" hidden="1" customWidth="1" outlineLevel="2"/>
    <col min="6" max="7" width="17" style="27" hidden="1" customWidth="1" outlineLevel="2"/>
    <col min="8" max="8" width="19.7265625" style="27" customWidth="1" outlineLevel="1" collapsed="1"/>
    <col min="9" max="10" width="19.7265625" style="27" hidden="1" customWidth="1" outlineLevel="2"/>
    <col min="11" max="11" width="17" style="27" hidden="1" customWidth="1" outlineLevel="2"/>
    <col min="12" max="12" width="19.7265625" style="27" customWidth="1" outlineLevel="1" collapsed="1"/>
    <col min="13" max="13" width="22.7265625" style="27" customWidth="1" outlineLevel="2"/>
    <col min="14" max="14" width="17" style="27" customWidth="1" outlineLevel="2"/>
    <col min="15" max="15" width="23" style="27" customWidth="1" outlineLevel="1"/>
    <col min="16" max="17" width="17.81640625" style="27" hidden="1" customWidth="1" outlineLevel="2"/>
    <col min="18" max="18" width="17" style="27" hidden="1" customWidth="1" outlineLevel="2"/>
    <col min="19" max="19" width="19.7265625" style="27" customWidth="1" outlineLevel="1" collapsed="1"/>
    <col min="20" max="20" width="19.7265625" style="27" customWidth="1" outlineLevel="2"/>
    <col min="21" max="21" width="17" style="27" customWidth="1" outlineLevel="2"/>
    <col min="22" max="22" width="19.7265625" style="27" customWidth="1" outlineLevel="1"/>
    <col min="23" max="23" width="20.1796875" style="27" hidden="1" customWidth="1" outlineLevel="2"/>
    <col min="24" max="24" width="17" style="27" hidden="1" customWidth="1" outlineLevel="2"/>
    <col min="25" max="25" width="19.7265625" style="27" customWidth="1" outlineLevel="1" collapsed="1"/>
    <col min="26" max="28" width="17" style="27" customWidth="1" outlineLevel="2"/>
    <col min="29" max="29" width="19.7265625" style="27" customWidth="1" outlineLevel="2" collapsed="1"/>
    <col min="30" max="30" width="20.453125" style="27" customWidth="1" outlineLevel="2"/>
    <col min="31" max="33" width="20" style="27" customWidth="1" outlineLevel="1"/>
    <col min="34" max="34" width="20" style="27" customWidth="1"/>
    <col min="35" max="35" width="24.1796875" style="27" customWidth="1"/>
    <col min="36" max="36" width="16" style="27" bestFit="1" customWidth="1"/>
    <col min="37" max="37" width="15" style="27" bestFit="1" customWidth="1"/>
    <col min="38" max="38" width="8.26953125" style="27"/>
    <col min="39" max="39" width="16.54296875" style="27" bestFit="1" customWidth="1"/>
    <col min="40" max="16384" width="8.26953125" style="27"/>
  </cols>
  <sheetData>
    <row r="2" spans="2:36" s="7" customFormat="1" ht="13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3"/>
      <c r="AH2" s="5"/>
      <c r="AI2" s="6"/>
    </row>
    <row r="3" spans="2:36" s="7" customFormat="1" ht="14.9" customHeight="1">
      <c r="B3" s="8"/>
      <c r="C3" s="9" t="s">
        <v>592</v>
      </c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1"/>
      <c r="AH3" s="13"/>
      <c r="AI3" s="14"/>
    </row>
    <row r="4" spans="2:36" s="7" customFormat="1" ht="14.9" customHeight="1">
      <c r="B4" s="15"/>
      <c r="C4" s="2" t="s">
        <v>0</v>
      </c>
      <c r="D4" s="16"/>
      <c r="E4" s="1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5"/>
      <c r="AI4" s="6"/>
    </row>
    <row r="5" spans="2:36" s="7" customFormat="1" ht="14.9" customHeight="1">
      <c r="B5" s="9"/>
      <c r="C5" s="17" t="s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8"/>
      <c r="AI5" s="19"/>
    </row>
    <row r="6" spans="2:36" s="7" customFormat="1" ht="14.9" customHeight="1">
      <c r="B6" s="20"/>
      <c r="C6" s="21"/>
      <c r="D6" s="22"/>
      <c r="E6" s="22"/>
      <c r="F6" s="23"/>
      <c r="G6" s="23"/>
      <c r="H6" s="23"/>
      <c r="I6" s="23"/>
      <c r="J6" s="23"/>
      <c r="K6" s="23"/>
      <c r="L6" s="508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4"/>
      <c r="AI6" s="24"/>
    </row>
    <row r="7" spans="2:36" ht="14.5" hidden="1">
      <c r="B7" s="25"/>
      <c r="C7" s="26"/>
      <c r="D7" s="26"/>
      <c r="E7" s="26"/>
      <c r="F7" s="26"/>
      <c r="G7" s="26"/>
      <c r="H7" s="26"/>
      <c r="I7" s="26"/>
      <c r="J7" s="26"/>
      <c r="K7" s="26"/>
      <c r="L7" s="26" t="s">
        <v>2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G7" s="28"/>
    </row>
    <row r="8" spans="2:36" ht="13" hidden="1">
      <c r="B8" s="29"/>
      <c r="C8" s="30"/>
      <c r="D8" s="31"/>
      <c r="E8" s="31"/>
      <c r="F8" s="31"/>
      <c r="G8" s="31"/>
      <c r="H8" s="31" t="s">
        <v>640</v>
      </c>
      <c r="I8" s="31"/>
      <c r="J8" s="31"/>
      <c r="K8" s="31"/>
      <c r="L8" s="31" t="s">
        <v>688</v>
      </c>
      <c r="M8" s="31"/>
      <c r="N8" s="31"/>
      <c r="O8" s="31" t="s">
        <v>740</v>
      </c>
      <c r="P8" s="31"/>
      <c r="Q8" s="31"/>
      <c r="R8" s="31"/>
      <c r="S8" s="31" t="s">
        <v>465</v>
      </c>
      <c r="T8" s="31"/>
      <c r="U8" s="31"/>
      <c r="V8" s="31" t="s">
        <v>609</v>
      </c>
      <c r="W8" s="31"/>
      <c r="X8" s="31"/>
      <c r="Y8" s="31" t="s">
        <v>461</v>
      </c>
      <c r="Z8" s="26"/>
      <c r="AA8" s="26"/>
      <c r="AB8" s="26"/>
      <c r="AE8" s="28"/>
    </row>
    <row r="9" spans="2:36" ht="13">
      <c r="B9" s="32" t="s">
        <v>3</v>
      </c>
      <c r="C9" s="30"/>
      <c r="D9" s="22">
        <f>D114+D53</f>
        <v>0</v>
      </c>
      <c r="E9" s="22">
        <f>E114+E53</f>
        <v>0</v>
      </c>
      <c r="F9" s="22"/>
      <c r="G9" s="22"/>
      <c r="H9" s="22">
        <f>H114+H53</f>
        <v>0</v>
      </c>
      <c r="I9" s="22">
        <f>I114+I53</f>
        <v>0</v>
      </c>
      <c r="J9" s="22">
        <f>J114+J53</f>
        <v>0</v>
      </c>
      <c r="K9" s="22"/>
      <c r="L9" s="22">
        <f>L114+L53</f>
        <v>0</v>
      </c>
      <c r="M9" s="22">
        <f>M114+M53</f>
        <v>0</v>
      </c>
      <c r="N9" s="22"/>
      <c r="O9" s="22">
        <f>O114+O53</f>
        <v>0</v>
      </c>
      <c r="P9" s="22">
        <f>P114+P53</f>
        <v>0</v>
      </c>
      <c r="Q9" s="22">
        <f>Q114+Q53</f>
        <v>0</v>
      </c>
      <c r="R9" s="22"/>
      <c r="S9" s="22">
        <f>S114+S53</f>
        <v>0</v>
      </c>
      <c r="T9" s="22">
        <f>T114+T53</f>
        <v>0</v>
      </c>
      <c r="U9" s="22"/>
      <c r="V9" s="22">
        <f>V114+V53</f>
        <v>0</v>
      </c>
      <c r="W9" s="22">
        <f>W114+W53</f>
        <v>0</v>
      </c>
      <c r="X9" s="22"/>
      <c r="Y9" s="22">
        <f>Y114+Y53</f>
        <v>0</v>
      </c>
      <c r="Z9" s="22">
        <f>Z114+Z53</f>
        <v>0</v>
      </c>
      <c r="AA9" s="22">
        <f>AA114+AA53</f>
        <v>0</v>
      </c>
      <c r="AB9" s="22">
        <f>AB114+AB53</f>
        <v>0</v>
      </c>
      <c r="AC9" s="22">
        <f>SUM(AC12:AC114)</f>
        <v>0</v>
      </c>
      <c r="AD9" s="22">
        <f>SUM(AD12:AD114)</f>
        <v>0</v>
      </c>
      <c r="AE9" s="22">
        <f>AE114+AE53</f>
        <v>0</v>
      </c>
      <c r="AF9" s="22">
        <f>SUM(AF12:AF114)</f>
        <v>3662515074569.2905</v>
      </c>
      <c r="AG9" s="22">
        <f>SUM(AG12:AG114)</f>
        <v>-3662515074572.2349</v>
      </c>
      <c r="AH9" s="22">
        <f>AH114+AH53</f>
        <v>-0.188232421875</v>
      </c>
    </row>
    <row r="10" spans="2:36" s="40" customFormat="1" ht="12.75" customHeight="1">
      <c r="B10" s="652" t="s">
        <v>4</v>
      </c>
      <c r="C10" s="653"/>
      <c r="D10" s="35" t="s">
        <v>5</v>
      </c>
      <c r="E10" s="35" t="s">
        <v>6</v>
      </c>
      <c r="F10" s="656" t="s">
        <v>7</v>
      </c>
      <c r="G10" s="656" t="s">
        <v>8</v>
      </c>
      <c r="H10" s="37" t="s">
        <v>640</v>
      </c>
      <c r="I10" s="35" t="s">
        <v>5</v>
      </c>
      <c r="J10" s="35" t="s">
        <v>6</v>
      </c>
      <c r="K10" s="656" t="s">
        <v>8</v>
      </c>
      <c r="L10" s="37" t="s">
        <v>688</v>
      </c>
      <c r="M10" s="35" t="s">
        <v>740</v>
      </c>
      <c r="N10" s="656" t="s">
        <v>8</v>
      </c>
      <c r="O10" s="37" t="s">
        <v>740</v>
      </c>
      <c r="P10" s="35" t="s">
        <v>5</v>
      </c>
      <c r="Q10" s="35" t="s">
        <v>6</v>
      </c>
      <c r="R10" s="656" t="s">
        <v>8</v>
      </c>
      <c r="S10" s="37" t="s">
        <v>465</v>
      </c>
      <c r="T10" s="35" t="s">
        <v>609</v>
      </c>
      <c r="U10" s="656" t="s">
        <v>8</v>
      </c>
      <c r="V10" s="37" t="s">
        <v>609</v>
      </c>
      <c r="W10" s="35" t="s">
        <v>461</v>
      </c>
      <c r="X10" s="656" t="s">
        <v>8</v>
      </c>
      <c r="Y10" s="37" t="s">
        <v>461</v>
      </c>
      <c r="Z10" s="658" t="s">
        <v>9</v>
      </c>
      <c r="AA10" s="659"/>
      <c r="AB10" s="660"/>
      <c r="AC10" s="651" t="s">
        <v>10</v>
      </c>
      <c r="AD10" s="651"/>
      <c r="AE10" s="37" t="s">
        <v>11</v>
      </c>
      <c r="AF10" s="651" t="s">
        <v>12</v>
      </c>
      <c r="AG10" s="651"/>
      <c r="AH10" s="37" t="s">
        <v>13</v>
      </c>
    </row>
    <row r="11" spans="2:36" s="40" customFormat="1" ht="13">
      <c r="B11" s="654"/>
      <c r="C11" s="655"/>
      <c r="D11" s="43">
        <v>45657</v>
      </c>
      <c r="E11" s="43">
        <v>45657</v>
      </c>
      <c r="F11" s="657"/>
      <c r="G11" s="657"/>
      <c r="H11" s="45">
        <v>45657</v>
      </c>
      <c r="I11" s="43">
        <v>45657</v>
      </c>
      <c r="J11" s="43">
        <v>45657</v>
      </c>
      <c r="K11" s="657"/>
      <c r="L11" s="45">
        <v>45657</v>
      </c>
      <c r="M11" s="43">
        <v>45657</v>
      </c>
      <c r="N11" s="657"/>
      <c r="O11" s="45">
        <v>45657</v>
      </c>
      <c r="P11" s="43">
        <v>45657</v>
      </c>
      <c r="Q11" s="43">
        <v>45657</v>
      </c>
      <c r="R11" s="657"/>
      <c r="S11" s="45">
        <v>45657</v>
      </c>
      <c r="T11" s="43">
        <v>45657</v>
      </c>
      <c r="U11" s="657"/>
      <c r="V11" s="45">
        <v>45657</v>
      </c>
      <c r="W11" s="43">
        <v>45657</v>
      </c>
      <c r="X11" s="657"/>
      <c r="Y11" s="45">
        <v>45657</v>
      </c>
      <c r="Z11" s="46">
        <v>44926</v>
      </c>
      <c r="AA11" s="46">
        <v>45291</v>
      </c>
      <c r="AB11" s="46">
        <v>45657</v>
      </c>
      <c r="AC11" s="43" t="s">
        <v>14</v>
      </c>
      <c r="AD11" s="43" t="s">
        <v>15</v>
      </c>
      <c r="AE11" s="45">
        <v>45657</v>
      </c>
      <c r="AF11" s="43" t="s">
        <v>14</v>
      </c>
      <c r="AG11" s="43" t="s">
        <v>15</v>
      </c>
      <c r="AH11" s="45">
        <v>45657</v>
      </c>
    </row>
    <row r="12" spans="2:36">
      <c r="B12" s="47"/>
      <c r="C12" s="48"/>
      <c r="D12" s="49"/>
      <c r="E12" s="49"/>
      <c r="F12" s="49"/>
      <c r="G12" s="49"/>
      <c r="H12" s="50"/>
      <c r="I12" s="49"/>
      <c r="J12" s="49"/>
      <c r="K12" s="49"/>
      <c r="L12" s="50"/>
      <c r="M12" s="49"/>
      <c r="N12" s="49"/>
      <c r="O12" s="50"/>
      <c r="P12" s="49"/>
      <c r="Q12" s="49"/>
      <c r="R12" s="49"/>
      <c r="S12" s="50"/>
      <c r="T12" s="49"/>
      <c r="U12" s="49"/>
      <c r="V12" s="50"/>
      <c r="W12" s="49"/>
      <c r="X12" s="49"/>
      <c r="Y12" s="50"/>
      <c r="Z12" s="49"/>
      <c r="AA12" s="49"/>
      <c r="AB12" s="49"/>
      <c r="AC12" s="49"/>
      <c r="AD12" s="49"/>
      <c r="AE12" s="50"/>
      <c r="AF12" s="49"/>
      <c r="AG12" s="49"/>
      <c r="AH12" s="50"/>
    </row>
    <row r="13" spans="2:36" ht="13">
      <c r="B13" s="51" t="s">
        <v>16</v>
      </c>
      <c r="C13" s="52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</row>
    <row r="14" spans="2:36" ht="13">
      <c r="B14" s="53" t="s">
        <v>17</v>
      </c>
      <c r="C14" s="52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2:36">
      <c r="B15" s="54" t="s">
        <v>18</v>
      </c>
      <c r="C15" s="52"/>
      <c r="D15" s="49">
        <v>62677974049</v>
      </c>
      <c r="E15" s="49">
        <f>-41826334020-24038265825+7250000000</f>
        <v>-58614599845</v>
      </c>
      <c r="F15" s="49"/>
      <c r="G15" s="49"/>
      <c r="H15" s="49">
        <f>SUM(D15:E15)</f>
        <v>4063374204</v>
      </c>
      <c r="I15" s="49">
        <v>37552005067</v>
      </c>
      <c r="J15" s="49">
        <v>-11610679986</v>
      </c>
      <c r="K15" s="49"/>
      <c r="L15" s="49">
        <f>SUM(I15:K15)</f>
        <v>25941325081</v>
      </c>
      <c r="M15" s="49">
        <v>887896090</v>
      </c>
      <c r="N15" s="49"/>
      <c r="O15" s="49">
        <f>SUM(M15:N15)</f>
        <v>887896090</v>
      </c>
      <c r="P15" s="49">
        <v>3588753174</v>
      </c>
      <c r="Q15" s="49">
        <v>44193733</v>
      </c>
      <c r="R15" s="49"/>
      <c r="S15" s="49">
        <f>SUM(P15:R15)</f>
        <v>3632946907</v>
      </c>
      <c r="T15" s="49">
        <v>25054867533</v>
      </c>
      <c r="U15" s="49"/>
      <c r="V15" s="49">
        <f>SUM(T15:U15)</f>
        <v>25054867533</v>
      </c>
      <c r="W15" s="49">
        <v>1598125977</v>
      </c>
      <c r="X15" s="49"/>
      <c r="Y15" s="49">
        <f>SUM(W15:X15)</f>
        <v>1598125977</v>
      </c>
      <c r="Z15" s="49"/>
      <c r="AA15" s="49"/>
      <c r="AB15" s="49"/>
      <c r="AC15" s="49"/>
      <c r="AD15" s="49"/>
      <c r="AE15" s="49">
        <f>SUM(H15,L15,Z15,AA15,AC15:AD15,O15,S15,V15,Y15,AB15)</f>
        <v>61178535792</v>
      </c>
      <c r="AF15" s="49"/>
      <c r="AG15" s="49"/>
      <c r="AH15" s="49">
        <f>ROUND(SUM(AE15:AG15),0)</f>
        <v>61178535792</v>
      </c>
      <c r="AI15" s="55"/>
      <c r="AJ15" s="55"/>
    </row>
    <row r="16" spans="2:36">
      <c r="B16" s="54" t="s">
        <v>19</v>
      </c>
      <c r="C16" s="52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>
        <v>0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55"/>
      <c r="AJ16" s="55"/>
    </row>
    <row r="17" spans="2:36">
      <c r="B17" s="56" t="s">
        <v>20</v>
      </c>
      <c r="C17" s="52"/>
      <c r="D17" s="49">
        <v>-7632229507</v>
      </c>
      <c r="E17" s="49">
        <v>7632229507</v>
      </c>
      <c r="F17" s="49"/>
      <c r="G17" s="49"/>
      <c r="H17" s="49">
        <f t="shared" ref="H17:H35" si="0">SUM(D17:G17)</f>
        <v>0</v>
      </c>
      <c r="I17" s="49">
        <v>13726195227</v>
      </c>
      <c r="J17" s="49">
        <f>26831819127-0.25</f>
        <v>26831819126.75</v>
      </c>
      <c r="K17" s="49"/>
      <c r="L17" s="49">
        <f>SUM(I17:K17)</f>
        <v>40558014353.75</v>
      </c>
      <c r="M17" s="49">
        <v>1464025584</v>
      </c>
      <c r="N17" s="49"/>
      <c r="O17" s="49">
        <f>SUM(M17:N17)</f>
        <v>1464025584</v>
      </c>
      <c r="P17" s="49">
        <v>37459812140.125488</v>
      </c>
      <c r="Q17" s="49">
        <v>-37459812140.125488</v>
      </c>
      <c r="R17" s="49"/>
      <c r="S17" s="49">
        <f>SUM(P17:R17)</f>
        <v>0</v>
      </c>
      <c r="T17" s="49">
        <f>161473988972--0.67529296875</f>
        <v>161473988972.67529</v>
      </c>
      <c r="U17" s="49"/>
      <c r="V17" s="49">
        <f t="shared" ref="V17:V35" si="1">SUM(T17:U17)</f>
        <v>161473988972.67529</v>
      </c>
      <c r="W17" s="49">
        <v>23251725</v>
      </c>
      <c r="X17" s="49"/>
      <c r="Y17" s="49">
        <f>SUM(W17:X17)</f>
        <v>23251725</v>
      </c>
      <c r="Z17" s="49"/>
      <c r="AA17" s="49"/>
      <c r="AB17" s="49"/>
      <c r="AC17" s="49"/>
      <c r="AD17" s="49"/>
      <c r="AE17" s="49">
        <f t="shared" ref="AE17:AE35" si="2">SUM(H17,L17,Z17,AA17,AC17:AD17,O17,S17,V17,Y17,AB17)</f>
        <v>203519280635.42529</v>
      </c>
      <c r="AF17" s="49"/>
      <c r="AG17" s="49"/>
      <c r="AH17" s="49">
        <f t="shared" ref="AH17:AH35" si="3">ROUND(SUM(AE17:AG17),0)</f>
        <v>203519280635</v>
      </c>
      <c r="AI17" s="55"/>
      <c r="AJ17" s="55"/>
    </row>
    <row r="18" spans="2:36">
      <c r="B18" s="56" t="s">
        <v>21</v>
      </c>
      <c r="C18" s="52"/>
      <c r="D18" s="49">
        <v>-3721021958</v>
      </c>
      <c r="E18" s="49">
        <v>21936578161</v>
      </c>
      <c r="F18" s="49"/>
      <c r="G18" s="49">
        <f>'Adjustment Consol'!J10+'Adjustment Consol'!J7+'Adjustment Consol'!I33+'Adjustment Consol'!I36+'Adjustment Consol'!I39+'Adjustment Consol'!J22+'Adjustment Consol'!I24</f>
        <v>-4599664295.6250019</v>
      </c>
      <c r="H18" s="49">
        <f t="shared" si="0"/>
        <v>13615891907.374998</v>
      </c>
      <c r="I18" s="49">
        <v>3698150207</v>
      </c>
      <c r="J18" s="49">
        <v>10840235364</v>
      </c>
      <c r="K18" s="49">
        <f>'Adjustment Consol'!I55</f>
        <v>2204243023.5</v>
      </c>
      <c r="L18" s="49">
        <f>SUM(I18:K18)</f>
        <v>16742628594.5</v>
      </c>
      <c r="M18" s="49">
        <v>0</v>
      </c>
      <c r="N18" s="49"/>
      <c r="O18" s="49">
        <f>SUM(M18:N18)</f>
        <v>0</v>
      </c>
      <c r="P18" s="49">
        <v>469001723</v>
      </c>
      <c r="Q18" s="49">
        <v>31647238381</v>
      </c>
      <c r="R18" s="49"/>
      <c r="S18" s="49">
        <f>SUM(P18:R18)</f>
        <v>32116240104</v>
      </c>
      <c r="T18" s="49">
        <v>18820641340</v>
      </c>
      <c r="U18" s="49"/>
      <c r="V18" s="49">
        <f t="shared" si="1"/>
        <v>18820641340</v>
      </c>
      <c r="W18" s="49">
        <v>0</v>
      </c>
      <c r="X18" s="49"/>
      <c r="Y18" s="49">
        <f>SUM(W18:X18)</f>
        <v>0</v>
      </c>
      <c r="Z18" s="49"/>
      <c r="AA18" s="49"/>
      <c r="AB18" s="49"/>
      <c r="AC18" s="49"/>
      <c r="AD18" s="49"/>
      <c r="AE18" s="49">
        <f t="shared" si="2"/>
        <v>81295401945.875</v>
      </c>
      <c r="AG18" s="49">
        <f>SUM('Elimination 2024'!H150,'Elimination 2024'!H153,'Elimination 2024'!H156,'Elimination 2024'!H159,'Elimination 2024'!H162,'Elimination 2024'!H165)</f>
        <v>-46323999147.825005</v>
      </c>
      <c r="AH18" s="49">
        <f>ROUND(SUM(AE18:AG18),0)</f>
        <v>34971402798</v>
      </c>
      <c r="AI18" s="55"/>
      <c r="AJ18" s="55"/>
    </row>
    <row r="19" spans="2:36">
      <c r="B19" s="54" t="s">
        <v>22</v>
      </c>
      <c r="C19" s="5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>
        <v>0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55"/>
      <c r="AJ19" s="55"/>
    </row>
    <row r="20" spans="2:36">
      <c r="B20" s="56" t="s">
        <v>23</v>
      </c>
      <c r="C20" s="52"/>
      <c r="D20" s="49">
        <v>0</v>
      </c>
      <c r="E20" s="49">
        <v>0</v>
      </c>
      <c r="F20" s="49"/>
      <c r="G20" s="49"/>
      <c r="H20" s="49">
        <f t="shared" si="0"/>
        <v>0</v>
      </c>
      <c r="I20" s="49">
        <v>0</v>
      </c>
      <c r="J20" s="49">
        <v>0</v>
      </c>
      <c r="K20" s="49"/>
      <c r="L20" s="49">
        <f t="shared" ref="L20:L21" si="4">SUM(I20:K20)</f>
        <v>0</v>
      </c>
      <c r="M20" s="49">
        <v>0</v>
      </c>
      <c r="N20" s="49"/>
      <c r="O20" s="49">
        <f t="shared" ref="O20:O21" si="5">SUM(M20:N20)</f>
        <v>0</v>
      </c>
      <c r="P20" s="49">
        <v>13938025090</v>
      </c>
      <c r="Q20" s="49">
        <v>-8388441445.1245117</v>
      </c>
      <c r="R20" s="49"/>
      <c r="S20" s="49">
        <f t="shared" ref="S20:S21" si="6">SUM(P20:R20)</f>
        <v>5549583644.8754883</v>
      </c>
      <c r="T20" s="49">
        <v>0</v>
      </c>
      <c r="U20" s="49"/>
      <c r="V20" s="49">
        <f t="shared" si="1"/>
        <v>0</v>
      </c>
      <c r="W20" s="49">
        <v>631788925.94999993</v>
      </c>
      <c r="X20" s="49"/>
      <c r="Y20" s="49">
        <f t="shared" ref="Y20:Y21" si="7">SUM(W20:X20)</f>
        <v>631788925.94999993</v>
      </c>
      <c r="Z20" s="49"/>
      <c r="AA20" s="49"/>
      <c r="AB20" s="49"/>
      <c r="AC20" s="49"/>
      <c r="AD20" s="49"/>
      <c r="AE20" s="49">
        <f t="shared" si="2"/>
        <v>6181372570.8254881</v>
      </c>
      <c r="AF20" s="49"/>
      <c r="AG20" s="49"/>
      <c r="AH20" s="49">
        <f t="shared" si="3"/>
        <v>6181372571</v>
      </c>
      <c r="AI20" s="55"/>
      <c r="AJ20" s="55"/>
    </row>
    <row r="21" spans="2:36">
      <c r="B21" s="56" t="s">
        <v>24</v>
      </c>
      <c r="C21" s="52"/>
      <c r="D21" s="49">
        <v>0</v>
      </c>
      <c r="E21" s="49">
        <v>0</v>
      </c>
      <c r="F21" s="49"/>
      <c r="G21" s="49"/>
      <c r="H21" s="49">
        <f t="shared" si="0"/>
        <v>0</v>
      </c>
      <c r="I21" s="49">
        <v>0</v>
      </c>
      <c r="J21" s="49">
        <v>0</v>
      </c>
      <c r="K21" s="49"/>
      <c r="L21" s="49">
        <f t="shared" si="4"/>
        <v>0</v>
      </c>
      <c r="M21" s="49">
        <v>0</v>
      </c>
      <c r="N21" s="49"/>
      <c r="O21" s="49">
        <f t="shared" si="5"/>
        <v>0</v>
      </c>
      <c r="P21" s="49">
        <v>0</v>
      </c>
      <c r="Q21" s="49">
        <v>0</v>
      </c>
      <c r="R21" s="49"/>
      <c r="S21" s="49">
        <f t="shared" si="6"/>
        <v>0</v>
      </c>
      <c r="T21" s="49">
        <v>0</v>
      </c>
      <c r="U21" s="49"/>
      <c r="V21" s="49">
        <f t="shared" si="1"/>
        <v>0</v>
      </c>
      <c r="W21" s="49">
        <v>0</v>
      </c>
      <c r="X21" s="49"/>
      <c r="Y21" s="49">
        <f t="shared" si="7"/>
        <v>0</v>
      </c>
      <c r="Z21" s="49"/>
      <c r="AA21" s="49"/>
      <c r="AB21" s="49"/>
      <c r="AC21" s="49"/>
      <c r="AD21" s="49"/>
      <c r="AE21" s="49">
        <f t="shared" si="2"/>
        <v>0</v>
      </c>
      <c r="AF21" s="49"/>
      <c r="AG21" s="49"/>
      <c r="AH21" s="49">
        <f t="shared" si="3"/>
        <v>0</v>
      </c>
      <c r="AI21" s="55"/>
      <c r="AJ21" s="55"/>
    </row>
    <row r="22" spans="2:36">
      <c r="B22" s="54" t="s">
        <v>25</v>
      </c>
      <c r="C22" s="52"/>
      <c r="D22" s="49">
        <v>0</v>
      </c>
      <c r="E22" s="49">
        <v>0</v>
      </c>
      <c r="F22" s="49"/>
      <c r="G22" s="49"/>
      <c r="H22" s="49">
        <f t="shared" ref="H22" si="8">SUM(D22:G22)</f>
        <v>0</v>
      </c>
      <c r="I22" s="49">
        <v>17986480292</v>
      </c>
      <c r="J22" s="49">
        <v>-12768739780</v>
      </c>
      <c r="K22" s="49"/>
      <c r="L22" s="49">
        <f>SUM(I22:K22)</f>
        <v>5217740512</v>
      </c>
      <c r="M22" s="49">
        <v>0</v>
      </c>
      <c r="N22" s="49"/>
      <c r="O22" s="49">
        <f>SUM(M22:N22)</f>
        <v>0</v>
      </c>
      <c r="P22" s="49">
        <v>0</v>
      </c>
      <c r="Q22" s="49">
        <v>0</v>
      </c>
      <c r="R22" s="49"/>
      <c r="S22" s="49">
        <f>SUM(P22:R22)</f>
        <v>0</v>
      </c>
      <c r="T22" s="49">
        <v>0</v>
      </c>
      <c r="U22" s="49"/>
      <c r="V22" s="49">
        <f t="shared" si="1"/>
        <v>0</v>
      </c>
      <c r="W22" s="49">
        <v>0</v>
      </c>
      <c r="X22" s="49"/>
      <c r="Y22" s="49">
        <f>SUM(W22:X22)</f>
        <v>0</v>
      </c>
      <c r="Z22" s="49"/>
      <c r="AA22" s="49"/>
      <c r="AB22" s="49"/>
      <c r="AC22" s="49"/>
      <c r="AD22" s="49"/>
      <c r="AE22" s="49">
        <f t="shared" si="2"/>
        <v>5217740512</v>
      </c>
      <c r="AF22" s="49"/>
      <c r="AG22" s="49"/>
      <c r="AH22" s="49">
        <f t="shared" si="3"/>
        <v>5217740512</v>
      </c>
      <c r="AI22" s="55"/>
      <c r="AJ22" s="55"/>
    </row>
    <row r="23" spans="2:36">
      <c r="B23" s="54" t="s">
        <v>26</v>
      </c>
      <c r="C23" s="52"/>
      <c r="D23" s="49">
        <v>236250000</v>
      </c>
      <c r="E23" s="49">
        <v>0</v>
      </c>
      <c r="F23" s="49"/>
      <c r="G23" s="49"/>
      <c r="H23" s="49">
        <f t="shared" si="0"/>
        <v>236250000</v>
      </c>
      <c r="I23" s="49">
        <v>507315342</v>
      </c>
      <c r="J23" s="49">
        <v>0</v>
      </c>
      <c r="K23" s="49"/>
      <c r="L23" s="49">
        <f>SUM(I23:K23)</f>
        <v>507315342</v>
      </c>
      <c r="M23" s="49">
        <v>0</v>
      </c>
      <c r="N23" s="49"/>
      <c r="O23" s="49">
        <f>SUM(M23:N23)</f>
        <v>0</v>
      </c>
      <c r="P23" s="49">
        <v>0</v>
      </c>
      <c r="Q23" s="49">
        <v>0</v>
      </c>
      <c r="R23" s="49"/>
      <c r="S23" s="49">
        <f>SUM(P23:R23)</f>
        <v>0</v>
      </c>
      <c r="T23" s="49">
        <v>0</v>
      </c>
      <c r="U23" s="49"/>
      <c r="V23" s="49">
        <f t="shared" si="1"/>
        <v>0</v>
      </c>
      <c r="W23" s="49">
        <v>0</v>
      </c>
      <c r="X23" s="49"/>
      <c r="Y23" s="49">
        <f>SUM(W23:X23)</f>
        <v>0</v>
      </c>
      <c r="Z23" s="49"/>
      <c r="AA23" s="49"/>
      <c r="AB23" s="49"/>
      <c r="AC23" s="49"/>
      <c r="AD23" s="49"/>
      <c r="AE23" s="49">
        <f t="shared" si="2"/>
        <v>743565342</v>
      </c>
      <c r="AF23" s="49"/>
      <c r="AG23" s="49"/>
      <c r="AH23" s="49">
        <f t="shared" si="3"/>
        <v>743565342</v>
      </c>
      <c r="AI23" s="55"/>
      <c r="AJ23" s="55"/>
    </row>
    <row r="24" spans="2:36">
      <c r="B24" s="54" t="s">
        <v>27</v>
      </c>
      <c r="C24" s="52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>
        <v>0</v>
      </c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55"/>
      <c r="AJ24" s="55"/>
    </row>
    <row r="25" spans="2:36">
      <c r="B25" s="56" t="s">
        <v>28</v>
      </c>
      <c r="C25" s="52"/>
      <c r="D25" s="49">
        <v>2684635361</v>
      </c>
      <c r="E25" s="49">
        <v>0</v>
      </c>
      <c r="F25" s="49"/>
      <c r="G25" s="49">
        <f>'Adjustment Consol'!I42</f>
        <v>424833845.67229611</v>
      </c>
      <c r="H25" s="49">
        <f t="shared" si="0"/>
        <v>3109469206.672296</v>
      </c>
      <c r="I25" s="49">
        <v>0</v>
      </c>
      <c r="J25" s="49">
        <v>0</v>
      </c>
      <c r="K25" s="49"/>
      <c r="L25" s="49">
        <f t="shared" ref="L25:L35" si="9">SUM(I25:K25)</f>
        <v>0</v>
      </c>
      <c r="M25" s="49">
        <v>0</v>
      </c>
      <c r="N25" s="49"/>
      <c r="O25" s="49">
        <f t="shared" ref="O25:O26" si="10">SUM(M25:N25)</f>
        <v>0</v>
      </c>
      <c r="P25" s="49">
        <v>0</v>
      </c>
      <c r="Q25" s="49">
        <v>0</v>
      </c>
      <c r="R25" s="49"/>
      <c r="S25" s="49">
        <f>SUM(P25:R25)</f>
        <v>0</v>
      </c>
      <c r="T25" s="49">
        <v>0</v>
      </c>
      <c r="U25" s="49"/>
      <c r="V25" s="49">
        <f t="shared" si="1"/>
        <v>0</v>
      </c>
      <c r="W25" s="49">
        <v>0</v>
      </c>
      <c r="X25" s="49"/>
      <c r="Y25" s="49">
        <f>SUM(W25:X25)</f>
        <v>0</v>
      </c>
      <c r="Z25" s="49"/>
      <c r="AA25" s="49"/>
      <c r="AB25" s="49"/>
      <c r="AC25" s="49">
        <v>0</v>
      </c>
      <c r="AD25" s="49"/>
      <c r="AE25" s="49">
        <f t="shared" si="2"/>
        <v>3109469206.672296</v>
      </c>
      <c r="AF25" s="49"/>
      <c r="AG25" s="49"/>
      <c r="AH25" s="49">
        <f t="shared" si="3"/>
        <v>3109469207</v>
      </c>
      <c r="AI25" s="55"/>
      <c r="AJ25" s="55"/>
    </row>
    <row r="26" spans="2:36">
      <c r="B26" s="56" t="s">
        <v>29</v>
      </c>
      <c r="C26" s="52"/>
      <c r="D26" s="49">
        <v>362561297932</v>
      </c>
      <c r="E26" s="49">
        <v>874798300958</v>
      </c>
      <c r="F26" s="49"/>
      <c r="G26" s="49">
        <f>'Adjustment Consol'!I9+'Adjustment Consol'!I15+'Adjustment Consol'!I18+'Adjustment Consol'!I6+'Adjustment Consol'!I12+'Adjustment Consol'!J43+'Adjustment Consol'!I21</f>
        <v>32757617579.352703</v>
      </c>
      <c r="H26" s="49">
        <f t="shared" si="0"/>
        <v>1270117216469.3528</v>
      </c>
      <c r="I26" s="49">
        <v>-32369740768</v>
      </c>
      <c r="J26" s="49">
        <v>74851107918</v>
      </c>
      <c r="K26" s="49">
        <f>'Adjustment Consol'!I45</f>
        <v>15925560001.186502</v>
      </c>
      <c r="L26" s="49">
        <f t="shared" si="9"/>
        <v>58406927151.186501</v>
      </c>
      <c r="M26" s="49">
        <v>22197208320</v>
      </c>
      <c r="N26" s="49">
        <f>'Adjustment Consol'!I74</f>
        <v>579433862.69999993</v>
      </c>
      <c r="O26" s="49">
        <f t="shared" si="10"/>
        <v>22776642182.700001</v>
      </c>
      <c r="P26" s="49">
        <v>34960642633</v>
      </c>
      <c r="Q26" s="49">
        <v>62554427406</v>
      </c>
      <c r="R26" s="49"/>
      <c r="S26" s="49">
        <f>SUM(P26:R26)</f>
        <v>97515070039</v>
      </c>
      <c r="T26" s="49">
        <v>-4711560001</v>
      </c>
      <c r="U26" s="49">
        <f>'Adjustment Consol'!I77+'Adjustment Consol'!I80</f>
        <v>16012185001.186502</v>
      </c>
      <c r="V26" s="49">
        <f t="shared" si="1"/>
        <v>11300625000.186502</v>
      </c>
      <c r="W26" s="49">
        <v>0</v>
      </c>
      <c r="X26" s="49"/>
      <c r="Y26" s="49">
        <f>SUM(W26:X26)</f>
        <v>0</v>
      </c>
      <c r="Z26" s="49"/>
      <c r="AA26" s="49"/>
      <c r="AB26" s="49"/>
      <c r="AC26" s="49"/>
      <c r="AD26" s="49"/>
      <c r="AE26" s="49">
        <f t="shared" si="2"/>
        <v>1460116480842.4258</v>
      </c>
      <c r="AF26" s="49">
        <f>'Elimination 2024'!G82</f>
        <v>9124026906.5646496</v>
      </c>
      <c r="AG26" s="49">
        <f>'Elimination 2024'!H73+'Elimination 2024'!H76+'Elimination 2024'!H79+'Elimination 2024'!H84+'Elimination 2024'!H87+'Elimination 2024'!H90+'Elimination 2024'!H93+'Elimination 2024'!H96+'Elimination 2024'!H99+'Elimination 2024'!H102+'Elimination 2024'!H105+'Elimination 2024'!H108+'Elimination 2024'!H111+'Elimination 2024'!H114+'Elimination 2024'!H117+'Elimination 2024'!H120</f>
        <v>-1337562406102.1638</v>
      </c>
      <c r="AH26" s="49">
        <f t="shared" si="3"/>
        <v>131678101647</v>
      </c>
      <c r="AI26" s="55"/>
      <c r="AJ26" s="55"/>
    </row>
    <row r="27" spans="2:36">
      <c r="B27" s="54" t="s">
        <v>30</v>
      </c>
      <c r="C27" s="52"/>
      <c r="D27" s="49"/>
      <c r="E27" s="49"/>
      <c r="F27" s="49"/>
      <c r="G27" s="49"/>
      <c r="H27" s="49"/>
      <c r="I27" s="49"/>
      <c r="J27" s="49"/>
      <c r="K27" s="49"/>
      <c r="L27" s="49"/>
      <c r="M27" s="49">
        <v>0</v>
      </c>
      <c r="N27" s="49"/>
      <c r="O27" s="49"/>
      <c r="P27" s="49">
        <v>0</v>
      </c>
      <c r="Q27" s="49"/>
      <c r="R27" s="49"/>
      <c r="S27" s="49"/>
      <c r="T27" s="49"/>
      <c r="U27" s="49"/>
      <c r="V27" s="49"/>
      <c r="W27" s="49">
        <v>0</v>
      </c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55"/>
      <c r="AJ27" s="55"/>
    </row>
    <row r="28" spans="2:36">
      <c r="B28" s="56" t="s">
        <v>31</v>
      </c>
      <c r="C28" s="52"/>
      <c r="D28" s="49">
        <v>2273954718</v>
      </c>
      <c r="E28" s="49">
        <f>-1986498808--0.199996948242187</f>
        <v>-1986498807.8000031</v>
      </c>
      <c r="F28" s="49"/>
      <c r="G28" s="49"/>
      <c r="H28" s="49">
        <f>SUM(D28:G28)</f>
        <v>287455910.19999695</v>
      </c>
      <c r="I28" s="49">
        <v>1260520835</v>
      </c>
      <c r="J28" s="49">
        <v>6523399681</v>
      </c>
      <c r="K28" s="49"/>
      <c r="L28" s="49">
        <f>SUM(I28:K28)</f>
        <v>7783920516</v>
      </c>
      <c r="M28" s="49">
        <v>0</v>
      </c>
      <c r="N28" s="49"/>
      <c r="O28" s="49">
        <f>SUM(M28:N28)</f>
        <v>0</v>
      </c>
      <c r="P28" s="49">
        <v>764617335</v>
      </c>
      <c r="Q28" s="49">
        <v>-502454320</v>
      </c>
      <c r="R28" s="49"/>
      <c r="S28" s="49">
        <f>SUM(P28:R28)</f>
        <v>262163015</v>
      </c>
      <c r="T28" s="49">
        <v>0</v>
      </c>
      <c r="U28" s="49"/>
      <c r="V28" s="49">
        <f t="shared" si="1"/>
        <v>0</v>
      </c>
      <c r="W28" s="49">
        <v>26511201.675000001</v>
      </c>
      <c r="X28" s="49"/>
      <c r="Y28" s="49">
        <f>SUM(W28:X28)</f>
        <v>26511201.675000001</v>
      </c>
      <c r="Z28" s="49"/>
      <c r="AA28" s="49"/>
      <c r="AB28" s="49"/>
      <c r="AC28" s="49"/>
      <c r="AD28" s="49"/>
      <c r="AE28" s="49">
        <f t="shared" si="2"/>
        <v>8360050642.8749971</v>
      </c>
      <c r="AF28" s="49"/>
      <c r="AG28" s="49"/>
      <c r="AH28" s="49">
        <f t="shared" si="3"/>
        <v>8360050643</v>
      </c>
      <c r="AI28" s="55"/>
      <c r="AJ28" s="55"/>
    </row>
    <row r="29" spans="2:36">
      <c r="B29" s="56" t="s">
        <v>32</v>
      </c>
      <c r="C29" s="52"/>
      <c r="D29" s="49">
        <v>37480750502</v>
      </c>
      <c r="E29" s="49">
        <v>21625811503</v>
      </c>
      <c r="F29" s="49">
        <v>0</v>
      </c>
      <c r="G29" s="49">
        <f>'Adjustment Consol'!J40</f>
        <v>-881620045.42499995</v>
      </c>
      <c r="H29" s="49">
        <f>SUM(D29:G29)</f>
        <v>58224941959.574997</v>
      </c>
      <c r="I29" s="49">
        <f>69939941939-17351817049.224</f>
        <v>52588124889.776001</v>
      </c>
      <c r="J29" s="49">
        <v>31995748484</v>
      </c>
      <c r="K29" s="49">
        <f>'Adjustment Consol'!J49</f>
        <v>-509198796.22499996</v>
      </c>
      <c r="L29" s="49">
        <f>SUM(I29:K29)</f>
        <v>84074674577.550995</v>
      </c>
      <c r="M29" s="49">
        <v>1804200965</v>
      </c>
      <c r="N29" s="49"/>
      <c r="O29" s="49">
        <f>SUM(M29:N29)</f>
        <v>1804200965</v>
      </c>
      <c r="P29" s="49">
        <v>0</v>
      </c>
      <c r="Q29" s="49">
        <v>0</v>
      </c>
      <c r="R29" s="49"/>
      <c r="S29" s="49">
        <f>SUM(P29:R29)</f>
        <v>0</v>
      </c>
      <c r="T29" s="49">
        <v>0</v>
      </c>
      <c r="U29" s="49"/>
      <c r="V29" s="49">
        <f t="shared" si="1"/>
        <v>0</v>
      </c>
      <c r="W29" s="49">
        <v>0</v>
      </c>
      <c r="X29" s="49"/>
      <c r="Y29" s="49">
        <f>SUM(W29:X29)</f>
        <v>0</v>
      </c>
      <c r="Z29" s="49"/>
      <c r="AA29" s="49"/>
      <c r="AB29" s="49"/>
      <c r="AC29" s="49"/>
      <c r="AD29" s="49"/>
      <c r="AE29" s="49">
        <f t="shared" si="2"/>
        <v>144103817502.12598</v>
      </c>
      <c r="AF29" s="49"/>
      <c r="AG29" s="49">
        <f>'Elimination 2024'!H123+SUM('Elimination 2024'!H126:H129)+'Elimination 2024'!H144+'Elimination 2024'!H147+'Elimination 2024'!H135+'Elimination 2024'!H138+'Elimination 2024'!H141</f>
        <v>-93345702683.541351</v>
      </c>
      <c r="AH29" s="49">
        <f t="shared" si="3"/>
        <v>50758114819</v>
      </c>
      <c r="AI29" s="55"/>
      <c r="AJ29" s="55"/>
    </row>
    <row r="30" spans="2:36">
      <c r="B30" s="54" t="s">
        <v>33</v>
      </c>
      <c r="C30" s="52"/>
      <c r="D30" s="49">
        <v>0</v>
      </c>
      <c r="E30" s="49">
        <v>0</v>
      </c>
      <c r="F30" s="49"/>
      <c r="G30" s="49"/>
      <c r="H30" s="49">
        <f t="shared" si="0"/>
        <v>0</v>
      </c>
      <c r="I30" s="49">
        <v>-3230677550</v>
      </c>
      <c r="J30" s="49">
        <v>3230677550</v>
      </c>
      <c r="K30" s="49"/>
      <c r="L30" s="49">
        <f t="shared" si="9"/>
        <v>0</v>
      </c>
      <c r="M30" s="49">
        <v>0</v>
      </c>
      <c r="N30" s="49"/>
      <c r="O30" s="49">
        <f t="shared" ref="O30:O33" si="11">SUM(M30:N30)</f>
        <v>0</v>
      </c>
      <c r="P30" s="49">
        <v>0</v>
      </c>
      <c r="Q30" s="49">
        <v>0</v>
      </c>
      <c r="R30" s="49"/>
      <c r="S30" s="49">
        <f t="shared" ref="S30:S33" si="12">SUM(P30:R30)</f>
        <v>0</v>
      </c>
      <c r="T30" s="49">
        <v>0</v>
      </c>
      <c r="U30" s="49"/>
      <c r="V30" s="49">
        <f t="shared" si="1"/>
        <v>0</v>
      </c>
      <c r="W30" s="49">
        <v>268737517.125</v>
      </c>
      <c r="X30" s="49"/>
      <c r="Y30" s="49">
        <f t="shared" ref="Y30:Y35" si="13">SUM(W30:X30)</f>
        <v>268737517.125</v>
      </c>
      <c r="Z30" s="49"/>
      <c r="AA30" s="49"/>
      <c r="AB30" s="49"/>
      <c r="AC30" s="49"/>
      <c r="AD30" s="49"/>
      <c r="AE30" s="49">
        <f t="shared" si="2"/>
        <v>268737517.125</v>
      </c>
      <c r="AF30" s="49"/>
      <c r="AG30" s="49"/>
      <c r="AH30" s="49">
        <f t="shared" si="3"/>
        <v>268737517</v>
      </c>
      <c r="AI30" s="55"/>
      <c r="AJ30" s="55"/>
    </row>
    <row r="31" spans="2:36">
      <c r="B31" s="54" t="s">
        <v>34</v>
      </c>
      <c r="C31" s="52"/>
      <c r="D31" s="49">
        <v>-1344536470</v>
      </c>
      <c r="E31" s="49">
        <v>2115386814</v>
      </c>
      <c r="F31" s="49"/>
      <c r="G31" s="49"/>
      <c r="H31" s="49">
        <f t="shared" si="0"/>
        <v>770850344</v>
      </c>
      <c r="I31" s="49">
        <v>-5179648363</v>
      </c>
      <c r="J31" s="49">
        <f>-I31</f>
        <v>5179648363</v>
      </c>
      <c r="K31" s="49"/>
      <c r="L31" s="49">
        <f t="shared" si="9"/>
        <v>0</v>
      </c>
      <c r="M31" s="49">
        <v>1628484531</v>
      </c>
      <c r="N31" s="49"/>
      <c r="O31" s="49">
        <f t="shared" si="11"/>
        <v>1628484531</v>
      </c>
      <c r="P31" s="49">
        <v>-18145906</v>
      </c>
      <c r="Q31" s="49">
        <f>-P31</f>
        <v>18145906</v>
      </c>
      <c r="R31" s="49"/>
      <c r="S31" s="49">
        <f t="shared" si="12"/>
        <v>0</v>
      </c>
      <c r="T31" s="49">
        <v>3868129044</v>
      </c>
      <c r="U31" s="49"/>
      <c r="V31" s="49">
        <f t="shared" si="1"/>
        <v>3868129044</v>
      </c>
      <c r="W31" s="49">
        <v>0</v>
      </c>
      <c r="X31" s="49"/>
      <c r="Y31" s="49">
        <f t="shared" si="13"/>
        <v>0</v>
      </c>
      <c r="Z31" s="49"/>
      <c r="AA31" s="49"/>
      <c r="AB31" s="49"/>
      <c r="AC31" s="49"/>
      <c r="AD31" s="49"/>
      <c r="AE31" s="49">
        <f t="shared" si="2"/>
        <v>6267463919</v>
      </c>
      <c r="AF31" s="49"/>
      <c r="AG31" s="49"/>
      <c r="AH31" s="49">
        <f t="shared" si="3"/>
        <v>6267463919</v>
      </c>
      <c r="AI31" s="55"/>
      <c r="AJ31" s="55"/>
    </row>
    <row r="32" spans="2:36">
      <c r="B32" s="57" t="s">
        <v>35</v>
      </c>
      <c r="C32" s="52"/>
      <c r="D32" s="49">
        <v>3064272760.4748502</v>
      </c>
      <c r="E32" s="49">
        <v>-10465648</v>
      </c>
      <c r="F32" s="49"/>
      <c r="G32" s="49"/>
      <c r="H32" s="49">
        <f t="shared" si="0"/>
        <v>3053807112.4748502</v>
      </c>
      <c r="I32" s="49">
        <v>17363804453</v>
      </c>
      <c r="J32" s="49">
        <v>-13667088966</v>
      </c>
      <c r="K32" s="49"/>
      <c r="L32" s="49">
        <f t="shared" si="9"/>
        <v>3696715487</v>
      </c>
      <c r="M32" s="49">
        <v>808894385</v>
      </c>
      <c r="N32" s="49"/>
      <c r="O32" s="49">
        <f t="shared" si="11"/>
        <v>808894385</v>
      </c>
      <c r="P32" s="49">
        <v>157000904</v>
      </c>
      <c r="Q32" s="49">
        <v>-21407540</v>
      </c>
      <c r="R32" s="49"/>
      <c r="S32" s="49">
        <f t="shared" si="12"/>
        <v>135593364</v>
      </c>
      <c r="T32" s="49">
        <v>2130408993</v>
      </c>
      <c r="U32" s="49"/>
      <c r="V32" s="49">
        <f t="shared" si="1"/>
        <v>2130408993</v>
      </c>
      <c r="W32" s="49">
        <v>11529000</v>
      </c>
      <c r="X32" s="49"/>
      <c r="Y32" s="49">
        <f t="shared" si="13"/>
        <v>11529000</v>
      </c>
      <c r="Z32" s="49"/>
      <c r="AA32" s="49"/>
      <c r="AB32" s="49"/>
      <c r="AC32" s="49"/>
      <c r="AD32" s="49"/>
      <c r="AE32" s="49">
        <f t="shared" si="2"/>
        <v>9836948341.4748497</v>
      </c>
      <c r="AF32" s="49"/>
      <c r="AG32" s="49"/>
      <c r="AH32" s="49">
        <f t="shared" si="3"/>
        <v>9836948341</v>
      </c>
      <c r="AI32" s="55"/>
      <c r="AJ32" s="55"/>
    </row>
    <row r="33" spans="2:39">
      <c r="B33" s="54" t="s">
        <v>36</v>
      </c>
      <c r="C33" s="52"/>
      <c r="D33" s="49">
        <v>2547137611</v>
      </c>
      <c r="E33" s="49">
        <v>-2343288070</v>
      </c>
      <c r="F33" s="49"/>
      <c r="G33" s="49"/>
      <c r="H33" s="49">
        <f t="shared" si="0"/>
        <v>203849541</v>
      </c>
      <c r="I33" s="49">
        <v>0</v>
      </c>
      <c r="J33" s="49">
        <v>0</v>
      </c>
      <c r="K33" s="49"/>
      <c r="L33" s="49">
        <f t="shared" si="9"/>
        <v>0</v>
      </c>
      <c r="M33" s="49">
        <v>0</v>
      </c>
      <c r="N33" s="49"/>
      <c r="O33" s="49">
        <f t="shared" si="11"/>
        <v>0</v>
      </c>
      <c r="P33" s="49">
        <v>0</v>
      </c>
      <c r="Q33" s="49">
        <v>0</v>
      </c>
      <c r="R33" s="49"/>
      <c r="S33" s="49">
        <f t="shared" si="12"/>
        <v>0</v>
      </c>
      <c r="T33" s="49">
        <v>0</v>
      </c>
      <c r="U33" s="49"/>
      <c r="V33" s="49">
        <f t="shared" si="1"/>
        <v>0</v>
      </c>
      <c r="W33" s="49">
        <v>0</v>
      </c>
      <c r="X33" s="49"/>
      <c r="Y33" s="49">
        <f t="shared" si="13"/>
        <v>0</v>
      </c>
      <c r="Z33" s="49"/>
      <c r="AA33" s="49"/>
      <c r="AB33" s="49"/>
      <c r="AC33" s="49"/>
      <c r="AD33" s="49"/>
      <c r="AE33" s="49">
        <f t="shared" si="2"/>
        <v>203849541</v>
      </c>
      <c r="AF33" s="49"/>
      <c r="AG33" s="49"/>
      <c r="AH33" s="49">
        <f t="shared" si="3"/>
        <v>203849541</v>
      </c>
      <c r="AI33" s="55"/>
      <c r="AJ33" s="55"/>
    </row>
    <row r="34" spans="2:39">
      <c r="B34" s="54" t="s">
        <v>37</v>
      </c>
      <c r="C34" s="52"/>
      <c r="D34" s="49">
        <v>0</v>
      </c>
      <c r="E34" s="49">
        <v>40000000000</v>
      </c>
      <c r="F34" s="49"/>
      <c r="G34" s="49"/>
      <c r="H34" s="49">
        <f>SUM(D34:E34)</f>
        <v>40000000000</v>
      </c>
      <c r="I34" s="49">
        <v>64625421475</v>
      </c>
      <c r="J34" s="49">
        <v>-1211853055</v>
      </c>
      <c r="K34" s="49"/>
      <c r="L34" s="49">
        <f t="shared" ref="L34" si="14">SUM(I34:K34)</f>
        <v>63413568420</v>
      </c>
      <c r="M34" s="49">
        <v>0</v>
      </c>
      <c r="N34" s="49"/>
      <c r="O34" s="49">
        <f t="shared" ref="O34" si="15">SUM(M34:N34)</f>
        <v>0</v>
      </c>
      <c r="P34" s="49">
        <v>39375000000</v>
      </c>
      <c r="Q34" s="49">
        <v>0</v>
      </c>
      <c r="R34" s="49"/>
      <c r="S34" s="49">
        <f t="shared" ref="S34" si="16">SUM(P34:R34)</f>
        <v>39375000000</v>
      </c>
      <c r="T34" s="49">
        <v>407039498</v>
      </c>
      <c r="U34" s="49"/>
      <c r="V34" s="49">
        <f t="shared" si="1"/>
        <v>407039498</v>
      </c>
      <c r="W34" s="49">
        <v>0</v>
      </c>
      <c r="X34" s="49"/>
      <c r="Y34" s="49">
        <f t="shared" si="13"/>
        <v>0</v>
      </c>
      <c r="Z34" s="49"/>
      <c r="AA34" s="49"/>
      <c r="AB34" s="49"/>
      <c r="AC34" s="49"/>
      <c r="AD34" s="49"/>
      <c r="AE34" s="49">
        <f t="shared" si="2"/>
        <v>143195607918</v>
      </c>
      <c r="AF34" s="49"/>
      <c r="AG34" s="49"/>
      <c r="AH34" s="49">
        <f t="shared" si="3"/>
        <v>143195607918</v>
      </c>
      <c r="AI34" s="55"/>
      <c r="AJ34" s="55"/>
    </row>
    <row r="35" spans="2:39">
      <c r="B35" s="54" t="s">
        <v>38</v>
      </c>
      <c r="C35" s="52"/>
      <c r="D35" s="49">
        <v>-1049795960</v>
      </c>
      <c r="E35" s="49">
        <f>1038692880-231525+11576250+-241645</f>
        <v>1049795960</v>
      </c>
      <c r="F35" s="49"/>
      <c r="G35" s="49"/>
      <c r="H35" s="49">
        <f t="shared" si="0"/>
        <v>0</v>
      </c>
      <c r="I35" s="49">
        <f>157174881--211837500.273376</f>
        <v>369012381.27337599</v>
      </c>
      <c r="J35" s="49">
        <v>190396710</v>
      </c>
      <c r="K35" s="49">
        <f>'Adjustment Consol'!I48</f>
        <v>509198796.22499996</v>
      </c>
      <c r="L35" s="49">
        <f t="shared" si="9"/>
        <v>1068607887.4983759</v>
      </c>
      <c r="M35" s="49">
        <v>0</v>
      </c>
      <c r="N35" s="49"/>
      <c r="O35" s="49">
        <f t="shared" ref="O35" si="17">SUM(M35:N35)</f>
        <v>0</v>
      </c>
      <c r="P35" s="49">
        <v>425165488</v>
      </c>
      <c r="Q35" s="49">
        <f>-124535250-12048750.2750015</f>
        <v>-136584000.2750015</v>
      </c>
      <c r="R35" s="49"/>
      <c r="S35" s="49">
        <f t="shared" ref="S35" si="18">SUM(P35:R35)</f>
        <v>288581487.72499847</v>
      </c>
      <c r="T35" s="49">
        <v>293548500</v>
      </c>
      <c r="U35" s="49">
        <f>'Adjustment Consol'!J81</f>
        <v>-86625000</v>
      </c>
      <c r="V35" s="49">
        <f t="shared" si="1"/>
        <v>206923500</v>
      </c>
      <c r="W35" s="49">
        <v>0</v>
      </c>
      <c r="X35" s="49"/>
      <c r="Y35" s="49">
        <f t="shared" si="13"/>
        <v>0</v>
      </c>
      <c r="Z35" s="49"/>
      <c r="AA35" s="49"/>
      <c r="AB35" s="49"/>
      <c r="AC35" s="49"/>
      <c r="AD35" s="49"/>
      <c r="AE35" s="49">
        <f t="shared" si="2"/>
        <v>1564112875.2233744</v>
      </c>
      <c r="AF35" s="49"/>
      <c r="AG35" s="49"/>
      <c r="AH35" s="49">
        <f t="shared" si="3"/>
        <v>1564112875</v>
      </c>
      <c r="AI35" s="55"/>
      <c r="AJ35" s="55"/>
    </row>
    <row r="36" spans="2:39">
      <c r="B36" s="58"/>
      <c r="C36" s="5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</row>
    <row r="37" spans="2:39" s="63" customFormat="1" ht="13">
      <c r="B37" s="60" t="s">
        <v>39</v>
      </c>
      <c r="C37" s="61"/>
      <c r="D37" s="62">
        <f>SUM(D14:D36)</f>
        <v>459778689038.47485</v>
      </c>
      <c r="E37" s="62">
        <f>SUM(E14:E36)</f>
        <v>906203250532.19995</v>
      </c>
      <c r="F37" s="62"/>
      <c r="G37" s="62"/>
      <c r="H37" s="62">
        <f>SUM(H14:H36)</f>
        <v>1393683106654.6499</v>
      </c>
      <c r="I37" s="62">
        <f>SUM(I14:I36)</f>
        <v>168896963488.04938</v>
      </c>
      <c r="J37" s="62">
        <f>SUM(J14:J36)</f>
        <v>120384671409.75</v>
      </c>
      <c r="K37" s="62"/>
      <c r="L37" s="62">
        <f>SUM(L14:L36)</f>
        <v>307411437922.48584</v>
      </c>
      <c r="M37" s="62">
        <f>SUM(M14:M36)</f>
        <v>28790709875</v>
      </c>
      <c r="N37" s="62"/>
      <c r="O37" s="62">
        <f>SUM(O14:O36)</f>
        <v>29370143737.700001</v>
      </c>
      <c r="P37" s="62">
        <f>SUM(P14:P36)</f>
        <v>131119872581.12549</v>
      </c>
      <c r="Q37" s="62">
        <f>SUM(Q14:Q36)</f>
        <v>47755305980.474998</v>
      </c>
      <c r="R37" s="62"/>
      <c r="S37" s="62">
        <f>SUM(S14:S36)</f>
        <v>178875178561.60049</v>
      </c>
      <c r="T37" s="62">
        <f>SUM(T14:T36)</f>
        <v>207337063879.67529</v>
      </c>
      <c r="U37" s="62"/>
      <c r="V37" s="62">
        <f>SUM(V14:V36)</f>
        <v>223262623880.86179</v>
      </c>
      <c r="W37" s="62">
        <f>SUM(W14:W36)</f>
        <v>2559944346.75</v>
      </c>
      <c r="X37" s="62"/>
      <c r="Y37" s="62">
        <f>SUM(Y14:Y36)</f>
        <v>2559944346.75</v>
      </c>
      <c r="Z37" s="62"/>
      <c r="AA37" s="62"/>
      <c r="AB37" s="62"/>
      <c r="AC37" s="62"/>
      <c r="AD37" s="62"/>
      <c r="AE37" s="62">
        <f>SUM(AE14:AE36)</f>
        <v>2135162435104.0481</v>
      </c>
      <c r="AF37" s="62"/>
      <c r="AG37" s="62"/>
      <c r="AH37" s="62">
        <f>SUM(AH14:AH36)</f>
        <v>667054354077</v>
      </c>
      <c r="AI37" s="592"/>
    </row>
    <row r="38" spans="2:39" ht="12" customHeight="1">
      <c r="B38" s="47"/>
      <c r="C38" s="48"/>
      <c r="D38" s="64" t="s">
        <v>40</v>
      </c>
      <c r="E38" s="64" t="s">
        <v>40</v>
      </c>
      <c r="F38" s="64"/>
      <c r="G38" s="64"/>
      <c r="H38" s="64"/>
      <c r="I38" s="64" t="s">
        <v>40</v>
      </c>
      <c r="J38" s="64" t="s">
        <v>40</v>
      </c>
      <c r="K38" s="64"/>
      <c r="L38" s="64"/>
      <c r="M38" s="64" t="s">
        <v>40</v>
      </c>
      <c r="N38" s="64"/>
      <c r="O38" s="64"/>
      <c r="P38" s="64" t="s">
        <v>40</v>
      </c>
      <c r="Q38" s="64" t="s">
        <v>40</v>
      </c>
      <c r="R38" s="64"/>
      <c r="S38" s="64"/>
      <c r="T38" s="64" t="s">
        <v>40</v>
      </c>
      <c r="U38" s="64"/>
      <c r="V38" s="64"/>
      <c r="W38" s="64" t="s">
        <v>40</v>
      </c>
      <c r="X38" s="64"/>
      <c r="Y38" s="64"/>
      <c r="Z38" s="64"/>
      <c r="AA38" s="64"/>
      <c r="AB38" s="64"/>
      <c r="AC38" s="64"/>
      <c r="AD38" s="64"/>
      <c r="AE38" s="64" t="s">
        <v>40</v>
      </c>
      <c r="AF38" s="64"/>
      <c r="AG38" s="64"/>
      <c r="AH38" s="64"/>
    </row>
    <row r="39" spans="2:39" ht="13">
      <c r="B39" s="53" t="s">
        <v>41</v>
      </c>
      <c r="C39" s="52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</row>
    <row r="40" spans="2:39">
      <c r="B40" s="54" t="s">
        <v>42</v>
      </c>
      <c r="C40" s="52"/>
      <c r="D40" s="49">
        <f>79329820854+240975000</f>
        <v>79570795854</v>
      </c>
      <c r="E40" s="49">
        <f>-55291555029+231525-11576250--241645</f>
        <v>-55302658109</v>
      </c>
      <c r="F40" s="49">
        <f>ROUND(SUM('Equity &amp; Adjustment Consol'!C34:H34),0)</f>
        <v>-30613662987</v>
      </c>
      <c r="G40" s="49"/>
      <c r="H40" s="49">
        <f t="shared" ref="H40:H49" si="19">SUM(D40:G40)</f>
        <v>-6345525242</v>
      </c>
      <c r="I40" s="49">
        <v>19687500</v>
      </c>
      <c r="J40" s="49">
        <v>0</v>
      </c>
      <c r="K40" s="49"/>
      <c r="L40" s="49">
        <f t="shared" ref="L40:L41" si="20">SUM(I40:K40)</f>
        <v>19687500</v>
      </c>
      <c r="M40" s="49">
        <v>0</v>
      </c>
      <c r="N40" s="49"/>
      <c r="O40" s="49">
        <f t="shared" ref="O40:O41" si="21">SUM(M40:N40)</f>
        <v>0</v>
      </c>
      <c r="P40" s="49"/>
      <c r="Q40" s="49"/>
      <c r="R40" s="49"/>
      <c r="S40" s="49">
        <f t="shared" ref="S40" si="22">SUM(P40:R40)</f>
        <v>0</v>
      </c>
      <c r="T40" s="49">
        <v>0</v>
      </c>
      <c r="U40" s="49"/>
      <c r="V40" s="49">
        <f t="shared" ref="V40:V43" si="23">SUM(T40:U40)</f>
        <v>0</v>
      </c>
      <c r="W40" s="49">
        <v>0</v>
      </c>
      <c r="X40" s="49"/>
      <c r="Y40" s="49">
        <f t="shared" ref="Y40" si="24">SUM(W40:X40)</f>
        <v>0</v>
      </c>
      <c r="Z40" s="49">
        <f>'Consol SoFP 23 &amp; 22'!X40</f>
        <v>2093719895.629427</v>
      </c>
      <c r="AA40" s="49">
        <f>'Consol SoFP 23 &amp; 22'!Y40</f>
        <v>-57099484402.259415</v>
      </c>
      <c r="AB40" s="49">
        <f>-AB106</f>
        <v>55005765058.461212</v>
      </c>
      <c r="AC40" s="49"/>
      <c r="AD40" s="49"/>
      <c r="AE40" s="49">
        <f t="shared" ref="AE40:AE48" si="25">SUM(H40,L40,Z40,AA40,AC40:AD40,O40,S40,V40,Y40,AB40)</f>
        <v>-6325837190.1687775</v>
      </c>
      <c r="AF40" s="49">
        <f>'Elimination 2024'!G10+'Elimination 2024'!G36+'Elimination 2024'!G49+'Elimination 2024'!G62</f>
        <v>116400105563.86443</v>
      </c>
      <c r="AG40" s="49">
        <f>'Elimination 2024'!H7+'Elimination 2024'!H18+'Elimination 2024'!H23+'Elimination 2024'!H28+'Elimination 2024'!H31+'Elimination 2024'!H41+'Elimination 2024'!H44+'Elimination 2024'!G53+'Elimination 2024'!H57+'Elimination 2024'!H67+'Elimination 2024'!H70</f>
        <v>-110074268373.58955</v>
      </c>
      <c r="AH40" s="49">
        <f t="shared" ref="AH40:AH48" si="26">ROUND(SUM(AE40:AG40),0)</f>
        <v>0</v>
      </c>
      <c r="AI40" s="28"/>
      <c r="AJ40" s="28"/>
      <c r="AK40" s="28"/>
      <c r="AM40" s="65"/>
    </row>
    <row r="41" spans="2:39">
      <c r="B41" s="54" t="s">
        <v>43</v>
      </c>
      <c r="C41" s="52"/>
      <c r="D41" s="49">
        <v>976364006631</v>
      </c>
      <c r="E41" s="49">
        <v>-976364006631</v>
      </c>
      <c r="F41" s="49">
        <f>SUM('Adjustment Consol'!G80,'Adjustment Consol'!G83,'Adjustment Consol'!G86)</f>
        <v>0</v>
      </c>
      <c r="G41" s="49"/>
      <c r="H41" s="49">
        <f t="shared" si="19"/>
        <v>0</v>
      </c>
      <c r="I41" s="49">
        <v>20779414154</v>
      </c>
      <c r="J41" s="49">
        <v>-20779414154</v>
      </c>
      <c r="K41" s="49"/>
      <c r="L41" s="49">
        <f t="shared" si="20"/>
        <v>0</v>
      </c>
      <c r="M41" s="49">
        <v>0</v>
      </c>
      <c r="N41" s="49"/>
      <c r="O41" s="49">
        <f t="shared" si="21"/>
        <v>0</v>
      </c>
      <c r="P41" s="49">
        <v>50779755437</v>
      </c>
      <c r="Q41" s="49">
        <f>-50791804187--12048750.2750015</f>
        <v>-50779755436.724998</v>
      </c>
      <c r="R41" s="49"/>
      <c r="S41" s="49">
        <f>SUM(P41:R41)</f>
        <v>0.27500152587890625</v>
      </c>
      <c r="T41" s="49">
        <v>0</v>
      </c>
      <c r="U41" s="49"/>
      <c r="V41" s="49">
        <f t="shared" si="23"/>
        <v>0</v>
      </c>
      <c r="W41" s="49">
        <v>0</v>
      </c>
      <c r="X41" s="49"/>
      <c r="Y41" s="49">
        <f>SUM(W41:X41)</f>
        <v>0</v>
      </c>
      <c r="Z41" s="49"/>
      <c r="AA41" s="49"/>
      <c r="AB41" s="49"/>
      <c r="AC41" s="49"/>
      <c r="AD41" s="49"/>
      <c r="AE41" s="49">
        <f t="shared" si="25"/>
        <v>0.27500152587890625</v>
      </c>
      <c r="AF41" s="49"/>
      <c r="AG41" s="49"/>
      <c r="AH41" s="49">
        <f t="shared" ref="AH41" si="27">SUM(AE41:AG41)</f>
        <v>0.27500152587890625</v>
      </c>
      <c r="AI41" s="55"/>
      <c r="AJ41" s="55"/>
      <c r="AK41" s="28"/>
    </row>
    <row r="42" spans="2:39">
      <c r="B42" s="54" t="s">
        <v>44</v>
      </c>
      <c r="C42" s="52"/>
      <c r="D42" s="49">
        <v>0</v>
      </c>
      <c r="E42" s="49">
        <v>0</v>
      </c>
      <c r="F42" s="49"/>
      <c r="G42" s="49"/>
      <c r="H42" s="49">
        <f t="shared" ref="H42" si="28">SUM(D42:G42)</f>
        <v>0</v>
      </c>
      <c r="I42" s="49">
        <v>0</v>
      </c>
      <c r="J42" s="49">
        <v>0</v>
      </c>
      <c r="K42" s="49"/>
      <c r="L42" s="49">
        <f t="shared" ref="L42" si="29">SUM(I42:K42)</f>
        <v>0</v>
      </c>
      <c r="M42" s="49">
        <v>0</v>
      </c>
      <c r="N42" s="49"/>
      <c r="O42" s="49">
        <f t="shared" ref="O42" si="30">SUM(M42:N42)</f>
        <v>0</v>
      </c>
      <c r="P42" s="49">
        <v>0</v>
      </c>
      <c r="Q42" s="49">
        <v>0</v>
      </c>
      <c r="R42" s="49"/>
      <c r="S42" s="49">
        <f>SUM(P42:R42)</f>
        <v>0</v>
      </c>
      <c r="T42" s="49">
        <v>0</v>
      </c>
      <c r="U42" s="49"/>
      <c r="V42" s="49">
        <f t="shared" si="23"/>
        <v>0</v>
      </c>
      <c r="W42" s="49">
        <v>0</v>
      </c>
      <c r="X42" s="49"/>
      <c r="Y42" s="49">
        <f>SUM(W42:X42)</f>
        <v>0</v>
      </c>
      <c r="Z42" s="49"/>
      <c r="AA42" s="49"/>
      <c r="AB42" s="49"/>
      <c r="AC42" s="49"/>
      <c r="AD42" s="49"/>
      <c r="AE42" s="49">
        <f t="shared" si="25"/>
        <v>0</v>
      </c>
      <c r="AF42" s="49"/>
      <c r="AG42" s="49"/>
      <c r="AH42" s="49">
        <f t="shared" si="26"/>
        <v>0</v>
      </c>
      <c r="AI42" s="55"/>
      <c r="AJ42" s="55">
        <f>-AJ41</f>
        <v>0</v>
      </c>
      <c r="AK42" s="65"/>
    </row>
    <row r="43" spans="2:39">
      <c r="B43" s="54" t="s">
        <v>45</v>
      </c>
      <c r="C43" s="52"/>
      <c r="D43" s="49">
        <v>34746004940</v>
      </c>
      <c r="E43" s="49">
        <v>-34312390817</v>
      </c>
      <c r="F43" s="49"/>
      <c r="G43" s="49"/>
      <c r="H43" s="49">
        <f t="shared" si="19"/>
        <v>433614123</v>
      </c>
      <c r="I43" s="49">
        <v>-2909334616</v>
      </c>
      <c r="J43" s="49">
        <v>30758023232</v>
      </c>
      <c r="K43" s="49"/>
      <c r="L43" s="49">
        <f t="shared" ref="L43:L45" si="31">SUM(I43:K43)</f>
        <v>27848688616</v>
      </c>
      <c r="M43" s="49">
        <v>15897898189</v>
      </c>
      <c r="N43" s="49"/>
      <c r="O43" s="49">
        <f t="shared" ref="O43" si="32">SUM(M43:N43)</f>
        <v>15897898189</v>
      </c>
      <c r="P43" s="49">
        <v>58314473</v>
      </c>
      <c r="Q43" s="49">
        <v>-6284250</v>
      </c>
      <c r="R43" s="49"/>
      <c r="S43" s="49">
        <f t="shared" ref="S43:S49" si="33">SUM(P43:R43)</f>
        <v>52030223</v>
      </c>
      <c r="T43" s="49">
        <f>27415430721.8+257925937.5</f>
        <v>27673356659.299999</v>
      </c>
      <c r="U43" s="49"/>
      <c r="V43" s="49">
        <f t="shared" si="23"/>
        <v>27673356659.299999</v>
      </c>
      <c r="W43" s="49">
        <v>2113125.5249999999</v>
      </c>
      <c r="X43" s="49"/>
      <c r="Y43" s="49">
        <f t="shared" ref="Y43:Y49" si="34">SUM(W43:X43)</f>
        <v>2113125.5249999999</v>
      </c>
      <c r="Z43" s="49"/>
      <c r="AA43" s="49"/>
      <c r="AB43" s="49"/>
      <c r="AC43" s="49"/>
      <c r="AD43" s="49"/>
      <c r="AE43" s="49">
        <f t="shared" si="25"/>
        <v>71907700935.824997</v>
      </c>
      <c r="AF43" s="49"/>
      <c r="AG43" s="49"/>
      <c r="AH43" s="49">
        <f t="shared" si="26"/>
        <v>71907700936</v>
      </c>
      <c r="AI43" s="55"/>
      <c r="AJ43" s="55"/>
    </row>
    <row r="44" spans="2:39">
      <c r="B44" s="54" t="s">
        <v>46</v>
      </c>
      <c r="C44" s="52"/>
      <c r="D44" s="49">
        <v>-21200641572</v>
      </c>
      <c r="E44" s="49">
        <v>29909546979</v>
      </c>
      <c r="F44" s="49"/>
      <c r="G44" s="49"/>
      <c r="H44" s="49">
        <f t="shared" ref="H44" si="35">SUM(D44:G44)</f>
        <v>8708905407</v>
      </c>
      <c r="I44" s="49">
        <v>12097450124</v>
      </c>
      <c r="J44" s="49">
        <v>-4336846857</v>
      </c>
      <c r="K44" s="49"/>
      <c r="L44" s="49">
        <f t="shared" ref="L44" si="36">SUM(I44:K44)</f>
        <v>7760603267</v>
      </c>
      <c r="M44" s="49">
        <v>0</v>
      </c>
      <c r="N44" s="49"/>
      <c r="O44" s="49">
        <f t="shared" ref="O44" si="37">SUM(M44:N44)</f>
        <v>0</v>
      </c>
      <c r="P44" s="49">
        <v>171950625</v>
      </c>
      <c r="Q44" s="49">
        <v>-171950625</v>
      </c>
      <c r="R44" s="49"/>
      <c r="S44" s="49">
        <f t="shared" si="33"/>
        <v>0</v>
      </c>
      <c r="T44" s="49">
        <v>0</v>
      </c>
      <c r="U44" s="49"/>
      <c r="V44" s="49">
        <f t="shared" ref="V44" si="38">SUM(T44:U44)</f>
        <v>0</v>
      </c>
      <c r="W44" s="49">
        <v>0</v>
      </c>
      <c r="X44" s="49"/>
      <c r="Y44" s="49">
        <f t="shared" si="34"/>
        <v>0</v>
      </c>
      <c r="Z44" s="49"/>
      <c r="AA44" s="49"/>
      <c r="AB44" s="49"/>
      <c r="AC44" s="49"/>
      <c r="AD44" s="49"/>
      <c r="AE44" s="49">
        <f t="shared" si="25"/>
        <v>16469508674</v>
      </c>
      <c r="AF44" s="49"/>
      <c r="AG44" s="49"/>
      <c r="AH44" s="49">
        <f t="shared" si="26"/>
        <v>16469508674</v>
      </c>
      <c r="AI44" s="55"/>
      <c r="AJ44" s="55"/>
    </row>
    <row r="45" spans="2:39">
      <c r="B45" s="54" t="s">
        <v>47</v>
      </c>
      <c r="C45" s="52"/>
      <c r="D45" s="49">
        <v>0</v>
      </c>
      <c r="E45" s="49">
        <v>0</v>
      </c>
      <c r="F45" s="49"/>
      <c r="G45" s="49"/>
      <c r="H45" s="49">
        <f t="shared" si="19"/>
        <v>0</v>
      </c>
      <c r="I45" s="49">
        <v>15146709252</v>
      </c>
      <c r="J45" s="49">
        <v>21095737557</v>
      </c>
      <c r="K45" s="49"/>
      <c r="L45" s="49">
        <f t="shared" si="31"/>
        <v>36242446809</v>
      </c>
      <c r="M45" s="49">
        <v>0</v>
      </c>
      <c r="N45" s="49"/>
      <c r="O45" s="49">
        <f t="shared" ref="O45" si="39">SUM(M45:N45)</f>
        <v>0</v>
      </c>
      <c r="P45" s="49">
        <v>0</v>
      </c>
      <c r="Q45" s="49">
        <v>0</v>
      </c>
      <c r="R45" s="49"/>
      <c r="S45" s="49">
        <f t="shared" si="33"/>
        <v>0</v>
      </c>
      <c r="T45" s="49">
        <v>0</v>
      </c>
      <c r="U45" s="49"/>
      <c r="V45" s="49">
        <f t="shared" ref="V45" si="40">SUM(T45:U45)</f>
        <v>0</v>
      </c>
      <c r="W45" s="49">
        <v>0</v>
      </c>
      <c r="X45" s="49"/>
      <c r="Y45" s="49">
        <f t="shared" si="34"/>
        <v>0</v>
      </c>
      <c r="Z45" s="49"/>
      <c r="AA45" s="49"/>
      <c r="AB45" s="49"/>
      <c r="AC45" s="49"/>
      <c r="AD45" s="49"/>
      <c r="AE45" s="49">
        <f t="shared" si="25"/>
        <v>36242446809</v>
      </c>
      <c r="AF45" s="49"/>
      <c r="AG45" s="49"/>
      <c r="AH45" s="49">
        <f t="shared" si="26"/>
        <v>36242446809</v>
      </c>
      <c r="AI45" s="55"/>
      <c r="AJ45" s="55"/>
    </row>
    <row r="46" spans="2:39">
      <c r="B46" s="54" t="s">
        <v>48</v>
      </c>
      <c r="C46" s="52"/>
      <c r="D46" s="49">
        <v>410071174</v>
      </c>
      <c r="E46" s="49">
        <v>0</v>
      </c>
      <c r="F46" s="49"/>
      <c r="G46" s="49"/>
      <c r="H46" s="49">
        <f t="shared" si="19"/>
        <v>410071174</v>
      </c>
      <c r="I46" s="49">
        <v>0</v>
      </c>
      <c r="J46" s="49">
        <v>0</v>
      </c>
      <c r="K46" s="49"/>
      <c r="L46" s="49">
        <f t="shared" ref="L46" si="41">SUM(I46:K46)</f>
        <v>0</v>
      </c>
      <c r="M46" s="49">
        <v>23625000</v>
      </c>
      <c r="N46" s="49"/>
      <c r="O46" s="49">
        <f t="shared" ref="O46" si="42">SUM(M46:N46)</f>
        <v>23625000</v>
      </c>
      <c r="P46" s="49">
        <v>1789200000</v>
      </c>
      <c r="Q46" s="49">
        <v>-116131641</v>
      </c>
      <c r="R46" s="49"/>
      <c r="S46" s="49">
        <f t="shared" si="33"/>
        <v>1673068359</v>
      </c>
      <c r="T46" s="49">
        <v>187728068</v>
      </c>
      <c r="U46" s="49"/>
      <c r="V46" s="49">
        <f t="shared" ref="V46" si="43">SUM(T46:U46)</f>
        <v>187728068</v>
      </c>
      <c r="W46" s="49">
        <v>19687500</v>
      </c>
      <c r="X46" s="49"/>
      <c r="Y46" s="49">
        <f t="shared" si="34"/>
        <v>19687500</v>
      </c>
      <c r="Z46" s="49"/>
      <c r="AA46" s="49"/>
      <c r="AB46" s="49"/>
      <c r="AC46" s="49"/>
      <c r="AD46" s="49">
        <v>0</v>
      </c>
      <c r="AE46" s="49">
        <f t="shared" si="25"/>
        <v>2314180101</v>
      </c>
      <c r="AF46" s="49"/>
      <c r="AG46" s="49"/>
      <c r="AH46" s="49">
        <f t="shared" si="26"/>
        <v>2314180101</v>
      </c>
      <c r="AI46" s="55"/>
      <c r="AJ46" s="55"/>
    </row>
    <row r="47" spans="2:39">
      <c r="B47" s="54" t="s">
        <v>49</v>
      </c>
      <c r="C47" s="52"/>
      <c r="D47" s="49">
        <v>0</v>
      </c>
      <c r="E47" s="49">
        <v>0</v>
      </c>
      <c r="F47" s="49"/>
      <c r="G47" s="49"/>
      <c r="H47" s="49">
        <f t="shared" ref="H47" si="44">SUM(D47:G47)</f>
        <v>0</v>
      </c>
      <c r="I47" s="49">
        <v>0</v>
      </c>
      <c r="J47" s="49">
        <v>0</v>
      </c>
      <c r="K47" s="49"/>
      <c r="L47" s="49">
        <f t="shared" ref="L47:L48" si="45">SUM(I47:K47)</f>
        <v>0</v>
      </c>
      <c r="M47" s="49">
        <v>0</v>
      </c>
      <c r="N47" s="49"/>
      <c r="O47" s="49">
        <f t="shared" ref="O47:O48" si="46">SUM(M47:N47)</f>
        <v>0</v>
      </c>
      <c r="P47" s="49">
        <v>0</v>
      </c>
      <c r="Q47" s="49">
        <v>0</v>
      </c>
      <c r="R47" s="49"/>
      <c r="S47" s="49">
        <f t="shared" si="33"/>
        <v>0</v>
      </c>
      <c r="T47" s="49">
        <v>0</v>
      </c>
      <c r="U47" s="49"/>
      <c r="V47" s="49">
        <f t="shared" ref="V47:V48" si="47">SUM(T47:U47)</f>
        <v>0</v>
      </c>
      <c r="W47" s="49">
        <v>0</v>
      </c>
      <c r="X47" s="49"/>
      <c r="Y47" s="49">
        <f t="shared" si="34"/>
        <v>0</v>
      </c>
      <c r="Z47" s="49"/>
      <c r="AA47" s="49"/>
      <c r="AB47" s="49"/>
      <c r="AC47" s="49"/>
      <c r="AD47" s="49">
        <v>0</v>
      </c>
      <c r="AE47" s="49">
        <f t="shared" si="25"/>
        <v>0</v>
      </c>
      <c r="AF47" s="49"/>
      <c r="AG47" s="49"/>
      <c r="AH47" s="49">
        <f t="shared" si="26"/>
        <v>0</v>
      </c>
      <c r="AI47" s="55"/>
      <c r="AJ47" s="55"/>
    </row>
    <row r="48" spans="2:39">
      <c r="B48" s="54" t="s">
        <v>50</v>
      </c>
      <c r="C48" s="52"/>
      <c r="D48" s="49">
        <v>0</v>
      </c>
      <c r="E48" s="49">
        <v>0</v>
      </c>
      <c r="F48" s="49"/>
      <c r="G48" s="49"/>
      <c r="H48" s="49">
        <f t="shared" ref="H48" si="48">SUM(D48:G48)</f>
        <v>0</v>
      </c>
      <c r="I48" s="49">
        <v>0</v>
      </c>
      <c r="J48" s="49">
        <v>0</v>
      </c>
      <c r="K48" s="49"/>
      <c r="L48" s="49">
        <f t="shared" si="45"/>
        <v>0</v>
      </c>
      <c r="M48" s="49">
        <v>0</v>
      </c>
      <c r="N48" s="49"/>
      <c r="O48" s="49">
        <f t="shared" si="46"/>
        <v>0</v>
      </c>
      <c r="P48" s="49">
        <v>0</v>
      </c>
      <c r="Q48" s="49">
        <v>0</v>
      </c>
      <c r="R48" s="49"/>
      <c r="S48" s="49">
        <f t="shared" si="33"/>
        <v>0</v>
      </c>
      <c r="T48" s="49">
        <v>0</v>
      </c>
      <c r="U48" s="49"/>
      <c r="V48" s="49">
        <f t="shared" si="47"/>
        <v>0</v>
      </c>
      <c r="W48" s="49">
        <v>0</v>
      </c>
      <c r="X48" s="49"/>
      <c r="Y48" s="49">
        <f t="shared" si="34"/>
        <v>0</v>
      </c>
      <c r="Z48" s="49"/>
      <c r="AA48" s="49"/>
      <c r="AB48" s="49"/>
      <c r="AC48" s="49"/>
      <c r="AD48" s="49"/>
      <c r="AE48" s="49">
        <f t="shared" si="25"/>
        <v>0</v>
      </c>
      <c r="AF48" s="49"/>
      <c r="AG48" s="49"/>
      <c r="AH48" s="49">
        <f t="shared" si="26"/>
        <v>0</v>
      </c>
      <c r="AI48" s="55"/>
      <c r="AJ48" s="55"/>
    </row>
    <row r="49" spans="2:36">
      <c r="B49" s="54" t="s">
        <v>51</v>
      </c>
      <c r="C49" s="52"/>
      <c r="D49" s="49">
        <v>-1118936546</v>
      </c>
      <c r="E49" s="49">
        <v>2377361546</v>
      </c>
      <c r="F49" s="49"/>
      <c r="G49" s="49"/>
      <c r="H49" s="49">
        <f t="shared" si="19"/>
        <v>1258425000</v>
      </c>
      <c r="I49" s="49">
        <v>81501258425</v>
      </c>
      <c r="J49" s="49">
        <v>2042524488</v>
      </c>
      <c r="K49" s="49"/>
      <c r="L49" s="49">
        <f t="shared" ref="L49" si="49">SUM(I49:K49)</f>
        <v>83543782913</v>
      </c>
      <c r="M49" s="49">
        <v>0</v>
      </c>
      <c r="N49" s="49"/>
      <c r="O49" s="49">
        <f t="shared" ref="O49" si="50">SUM(M49:N49)</f>
        <v>0</v>
      </c>
      <c r="P49" s="49">
        <v>0</v>
      </c>
      <c r="Q49" s="49">
        <v>57834000</v>
      </c>
      <c r="R49" s="49"/>
      <c r="S49" s="49">
        <f t="shared" si="33"/>
        <v>57834000</v>
      </c>
      <c r="T49" s="49"/>
      <c r="U49" s="49"/>
      <c r="V49" s="49">
        <f t="shared" ref="V49" si="51">SUM(T49:U49)</f>
        <v>0</v>
      </c>
      <c r="W49" s="49">
        <v>0</v>
      </c>
      <c r="X49" s="49"/>
      <c r="Y49" s="49">
        <f t="shared" si="34"/>
        <v>0</v>
      </c>
      <c r="Z49" s="49"/>
      <c r="AA49" s="49"/>
      <c r="AB49" s="49"/>
      <c r="AC49" s="49"/>
      <c r="AD49" s="49"/>
      <c r="AE49" s="49">
        <f>SUM(H49,L49,Z49,AA49,AC49:AD49,O49,S49,V49,Y49,AB49)-552.08154296875</f>
        <v>84860041360.918457</v>
      </c>
      <c r="AF49" s="49"/>
      <c r="AG49" s="49"/>
      <c r="AH49" s="49">
        <f>ROUND(SUM(AE49:AG49),0)+555</f>
        <v>84860041916</v>
      </c>
      <c r="AI49" s="55"/>
      <c r="AJ49" s="55"/>
    </row>
    <row r="50" spans="2:36">
      <c r="B50" s="58"/>
      <c r="C50" s="5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</row>
    <row r="51" spans="2:36" s="63" customFormat="1" ht="13">
      <c r="B51" s="60" t="s">
        <v>52</v>
      </c>
      <c r="C51" s="61"/>
      <c r="D51" s="62">
        <f>SUM(D39:D50)</f>
        <v>1068771300481</v>
      </c>
      <c r="E51" s="62">
        <f>SUM(E39:E50)</f>
        <v>-1033692147032</v>
      </c>
      <c r="F51" s="62"/>
      <c r="G51" s="62"/>
      <c r="H51" s="62">
        <f>SUM(H39:H50)</f>
        <v>4465490462</v>
      </c>
      <c r="I51" s="62">
        <f>SUM(I39:I50)</f>
        <v>126635184839</v>
      </c>
      <c r="J51" s="62">
        <f>SUM(J39:J50)</f>
        <v>28780024266</v>
      </c>
      <c r="K51" s="62"/>
      <c r="L51" s="62">
        <f>SUM(L39:L50)</f>
        <v>155415209105</v>
      </c>
      <c r="M51" s="62">
        <f>SUM(M39:M50)</f>
        <v>15921523189</v>
      </c>
      <c r="N51" s="62"/>
      <c r="O51" s="62">
        <f>SUM(O39:O50)</f>
        <v>15921523189</v>
      </c>
      <c r="P51" s="62">
        <f>SUM(P39:P50)</f>
        <v>52799220535</v>
      </c>
      <c r="Q51" s="62">
        <f>SUM(Q39:Q50)</f>
        <v>-51016287952.724998</v>
      </c>
      <c r="R51" s="62"/>
      <c r="S51" s="62">
        <f>SUM(S39:S50)</f>
        <v>1782932582.2750015</v>
      </c>
      <c r="T51" s="62">
        <f>SUM(T39:T50)</f>
        <v>27861084727.299999</v>
      </c>
      <c r="U51" s="62"/>
      <c r="V51" s="62">
        <f>SUM(V39:V50)</f>
        <v>27861084727.299999</v>
      </c>
      <c r="W51" s="62">
        <f>SUM(W39:W50)</f>
        <v>21800625.524999999</v>
      </c>
      <c r="X51" s="62"/>
      <c r="Y51" s="62">
        <f>SUM(Y39:Y50)</f>
        <v>21800625.524999999</v>
      </c>
      <c r="Z51" s="62"/>
      <c r="AA51" s="62"/>
      <c r="AB51" s="62"/>
      <c r="AC51" s="62"/>
      <c r="AD51" s="62"/>
      <c r="AE51" s="62">
        <f>SUM(AE39:AE50)</f>
        <v>205468040690.84967</v>
      </c>
      <c r="AF51" s="62"/>
      <c r="AG51" s="62"/>
      <c r="AH51" s="62">
        <f>SUM(AH39:AH50)</f>
        <v>211793878436.27499</v>
      </c>
    </row>
    <row r="52" spans="2:36" ht="12.65" customHeight="1">
      <c r="B52" s="66"/>
      <c r="C52" s="67"/>
      <c r="D52" s="64" t="s">
        <v>40</v>
      </c>
      <c r="E52" s="64" t="s">
        <v>40</v>
      </c>
      <c r="F52" s="64"/>
      <c r="G52" s="64"/>
      <c r="H52" s="64"/>
      <c r="I52" s="64" t="s">
        <v>40</v>
      </c>
      <c r="J52" s="64" t="s">
        <v>40</v>
      </c>
      <c r="K52" s="64"/>
      <c r="L52" s="64"/>
      <c r="M52" s="64" t="s">
        <v>40</v>
      </c>
      <c r="N52" s="64"/>
      <c r="O52" s="64"/>
      <c r="P52" s="64" t="s">
        <v>40</v>
      </c>
      <c r="Q52" s="64" t="s">
        <v>40</v>
      </c>
      <c r="R52" s="64"/>
      <c r="S52" s="64"/>
      <c r="T52" s="64" t="s">
        <v>40</v>
      </c>
      <c r="U52" s="64"/>
      <c r="V52" s="64"/>
      <c r="W52" s="64" t="s">
        <v>40</v>
      </c>
      <c r="X52" s="64"/>
      <c r="Y52" s="64"/>
      <c r="Z52" s="64"/>
      <c r="AA52" s="64"/>
      <c r="AB52" s="64"/>
      <c r="AC52" s="64"/>
      <c r="AD52" s="64"/>
      <c r="AE52" s="64" t="s">
        <v>40</v>
      </c>
      <c r="AF52" s="64"/>
      <c r="AG52" s="64"/>
      <c r="AH52" s="64" t="s">
        <v>40</v>
      </c>
    </row>
    <row r="53" spans="2:36" s="40" customFormat="1" ht="13">
      <c r="B53" s="60" t="s">
        <v>53</v>
      </c>
      <c r="C53" s="61"/>
      <c r="D53" s="62">
        <f>D37+D51</f>
        <v>1528549989519.4749</v>
      </c>
      <c r="E53" s="62">
        <f>E37+E51</f>
        <v>-127488896499.80005</v>
      </c>
      <c r="F53" s="62"/>
      <c r="G53" s="62"/>
      <c r="H53" s="62">
        <f>H37+H51</f>
        <v>1398148597116.6499</v>
      </c>
      <c r="I53" s="62">
        <f>I37+I51</f>
        <v>295532148327.04938</v>
      </c>
      <c r="J53" s="62">
        <f>J37+J51</f>
        <v>149164695675.75</v>
      </c>
      <c r="K53" s="62"/>
      <c r="L53" s="62">
        <f>L37+L51</f>
        <v>462826647027.48584</v>
      </c>
      <c r="M53" s="62">
        <f>M37+M51</f>
        <v>44712233064</v>
      </c>
      <c r="N53" s="62"/>
      <c r="O53" s="62">
        <f>O37+O51</f>
        <v>45291666926.699997</v>
      </c>
      <c r="P53" s="62">
        <f>P37+P51</f>
        <v>183919093116.12549</v>
      </c>
      <c r="Q53" s="62">
        <f>Q37+Q51</f>
        <v>-3260981972.25</v>
      </c>
      <c r="R53" s="62"/>
      <c r="S53" s="62">
        <f>S37+S51</f>
        <v>180658111143.87549</v>
      </c>
      <c r="T53" s="62">
        <f>T37+T51</f>
        <v>235198148606.97528</v>
      </c>
      <c r="U53" s="62"/>
      <c r="V53" s="62">
        <f>V37+V51</f>
        <v>251123708608.16177</v>
      </c>
      <c r="W53" s="62">
        <f>W37+W51</f>
        <v>2581744972.2750001</v>
      </c>
      <c r="X53" s="62"/>
      <c r="Y53" s="62">
        <f>Y37+Y51</f>
        <v>2581744972.2750001</v>
      </c>
      <c r="Z53" s="62"/>
      <c r="AA53" s="62"/>
      <c r="AB53" s="62"/>
      <c r="AC53" s="62"/>
      <c r="AD53" s="62"/>
      <c r="AE53" s="62">
        <f>AE37+AE51</f>
        <v>2340630475794.8979</v>
      </c>
      <c r="AF53" s="62"/>
      <c r="AG53" s="62"/>
      <c r="AH53" s="62">
        <f>AH37+AH51</f>
        <v>878848232513.27502</v>
      </c>
      <c r="AI53" s="593"/>
    </row>
    <row r="54" spans="2:36" ht="13">
      <c r="B54" s="47"/>
      <c r="C54" s="48"/>
      <c r="D54" s="64" t="s">
        <v>40</v>
      </c>
      <c r="E54" s="64" t="s">
        <v>40</v>
      </c>
      <c r="F54" s="64"/>
      <c r="G54" s="64"/>
      <c r="H54" s="64"/>
      <c r="I54" s="64" t="s">
        <v>40</v>
      </c>
      <c r="J54" s="64" t="s">
        <v>40</v>
      </c>
      <c r="K54" s="64"/>
      <c r="L54" s="64"/>
      <c r="M54" s="64" t="s">
        <v>40</v>
      </c>
      <c r="N54" s="64"/>
      <c r="O54" s="64"/>
      <c r="P54" s="64" t="s">
        <v>40</v>
      </c>
      <c r="Q54" s="64" t="s">
        <v>40</v>
      </c>
      <c r="R54" s="64"/>
      <c r="S54" s="64"/>
      <c r="T54" s="64" t="s">
        <v>40</v>
      </c>
      <c r="U54" s="64"/>
      <c r="V54" s="64"/>
      <c r="W54" s="64" t="s">
        <v>40</v>
      </c>
      <c r="X54" s="64"/>
      <c r="Y54" s="64"/>
      <c r="Z54" s="64"/>
      <c r="AA54" s="64"/>
      <c r="AB54" s="64"/>
      <c r="AC54" s="64"/>
      <c r="AD54" s="64"/>
      <c r="AE54" s="64" t="s">
        <v>40</v>
      </c>
      <c r="AF54" s="64"/>
      <c r="AG54" s="64"/>
      <c r="AH54" s="64"/>
    </row>
    <row r="55" spans="2:36" ht="13">
      <c r="B55" s="51" t="s">
        <v>54</v>
      </c>
      <c r="C55" s="52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</row>
    <row r="56" spans="2:36" ht="13">
      <c r="B56" s="53" t="s">
        <v>55</v>
      </c>
      <c r="C56" s="52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</row>
    <row r="57" spans="2:36">
      <c r="B57" s="54" t="s">
        <v>56</v>
      </c>
      <c r="C57" s="52"/>
      <c r="D57" s="49">
        <v>-46943428544</v>
      </c>
      <c r="E57" s="49">
        <v>0</v>
      </c>
      <c r="F57" s="49"/>
      <c r="G57" s="49"/>
      <c r="H57" s="49">
        <f t="shared" ref="H57:H76" si="52">SUM(D57:G57)</f>
        <v>-46943428544</v>
      </c>
      <c r="I57" s="49">
        <v>-15523844205</v>
      </c>
      <c r="J57" s="49">
        <v>15523844205</v>
      </c>
      <c r="K57" s="49"/>
      <c r="L57" s="49">
        <f>SUM(I57:K57)</f>
        <v>0</v>
      </c>
      <c r="M57" s="49">
        <v>0</v>
      </c>
      <c r="N57" s="49"/>
      <c r="O57" s="49">
        <f>SUM(M57:N57)</f>
        <v>0</v>
      </c>
      <c r="P57" s="49">
        <v>-39247030249</v>
      </c>
      <c r="Q57" s="49">
        <v>0</v>
      </c>
      <c r="R57" s="49"/>
      <c r="S57" s="49">
        <f>SUM(P57:R57)</f>
        <v>-39247030249</v>
      </c>
      <c r="T57" s="49">
        <v>-23497929999</v>
      </c>
      <c r="U57" s="49"/>
      <c r="V57" s="49">
        <f>SUM(T57:U57)</f>
        <v>-23497929999</v>
      </c>
      <c r="W57" s="49">
        <v>0</v>
      </c>
      <c r="X57" s="49">
        <v>0</v>
      </c>
      <c r="Y57" s="49">
        <f>SUM(W57:X57)</f>
        <v>0</v>
      </c>
      <c r="Z57" s="49"/>
      <c r="AA57" s="49"/>
      <c r="AB57" s="49"/>
      <c r="AC57" s="49"/>
      <c r="AD57" s="49"/>
      <c r="AE57" s="49">
        <f t="shared" ref="AE57:AE76" si="53">SUM(H57,L57,Z57,AA57,AC57:AD57,O57,S57,V57,Y57,AB57)</f>
        <v>-109688388792</v>
      </c>
      <c r="AF57" s="49"/>
      <c r="AG57" s="49"/>
      <c r="AH57" s="49">
        <f t="shared" ref="AH57:AH76" si="54">ROUND(SUM(AE57:AG57),0)</f>
        <v>-109688388792</v>
      </c>
      <c r="AI57" s="55"/>
      <c r="AJ57" s="55"/>
    </row>
    <row r="58" spans="2:36">
      <c r="B58" s="54" t="s">
        <v>57</v>
      </c>
      <c r="C58" s="52"/>
      <c r="D58" s="68"/>
      <c r="E58" s="68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55"/>
      <c r="AJ58" s="55"/>
    </row>
    <row r="59" spans="2:36">
      <c r="B59" s="56" t="s">
        <v>58</v>
      </c>
      <c r="C59" s="52"/>
      <c r="D59" s="49">
        <v>-19509198216.25</v>
      </c>
      <c r="E59" s="49">
        <v>-346379424</v>
      </c>
      <c r="F59" s="49"/>
      <c r="G59" s="49"/>
      <c r="H59" s="49">
        <f t="shared" si="52"/>
        <v>-19855577640.25</v>
      </c>
      <c r="I59" s="49">
        <v>11359025634</v>
      </c>
      <c r="J59" s="49">
        <v>-14159137597</v>
      </c>
      <c r="K59" s="49"/>
      <c r="L59" s="49">
        <f t="shared" ref="L59:L76" si="55">SUM(I59:K59)</f>
        <v>-2800111963</v>
      </c>
      <c r="M59" s="49">
        <v>0</v>
      </c>
      <c r="N59" s="49">
        <f>'Adjustment Consol'!J75</f>
        <v>-579433862.69999993</v>
      </c>
      <c r="O59" s="49">
        <f t="shared" ref="O59:O60" si="56">SUM(M59:N59)</f>
        <v>-579433862.69999993</v>
      </c>
      <c r="P59" s="49">
        <f>-1184567608-223349175</f>
        <v>-1407916783</v>
      </c>
      <c r="Q59" s="49">
        <f>3006407222+158356800</f>
        <v>3164764022</v>
      </c>
      <c r="R59" s="49"/>
      <c r="S59" s="49">
        <f t="shared" ref="S59:S60" si="57">SUM(P59:R59)</f>
        <v>1756847239</v>
      </c>
      <c r="T59" s="49">
        <v>-68920311050</v>
      </c>
      <c r="U59" s="49"/>
      <c r="V59" s="49">
        <f t="shared" ref="V59:V60" si="58">SUM(T59:U59)</f>
        <v>-68920311050</v>
      </c>
      <c r="W59" s="49">
        <v>-54870465.824999996</v>
      </c>
      <c r="X59" s="49">
        <v>0</v>
      </c>
      <c r="Y59" s="49">
        <f t="shared" ref="Y59:Y60" si="59">SUM(W59:X59)</f>
        <v>-54870465.824999996</v>
      </c>
      <c r="Z59" s="49"/>
      <c r="AA59" s="49"/>
      <c r="AB59" s="49"/>
      <c r="AC59" s="49"/>
      <c r="AD59" s="49"/>
      <c r="AE59" s="49">
        <f t="shared" si="53"/>
        <v>-90453457742.774994</v>
      </c>
      <c r="AF59" s="49"/>
      <c r="AG59" s="49"/>
      <c r="AH59" s="49">
        <f t="shared" si="54"/>
        <v>-90453457743</v>
      </c>
      <c r="AI59" s="55"/>
      <c r="AJ59" s="55"/>
    </row>
    <row r="60" spans="2:36">
      <c r="B60" s="56" t="s">
        <v>59</v>
      </c>
      <c r="C60" s="52"/>
      <c r="D60" s="49">
        <v>0</v>
      </c>
      <c r="E60" s="49">
        <v>-775151124</v>
      </c>
      <c r="F60" s="49"/>
      <c r="G60" s="49">
        <f>'Adjustment Consol'!J25</f>
        <v>-2289691252.7999997</v>
      </c>
      <c r="H60" s="49">
        <f t="shared" si="52"/>
        <v>-3064842376.7999997</v>
      </c>
      <c r="I60" s="49">
        <v>562427707792</v>
      </c>
      <c r="J60" s="49">
        <v>-562427707792</v>
      </c>
      <c r="K60" s="49"/>
      <c r="L60" s="49">
        <f t="shared" si="55"/>
        <v>0</v>
      </c>
      <c r="M60" s="49">
        <v>0</v>
      </c>
      <c r="N60" s="49"/>
      <c r="O60" s="49">
        <f t="shared" si="56"/>
        <v>0</v>
      </c>
      <c r="P60" s="49">
        <v>-67473000</v>
      </c>
      <c r="Q60" s="49">
        <v>0</v>
      </c>
      <c r="R60" s="49"/>
      <c r="S60" s="49">
        <f t="shared" si="57"/>
        <v>-67473000</v>
      </c>
      <c r="T60" s="49">
        <v>0</v>
      </c>
      <c r="U60" s="49"/>
      <c r="V60" s="49">
        <f t="shared" si="58"/>
        <v>0</v>
      </c>
      <c r="W60" s="49">
        <v>0</v>
      </c>
      <c r="X60" s="49">
        <v>0</v>
      </c>
      <c r="Y60" s="49">
        <f t="shared" si="59"/>
        <v>0</v>
      </c>
      <c r="Z60" s="49"/>
      <c r="AA60" s="49"/>
      <c r="AB60" s="49"/>
      <c r="AC60" s="49"/>
      <c r="AD60" s="49"/>
      <c r="AE60" s="49">
        <f t="shared" si="53"/>
        <v>-3132315376.7999997</v>
      </c>
      <c r="AF60" s="49"/>
      <c r="AG60" s="69"/>
      <c r="AH60" s="49">
        <f t="shared" si="54"/>
        <v>-3132315377</v>
      </c>
      <c r="AI60" s="55"/>
      <c r="AJ60" s="55"/>
    </row>
    <row r="61" spans="2:36">
      <c r="B61" s="54" t="s">
        <v>60</v>
      </c>
      <c r="C61" s="52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55"/>
      <c r="AJ61" s="55"/>
    </row>
    <row r="62" spans="2:36">
      <c r="B62" s="56" t="s">
        <v>61</v>
      </c>
      <c r="C62" s="52"/>
      <c r="D62" s="49">
        <v>-23570578229</v>
      </c>
      <c r="E62" s="49">
        <v>13365595881</v>
      </c>
      <c r="F62" s="49"/>
      <c r="G62" s="49"/>
      <c r="H62" s="49">
        <f t="shared" si="52"/>
        <v>-10204982348</v>
      </c>
      <c r="I62" s="49">
        <v>-36323317490</v>
      </c>
      <c r="J62" s="49">
        <v>13897531496</v>
      </c>
      <c r="K62" s="49"/>
      <c r="L62" s="49">
        <f t="shared" si="55"/>
        <v>-22425785994</v>
      </c>
      <c r="M62" s="49">
        <v>-1538442357</v>
      </c>
      <c r="N62" s="49">
        <f>-N101</f>
        <v>-289441435.42500019</v>
      </c>
      <c r="O62" s="49">
        <f t="shared" ref="O62:O66" si="60">SUM(M62:N62)</f>
        <v>-1827883792.4250002</v>
      </c>
      <c r="P62" s="49">
        <v>-3708612087</v>
      </c>
      <c r="Q62" s="49">
        <v>363640024</v>
      </c>
      <c r="R62" s="49"/>
      <c r="S62" s="49">
        <f t="shared" ref="S62:S66" si="61">SUM(P62:R62)</f>
        <v>-3344972063</v>
      </c>
      <c r="T62" s="49">
        <v>12710962077</v>
      </c>
      <c r="U62" s="49"/>
      <c r="V62" s="49">
        <f t="shared" ref="V62:V66" si="62">SUM(T62:U62)</f>
        <v>12710962077</v>
      </c>
      <c r="W62" s="49">
        <v>-1303411337.55</v>
      </c>
      <c r="X62" s="49">
        <v>0</v>
      </c>
      <c r="Y62" s="49">
        <f t="shared" ref="Y62:Y66" si="63">SUM(W62:X62)</f>
        <v>-1303411337.55</v>
      </c>
      <c r="Z62" s="49"/>
      <c r="AA62" s="49"/>
      <c r="AB62" s="49"/>
      <c r="AC62" s="49"/>
      <c r="AD62" s="49"/>
      <c r="AE62" s="49">
        <f t="shared" si="53"/>
        <v>-26396073457.975002</v>
      </c>
      <c r="AF62" s="49"/>
      <c r="AG62" s="49"/>
      <c r="AH62" s="49">
        <f t="shared" si="54"/>
        <v>-26396073458</v>
      </c>
      <c r="AI62" s="55"/>
      <c r="AJ62" s="55"/>
    </row>
    <row r="63" spans="2:36">
      <c r="B63" s="56" t="s">
        <v>62</v>
      </c>
      <c r="C63" s="52"/>
      <c r="D63" s="49">
        <v>-65017402</v>
      </c>
      <c r="E63" s="49">
        <v>-24115768113</v>
      </c>
      <c r="F63" s="49"/>
      <c r="G63" s="49">
        <f>'Adjustment Consol'!J34</f>
        <v>-3531586108.0499997</v>
      </c>
      <c r="H63" s="49">
        <f t="shared" si="52"/>
        <v>-27712371623.049999</v>
      </c>
      <c r="I63" s="49">
        <v>-21605108</v>
      </c>
      <c r="J63" s="49">
        <v>0</v>
      </c>
      <c r="K63" s="49">
        <f>'Adjustment Consol'!J53</f>
        <v>-2142168528.1499999</v>
      </c>
      <c r="L63" s="49">
        <f t="shared" si="55"/>
        <v>-2163773636.1499996</v>
      </c>
      <c r="M63" s="49">
        <v>0</v>
      </c>
      <c r="N63" s="49"/>
      <c r="O63" s="49">
        <f t="shared" si="60"/>
        <v>0</v>
      </c>
      <c r="P63" s="49">
        <v>-6871273</v>
      </c>
      <c r="Q63" s="49">
        <v>-16978511147</v>
      </c>
      <c r="R63" s="49"/>
      <c r="S63" s="49">
        <f t="shared" si="61"/>
        <v>-16985382420</v>
      </c>
      <c r="T63" s="49">
        <v>-9535163807</v>
      </c>
      <c r="U63" s="49"/>
      <c r="V63" s="49">
        <f t="shared" si="62"/>
        <v>-9535163807</v>
      </c>
      <c r="W63" s="49">
        <v>0</v>
      </c>
      <c r="X63" s="49">
        <v>0</v>
      </c>
      <c r="Y63" s="49">
        <f t="shared" si="63"/>
        <v>0</v>
      </c>
      <c r="Z63" s="49"/>
      <c r="AA63" s="49"/>
      <c r="AB63" s="49"/>
      <c r="AC63" s="49"/>
      <c r="AD63" s="49"/>
      <c r="AE63" s="49">
        <f t="shared" si="53"/>
        <v>-56396691486.199997</v>
      </c>
      <c r="AF63" s="49">
        <f>'Elimination 2024'!G122+SUM('Elimination 2024'!G149,'Elimination 2024'!G152,'Elimination 2024'!G155,'Elimination 2024'!G158,'Elimination 2024'!G161)</f>
        <v>54740017631.769753</v>
      </c>
      <c r="AG63" s="49"/>
      <c r="AH63" s="49">
        <f t="shared" si="54"/>
        <v>-1656673854</v>
      </c>
      <c r="AI63" s="55"/>
      <c r="AJ63" s="55"/>
    </row>
    <row r="64" spans="2:36">
      <c r="B64" s="54" t="s">
        <v>63</v>
      </c>
      <c r="C64" s="52"/>
      <c r="D64" s="49">
        <v>2790907089</v>
      </c>
      <c r="E64" s="49">
        <v>-2817573912</v>
      </c>
      <c r="F64" s="49"/>
      <c r="G64" s="49"/>
      <c r="H64" s="49">
        <f t="shared" si="52"/>
        <v>-26666823</v>
      </c>
      <c r="I64" s="49">
        <v>-2190537514</v>
      </c>
      <c r="J64" s="49">
        <v>619218404</v>
      </c>
      <c r="K64" s="49"/>
      <c r="L64" s="49">
        <f t="shared" si="55"/>
        <v>-1571319110</v>
      </c>
      <c r="M64" s="49">
        <v>0</v>
      </c>
      <c r="N64" s="49"/>
      <c r="O64" s="49">
        <f t="shared" si="60"/>
        <v>0</v>
      </c>
      <c r="P64" s="49">
        <v>0</v>
      </c>
      <c r="Q64" s="49">
        <v>0</v>
      </c>
      <c r="R64" s="49"/>
      <c r="S64" s="49">
        <f t="shared" si="61"/>
        <v>0</v>
      </c>
      <c r="T64" s="49">
        <v>0</v>
      </c>
      <c r="U64" s="49"/>
      <c r="V64" s="49">
        <f t="shared" si="62"/>
        <v>0</v>
      </c>
      <c r="W64" s="49">
        <v>0</v>
      </c>
      <c r="X64" s="49">
        <v>0</v>
      </c>
      <c r="Y64" s="49">
        <f t="shared" si="63"/>
        <v>0</v>
      </c>
      <c r="Z64" s="49"/>
      <c r="AA64" s="49"/>
      <c r="AB64" s="49"/>
      <c r="AC64" s="49"/>
      <c r="AD64" s="49"/>
      <c r="AE64" s="49">
        <f t="shared" si="53"/>
        <v>-1597985933</v>
      </c>
      <c r="AF64" s="49"/>
      <c r="AG64" s="49"/>
      <c r="AH64" s="49">
        <f t="shared" si="54"/>
        <v>-1597985933</v>
      </c>
      <c r="AI64" s="55"/>
      <c r="AJ64" s="55"/>
    </row>
    <row r="65" spans="2:36">
      <c r="B65" s="54" t="s">
        <v>64</v>
      </c>
      <c r="C65" s="52"/>
      <c r="D65" s="49">
        <v>754361138</v>
      </c>
      <c r="E65" s="49">
        <v>-1449438162</v>
      </c>
      <c r="F65" s="49"/>
      <c r="G65" s="49"/>
      <c r="H65" s="49">
        <f t="shared" si="52"/>
        <v>-695077024</v>
      </c>
      <c r="I65" s="49">
        <v>1641417929</v>
      </c>
      <c r="J65" s="49">
        <v>-322309542</v>
      </c>
      <c r="K65" s="49"/>
      <c r="L65" s="49">
        <f t="shared" si="55"/>
        <v>1319108387</v>
      </c>
      <c r="M65" s="49">
        <v>-379032447</v>
      </c>
      <c r="N65" s="49"/>
      <c r="O65" s="49">
        <f t="shared" si="60"/>
        <v>-379032447</v>
      </c>
      <c r="P65" s="49">
        <v>-377730535</v>
      </c>
      <c r="Q65" s="49">
        <v>242656293</v>
      </c>
      <c r="R65" s="49"/>
      <c r="S65" s="49">
        <f t="shared" si="61"/>
        <v>-135074242</v>
      </c>
      <c r="T65" s="49">
        <v>-401782194</v>
      </c>
      <c r="U65" s="49"/>
      <c r="V65" s="49">
        <f t="shared" si="62"/>
        <v>-401782194</v>
      </c>
      <c r="W65" s="49">
        <v>-59343864.299999997</v>
      </c>
      <c r="X65" s="49">
        <v>0</v>
      </c>
      <c r="Y65" s="49">
        <f t="shared" si="63"/>
        <v>-59343864.299999997</v>
      </c>
      <c r="Z65" s="49"/>
      <c r="AA65" s="49"/>
      <c r="AB65" s="49"/>
      <c r="AC65" s="49"/>
      <c r="AD65" s="49"/>
      <c r="AE65" s="49">
        <f t="shared" si="53"/>
        <v>-351201384.30000001</v>
      </c>
      <c r="AF65" s="49"/>
      <c r="AG65" s="49"/>
      <c r="AH65" s="49">
        <f t="shared" si="54"/>
        <v>-351201384</v>
      </c>
      <c r="AI65" s="55"/>
      <c r="AJ65" s="55"/>
    </row>
    <row r="66" spans="2:36">
      <c r="B66" s="54" t="s">
        <v>65</v>
      </c>
      <c r="C66" s="52"/>
      <c r="D66" s="49">
        <v>-157149021046</v>
      </c>
      <c r="E66" s="49">
        <v>136665061717</v>
      </c>
      <c r="F66" s="49"/>
      <c r="G66" s="49">
        <f>'Adjustment Consol'!J16+'Adjustment Consol'!J19+'Adjustment Consol'!J13</f>
        <v>-10637191252.799999</v>
      </c>
      <c r="H66" s="49">
        <f t="shared" si="52"/>
        <v>-31121150581.799999</v>
      </c>
      <c r="I66" s="49">
        <v>-603276477415</v>
      </c>
      <c r="J66" s="49">
        <v>-406567657574</v>
      </c>
      <c r="K66" s="49">
        <f>'Adjustment Consol'!J46</f>
        <v>-15925560001.186502</v>
      </c>
      <c r="L66" s="49">
        <f t="shared" si="55"/>
        <v>-1025769694990.1865</v>
      </c>
      <c r="M66" s="49">
        <v>-37542606781</v>
      </c>
      <c r="N66" s="49"/>
      <c r="O66" s="49">
        <f t="shared" si="60"/>
        <v>-37542606781</v>
      </c>
      <c r="P66" s="49">
        <v>-735738971</v>
      </c>
      <c r="Q66" s="49">
        <v>-129243390324</v>
      </c>
      <c r="R66" s="49"/>
      <c r="S66" s="49">
        <f t="shared" si="61"/>
        <v>-129979129295</v>
      </c>
      <c r="T66" s="49">
        <v>-169694347759</v>
      </c>
      <c r="U66" s="49">
        <f>'Adjustment Consol'!J78</f>
        <v>-15925560001.186502</v>
      </c>
      <c r="V66" s="49">
        <f t="shared" si="62"/>
        <v>-185619907760.18649</v>
      </c>
      <c r="W66" s="49">
        <v>-7875000</v>
      </c>
      <c r="X66" s="49">
        <v>-239400000</v>
      </c>
      <c r="Y66" s="49">
        <f t="shared" si="63"/>
        <v>-247275000</v>
      </c>
      <c r="Z66" s="49"/>
      <c r="AA66" s="49"/>
      <c r="AB66" s="49"/>
      <c r="AC66" s="49"/>
      <c r="AD66" s="49"/>
      <c r="AE66" s="49">
        <f t="shared" si="53"/>
        <v>-1410279764408.1731</v>
      </c>
      <c r="AF66" s="49">
        <f>'Elimination 2024'!G72+'Elimination 2024'!G75+'Elimination 2024'!G78+'Elimination 2024'!G81+'Elimination 2024'!G86++'Elimination 2024'!G89+'Elimination 2024'!G92+'Elimination 2024'!G95+'Elimination 2024'!G98+'Elimination 2024'!G101++'Elimination 2024'!G104+'Elimination 2024'!G107+'Elimination 2024'!G110+'Elimination 2024'!G113+'Elimination 2024'!G116+'Elimination 2024'!G119</f>
        <v>1337562406101.9749</v>
      </c>
      <c r="AG66" s="49">
        <f>'Elimination 2024'!H83</f>
        <v>-9124026906.5646496</v>
      </c>
      <c r="AH66" s="49">
        <f t="shared" si="54"/>
        <v>-81841385213</v>
      </c>
      <c r="AI66" s="55"/>
      <c r="AJ66" s="55"/>
    </row>
    <row r="67" spans="2:36">
      <c r="B67" s="54" t="s">
        <v>66</v>
      </c>
      <c r="C67" s="52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55"/>
      <c r="AJ67" s="55"/>
    </row>
    <row r="68" spans="2:36">
      <c r="B68" s="56" t="s">
        <v>67</v>
      </c>
      <c r="C68" s="52"/>
      <c r="D68" s="49">
        <v>0</v>
      </c>
      <c r="E68" s="49">
        <v>0</v>
      </c>
      <c r="F68" s="49"/>
      <c r="G68" s="49">
        <f>'Adjustment Consol'!G76</f>
        <v>0</v>
      </c>
      <c r="H68" s="49">
        <f t="shared" ref="H68" si="64">SUM(D68:G68)</f>
        <v>0</v>
      </c>
      <c r="I68" s="49">
        <v>0</v>
      </c>
      <c r="J68" s="49">
        <v>0</v>
      </c>
      <c r="K68" s="49"/>
      <c r="L68" s="49">
        <f t="shared" ref="L68:L71" si="65">SUM(I68:K68)</f>
        <v>0</v>
      </c>
      <c r="M68" s="49">
        <v>0</v>
      </c>
      <c r="N68" s="49"/>
      <c r="O68" s="49">
        <f t="shared" ref="O68:O71" si="66">SUM(M68:N68)</f>
        <v>0</v>
      </c>
      <c r="P68" s="49">
        <v>104465326</v>
      </c>
      <c r="Q68" s="49">
        <v>-6716976821</v>
      </c>
      <c r="R68" s="49"/>
      <c r="S68" s="49">
        <f t="shared" ref="S68:S76" si="67">SUM(P68:R68)</f>
        <v>-6612511495</v>
      </c>
      <c r="T68" s="49">
        <v>0</v>
      </c>
      <c r="U68" s="49"/>
      <c r="V68" s="49">
        <f t="shared" ref="V68:V71" si="68">SUM(T68:U68)</f>
        <v>0</v>
      </c>
      <c r="W68" s="49">
        <v>0</v>
      </c>
      <c r="X68" s="49">
        <v>0</v>
      </c>
      <c r="Y68" s="49">
        <f t="shared" ref="Y68:Y76" si="69">SUM(W68:X68)</f>
        <v>0</v>
      </c>
      <c r="Z68" s="49"/>
      <c r="AA68" s="49"/>
      <c r="AB68" s="49"/>
      <c r="AC68" s="49"/>
      <c r="AD68" s="49"/>
      <c r="AE68" s="49">
        <f t="shared" si="53"/>
        <v>-6612511495</v>
      </c>
      <c r="AF68" s="49"/>
      <c r="AG68" s="49"/>
      <c r="AH68" s="49">
        <f t="shared" si="54"/>
        <v>-6612511495</v>
      </c>
      <c r="AI68" s="55"/>
      <c r="AJ68" s="55"/>
    </row>
    <row r="69" spans="2:36">
      <c r="B69" s="56" t="s">
        <v>68</v>
      </c>
      <c r="C69" s="52"/>
      <c r="D69" s="49">
        <v>-1130613.75</v>
      </c>
      <c r="E69" s="49">
        <v>-46093950</v>
      </c>
      <c r="F69" s="49"/>
      <c r="G69" s="49"/>
      <c r="H69" s="49">
        <f t="shared" ref="H69" si="70">SUM(D69:G69)</f>
        <v>-47224563.75</v>
      </c>
      <c r="I69" s="49">
        <f>-14285797676--17351817049.224</f>
        <v>3066019373.223999</v>
      </c>
      <c r="J69" s="49">
        <v>-3066019373</v>
      </c>
      <c r="K69" s="49">
        <v>0</v>
      </c>
      <c r="L69" s="49">
        <f t="shared" si="65"/>
        <v>0.2239990234375</v>
      </c>
      <c r="M69" s="49">
        <v>0</v>
      </c>
      <c r="N69" s="49"/>
      <c r="O69" s="49">
        <f t="shared" si="66"/>
        <v>0</v>
      </c>
      <c r="P69" s="49">
        <f>-5344262167--223349175</f>
        <v>-5120912992</v>
      </c>
      <c r="Q69" s="49">
        <v>0</v>
      </c>
      <c r="R69" s="49"/>
      <c r="S69" s="49">
        <f t="shared" si="67"/>
        <v>-5120912992</v>
      </c>
      <c r="T69" s="49">
        <v>-30256823164</v>
      </c>
      <c r="U69" s="49">
        <f>-U102</f>
        <v>-28711285630.649998</v>
      </c>
      <c r="V69" s="49">
        <f t="shared" si="68"/>
        <v>-58968108794.649994</v>
      </c>
      <c r="W69" s="49">
        <v>0</v>
      </c>
      <c r="X69" s="49">
        <v>0</v>
      </c>
      <c r="Y69" s="49">
        <f t="shared" si="69"/>
        <v>0</v>
      </c>
      <c r="Z69" s="49"/>
      <c r="AA69" s="49"/>
      <c r="AB69" s="49"/>
      <c r="AC69" s="49"/>
      <c r="AD69" s="49"/>
      <c r="AE69" s="49">
        <f t="shared" si="53"/>
        <v>-64136246350.175995</v>
      </c>
      <c r="AF69" s="49">
        <f>'Elimination 2024'!G146+'Elimination 2024'!G143+'Elimination 2024'!G164+'Elimination 2024'!G140</f>
        <v>64090152398.474998</v>
      </c>
      <c r="AG69" s="49"/>
      <c r="AH69" s="49">
        <f t="shared" si="54"/>
        <v>-46093952</v>
      </c>
      <c r="AI69" s="55"/>
      <c r="AJ69" s="55"/>
    </row>
    <row r="70" spans="2:36">
      <c r="B70" s="70" t="s">
        <v>69</v>
      </c>
      <c r="C70" s="71"/>
      <c r="D70" s="49">
        <v>0</v>
      </c>
      <c r="E70" s="49">
        <v>0</v>
      </c>
      <c r="F70" s="49"/>
      <c r="G70" s="49"/>
      <c r="H70" s="49">
        <f t="shared" ref="H70" si="71">SUM(D70:G70)</f>
        <v>0</v>
      </c>
      <c r="I70" s="49">
        <v>0</v>
      </c>
      <c r="J70" s="49">
        <v>0</v>
      </c>
      <c r="K70" s="49"/>
      <c r="L70" s="49">
        <f t="shared" ref="L70" si="72">SUM(I70:K70)</f>
        <v>0</v>
      </c>
      <c r="M70" s="49">
        <v>0</v>
      </c>
      <c r="N70" s="49"/>
      <c r="O70" s="49">
        <f t="shared" ref="O70" si="73">SUM(M70:N70)</f>
        <v>0</v>
      </c>
      <c r="P70" s="49">
        <v>0</v>
      </c>
      <c r="Q70" s="49">
        <v>0</v>
      </c>
      <c r="R70" s="49"/>
      <c r="S70" s="49">
        <f t="shared" ref="S70" si="74">SUM(P70:R70)</f>
        <v>0</v>
      </c>
      <c r="T70" s="49">
        <v>0</v>
      </c>
      <c r="U70" s="49"/>
      <c r="V70" s="49">
        <f t="shared" si="68"/>
        <v>0</v>
      </c>
      <c r="W70" s="49">
        <v>0</v>
      </c>
      <c r="X70" s="49">
        <v>0</v>
      </c>
      <c r="Y70" s="49">
        <f t="shared" si="69"/>
        <v>0</v>
      </c>
      <c r="Z70" s="49"/>
      <c r="AA70" s="49"/>
      <c r="AB70" s="49"/>
      <c r="AC70" s="49"/>
      <c r="AD70" s="49"/>
      <c r="AE70" s="49">
        <f t="shared" ref="AE70" si="75">ROUND(SUM(H70,L70,Z70,AA70,AC70:AD70,O70,S70,V70,Y70,AB70),0)</f>
        <v>0</v>
      </c>
      <c r="AF70" s="49"/>
      <c r="AG70" s="49"/>
      <c r="AH70" s="49">
        <f t="shared" si="54"/>
        <v>0</v>
      </c>
      <c r="AI70" s="55"/>
      <c r="AJ70" s="55"/>
    </row>
    <row r="71" spans="2:36">
      <c r="B71" s="70" t="s">
        <v>70</v>
      </c>
      <c r="C71" s="71"/>
      <c r="D71" s="49">
        <v>0</v>
      </c>
      <c r="E71" s="49">
        <v>0</v>
      </c>
      <c r="F71" s="49"/>
      <c r="G71" s="49"/>
      <c r="H71" s="49">
        <f t="shared" ref="H71" si="76">SUM(D71:G71)</f>
        <v>0</v>
      </c>
      <c r="I71" s="49">
        <v>0</v>
      </c>
      <c r="J71" s="49">
        <v>0</v>
      </c>
      <c r="K71" s="49"/>
      <c r="L71" s="49">
        <f t="shared" si="65"/>
        <v>0</v>
      </c>
      <c r="M71" s="49"/>
      <c r="N71" s="49"/>
      <c r="O71" s="49">
        <f t="shared" si="66"/>
        <v>0</v>
      </c>
      <c r="P71" s="49">
        <v>0</v>
      </c>
      <c r="Q71" s="49">
        <v>0</v>
      </c>
      <c r="R71" s="49"/>
      <c r="S71" s="49">
        <f t="shared" si="67"/>
        <v>0</v>
      </c>
      <c r="T71" s="49">
        <v>0</v>
      </c>
      <c r="U71" s="49"/>
      <c r="V71" s="49">
        <f t="shared" si="68"/>
        <v>0</v>
      </c>
      <c r="W71" s="49">
        <v>0</v>
      </c>
      <c r="X71" s="49">
        <v>0</v>
      </c>
      <c r="Y71" s="49">
        <f t="shared" si="69"/>
        <v>0</v>
      </c>
      <c r="Z71" s="49"/>
      <c r="AA71" s="49"/>
      <c r="AB71" s="49"/>
      <c r="AC71" s="49"/>
      <c r="AD71" s="49"/>
      <c r="AE71" s="49">
        <f t="shared" si="53"/>
        <v>0</v>
      </c>
      <c r="AF71" s="49"/>
      <c r="AG71" s="49"/>
      <c r="AH71" s="49">
        <f t="shared" si="54"/>
        <v>0</v>
      </c>
      <c r="AI71" s="55"/>
      <c r="AJ71" s="55"/>
    </row>
    <row r="72" spans="2:36">
      <c r="B72" s="70" t="s">
        <v>71</v>
      </c>
      <c r="C72" s="71"/>
      <c r="D72" s="49">
        <v>0</v>
      </c>
      <c r="E72" s="49">
        <v>0</v>
      </c>
      <c r="F72" s="49"/>
      <c r="G72" s="49"/>
      <c r="H72" s="49">
        <f t="shared" si="52"/>
        <v>0</v>
      </c>
      <c r="I72" s="49">
        <v>-6289708320</v>
      </c>
      <c r="J72" s="49">
        <v>6289708320</v>
      </c>
      <c r="K72" s="49"/>
      <c r="L72" s="49">
        <f t="shared" si="55"/>
        <v>0</v>
      </c>
      <c r="M72" s="49">
        <v>0</v>
      </c>
      <c r="N72" s="49"/>
      <c r="O72" s="49">
        <f t="shared" ref="O72:O73" si="77">SUM(M72:N72)</f>
        <v>0</v>
      </c>
      <c r="P72" s="49">
        <v>0</v>
      </c>
      <c r="Q72" s="49">
        <v>0</v>
      </c>
      <c r="R72" s="49"/>
      <c r="S72" s="49">
        <f t="shared" si="67"/>
        <v>0</v>
      </c>
      <c r="T72" s="49"/>
      <c r="U72" s="49"/>
      <c r="V72" s="49">
        <f t="shared" ref="V72:V73" si="78">SUM(T72:U72)</f>
        <v>0</v>
      </c>
      <c r="W72" s="49">
        <v>0</v>
      </c>
      <c r="X72" s="49">
        <v>0</v>
      </c>
      <c r="Y72" s="49">
        <f t="shared" si="69"/>
        <v>0</v>
      </c>
      <c r="Z72" s="49"/>
      <c r="AA72" s="49"/>
      <c r="AB72" s="49"/>
      <c r="AC72" s="49"/>
      <c r="AD72" s="49"/>
      <c r="AE72" s="49">
        <f t="shared" si="53"/>
        <v>0</v>
      </c>
      <c r="AF72" s="49"/>
      <c r="AG72" s="49"/>
      <c r="AH72" s="49">
        <f t="shared" si="54"/>
        <v>0</v>
      </c>
      <c r="AI72" s="55"/>
      <c r="AJ72" s="55"/>
    </row>
    <row r="73" spans="2:36">
      <c r="B73" s="70" t="s">
        <v>72</v>
      </c>
      <c r="C73" s="71"/>
      <c r="D73" s="49">
        <v>0</v>
      </c>
      <c r="E73" s="49"/>
      <c r="F73" s="49"/>
      <c r="G73" s="49"/>
      <c r="H73" s="49">
        <f t="shared" si="52"/>
        <v>0</v>
      </c>
      <c r="I73" s="49">
        <v>0</v>
      </c>
      <c r="J73" s="49">
        <v>0</v>
      </c>
      <c r="K73" s="49"/>
      <c r="L73" s="49">
        <f t="shared" si="55"/>
        <v>0</v>
      </c>
      <c r="M73" s="49">
        <v>0</v>
      </c>
      <c r="N73" s="49"/>
      <c r="O73" s="49">
        <f t="shared" si="77"/>
        <v>0</v>
      </c>
      <c r="P73" s="49">
        <v>-78750000</v>
      </c>
      <c r="Q73" s="49">
        <v>78750000</v>
      </c>
      <c r="R73" s="49"/>
      <c r="S73" s="49">
        <f t="shared" si="67"/>
        <v>0</v>
      </c>
      <c r="T73" s="49">
        <v>0</v>
      </c>
      <c r="U73" s="49"/>
      <c r="V73" s="49">
        <f t="shared" si="78"/>
        <v>0</v>
      </c>
      <c r="W73" s="49">
        <v>0</v>
      </c>
      <c r="X73" s="49">
        <v>0</v>
      </c>
      <c r="Y73" s="49">
        <f t="shared" si="69"/>
        <v>0</v>
      </c>
      <c r="Z73" s="49"/>
      <c r="AA73" s="49"/>
      <c r="AB73" s="49"/>
      <c r="AC73" s="49"/>
      <c r="AD73" s="49"/>
      <c r="AE73" s="49">
        <f t="shared" si="53"/>
        <v>0</v>
      </c>
      <c r="AF73" s="49"/>
      <c r="AG73" s="49"/>
      <c r="AH73" s="49">
        <f t="shared" si="54"/>
        <v>0</v>
      </c>
      <c r="AI73" s="55"/>
      <c r="AJ73" s="55"/>
    </row>
    <row r="74" spans="2:36">
      <c r="B74" s="54" t="s">
        <v>73</v>
      </c>
      <c r="C74" s="52"/>
      <c r="D74" s="49">
        <v>0</v>
      </c>
      <c r="E74" s="49">
        <v>0</v>
      </c>
      <c r="F74" s="49"/>
      <c r="G74" s="49"/>
      <c r="H74" s="49">
        <f t="shared" ref="H74" si="79">SUM(D74:G74)</f>
        <v>0</v>
      </c>
      <c r="I74" s="49">
        <v>-19188165377</v>
      </c>
      <c r="J74" s="49">
        <v>-2508611148</v>
      </c>
      <c r="K74" s="49"/>
      <c r="L74" s="49">
        <f t="shared" ref="L74" si="80">SUM(I74:K74)</f>
        <v>-21696776525</v>
      </c>
      <c r="M74" s="49">
        <v>0</v>
      </c>
      <c r="N74" s="49"/>
      <c r="O74" s="49">
        <f t="shared" ref="O74" si="81">SUM(M74:N74)</f>
        <v>0</v>
      </c>
      <c r="P74" s="49">
        <v>-327908914</v>
      </c>
      <c r="Q74" s="49">
        <v>0</v>
      </c>
      <c r="R74" s="49"/>
      <c r="S74" s="49">
        <f t="shared" si="67"/>
        <v>-327908914</v>
      </c>
      <c r="T74" s="49">
        <v>0</v>
      </c>
      <c r="U74" s="49"/>
      <c r="V74" s="49">
        <f t="shared" ref="V74" si="82">SUM(T74:U74)</f>
        <v>0</v>
      </c>
      <c r="W74" s="49">
        <v>0</v>
      </c>
      <c r="X74" s="49">
        <v>0</v>
      </c>
      <c r="Y74" s="49">
        <f t="shared" si="69"/>
        <v>0</v>
      </c>
      <c r="Z74" s="49"/>
      <c r="AA74" s="49"/>
      <c r="AB74" s="49"/>
      <c r="AC74" s="49"/>
      <c r="AD74" s="49"/>
      <c r="AE74" s="49">
        <f t="shared" si="53"/>
        <v>-22024685439</v>
      </c>
      <c r="AF74" s="49"/>
      <c r="AG74" s="49"/>
      <c r="AH74" s="49">
        <f t="shared" si="54"/>
        <v>-22024685439</v>
      </c>
      <c r="AI74" s="55"/>
      <c r="AJ74" s="55"/>
    </row>
    <row r="75" spans="2:36">
      <c r="B75" s="54" t="s">
        <v>74</v>
      </c>
      <c r="C75" s="52"/>
      <c r="D75" s="49">
        <v>0</v>
      </c>
      <c r="E75" s="49">
        <v>0</v>
      </c>
      <c r="F75" s="49"/>
      <c r="G75" s="49"/>
      <c r="H75" s="49">
        <f t="shared" si="52"/>
        <v>0</v>
      </c>
      <c r="I75" s="49">
        <v>-57438550501</v>
      </c>
      <c r="J75" s="49">
        <v>19669278189</v>
      </c>
      <c r="K75" s="49"/>
      <c r="L75" s="49">
        <f t="shared" si="55"/>
        <v>-37769272312</v>
      </c>
      <c r="M75" s="49">
        <v>-2337553728</v>
      </c>
      <c r="N75" s="49"/>
      <c r="O75" s="49">
        <f t="shared" ref="O75:O76" si="83">SUM(M75:N75)</f>
        <v>-2337553728</v>
      </c>
      <c r="P75" s="49">
        <v>0</v>
      </c>
      <c r="Q75" s="49">
        <v>0</v>
      </c>
      <c r="R75" s="49"/>
      <c r="S75" s="49">
        <f t="shared" si="67"/>
        <v>0</v>
      </c>
      <c r="T75" s="49">
        <v>-4139900766</v>
      </c>
      <c r="U75" s="49"/>
      <c r="V75" s="49">
        <f t="shared" ref="V75:V76" si="84">SUM(T75:U75)</f>
        <v>-4139900766</v>
      </c>
      <c r="W75" s="49">
        <v>0</v>
      </c>
      <c r="X75" s="49">
        <v>0</v>
      </c>
      <c r="Y75" s="49">
        <f t="shared" si="69"/>
        <v>0</v>
      </c>
      <c r="Z75" s="49"/>
      <c r="AA75" s="49"/>
      <c r="AB75" s="49"/>
      <c r="AC75" s="49"/>
      <c r="AD75" s="49"/>
      <c r="AE75" s="49">
        <f t="shared" si="53"/>
        <v>-44246726806</v>
      </c>
      <c r="AF75" s="49"/>
      <c r="AG75" s="49"/>
      <c r="AH75" s="49">
        <f t="shared" si="54"/>
        <v>-44246726806</v>
      </c>
      <c r="AI75" s="55"/>
      <c r="AJ75" s="55"/>
    </row>
    <row r="76" spans="2:36">
      <c r="B76" s="54" t="s">
        <v>75</v>
      </c>
      <c r="C76" s="52"/>
      <c r="D76" s="49">
        <v>0</v>
      </c>
      <c r="E76" s="49">
        <v>0</v>
      </c>
      <c r="F76" s="49"/>
      <c r="G76" s="49"/>
      <c r="H76" s="49">
        <f t="shared" si="52"/>
        <v>0</v>
      </c>
      <c r="I76" s="49">
        <v>0</v>
      </c>
      <c r="J76" s="49">
        <v>0</v>
      </c>
      <c r="K76" s="49"/>
      <c r="L76" s="49">
        <f t="shared" si="55"/>
        <v>0</v>
      </c>
      <c r="M76" s="49">
        <v>0</v>
      </c>
      <c r="N76" s="49"/>
      <c r="O76" s="49">
        <f t="shared" si="83"/>
        <v>0</v>
      </c>
      <c r="P76" s="49">
        <v>0</v>
      </c>
      <c r="Q76" s="49">
        <v>0</v>
      </c>
      <c r="R76" s="49"/>
      <c r="S76" s="49">
        <f t="shared" si="67"/>
        <v>0</v>
      </c>
      <c r="T76" s="49">
        <v>0</v>
      </c>
      <c r="U76" s="49"/>
      <c r="V76" s="49">
        <f t="shared" si="84"/>
        <v>0</v>
      </c>
      <c r="W76" s="49">
        <v>0</v>
      </c>
      <c r="X76" s="49">
        <v>0</v>
      </c>
      <c r="Y76" s="49">
        <f t="shared" si="69"/>
        <v>0</v>
      </c>
      <c r="Z76" s="49"/>
      <c r="AA76" s="49"/>
      <c r="AB76" s="49"/>
      <c r="AC76" s="49"/>
      <c r="AD76" s="49"/>
      <c r="AE76" s="49">
        <f t="shared" si="53"/>
        <v>0</v>
      </c>
      <c r="AF76" s="49"/>
      <c r="AG76" s="49"/>
      <c r="AH76" s="49">
        <f t="shared" si="54"/>
        <v>0</v>
      </c>
      <c r="AI76" s="55"/>
      <c r="AJ76" s="55"/>
    </row>
    <row r="77" spans="2:36">
      <c r="B77" s="54"/>
      <c r="C77" s="52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72"/>
      <c r="AI77" s="28"/>
    </row>
    <row r="78" spans="2:36" s="40" customFormat="1" ht="13">
      <c r="B78" s="60" t="s">
        <v>76</v>
      </c>
      <c r="C78" s="61"/>
      <c r="D78" s="73">
        <f>SUM(D57:D76)</f>
        <v>-243693105824</v>
      </c>
      <c r="E78" s="73">
        <f>SUM(E57:E76)</f>
        <v>120480252913</v>
      </c>
      <c r="F78" s="73"/>
      <c r="G78" s="73"/>
      <c r="H78" s="73">
        <f>SUM(H57:H76)</f>
        <v>-139671321524.64999</v>
      </c>
      <c r="I78" s="73">
        <f>SUM(I57:I76)</f>
        <v>-161758035201.776</v>
      </c>
      <c r="J78" s="73">
        <f>SUM(J57:J76)</f>
        <v>-933051862412</v>
      </c>
      <c r="K78" s="73"/>
      <c r="L78" s="73">
        <f>SUM(L57:L76)</f>
        <v>-1112877626143.1125</v>
      </c>
      <c r="M78" s="73">
        <f>SUM(M57:M76)</f>
        <v>-41797635313</v>
      </c>
      <c r="N78" s="73"/>
      <c r="O78" s="73">
        <f>SUM(O57:O76)</f>
        <v>-42666510611.125</v>
      </c>
      <c r="P78" s="73">
        <f>SUM(P57:P76)</f>
        <v>-50974479478</v>
      </c>
      <c r="Q78" s="73">
        <f>SUM(Q57:Q76)</f>
        <v>-149089067953</v>
      </c>
      <c r="R78" s="73"/>
      <c r="S78" s="73">
        <f>SUM(S57:S76)</f>
        <v>-200063547431</v>
      </c>
      <c r="T78" s="73">
        <f>SUM(T57:T76)</f>
        <v>-293735296662</v>
      </c>
      <c r="U78" s="73"/>
      <c r="V78" s="73">
        <f>SUM(V57:V76)</f>
        <v>-338372142293.83655</v>
      </c>
      <c r="W78" s="73">
        <f>SUM(W57:W76)</f>
        <v>-1425500667.675</v>
      </c>
      <c r="X78" s="73"/>
      <c r="Y78" s="73">
        <f>SUM(Y57:Y76)</f>
        <v>-1664900667.675</v>
      </c>
      <c r="Z78" s="73"/>
      <c r="AA78" s="73"/>
      <c r="AB78" s="73"/>
      <c r="AC78" s="73"/>
      <c r="AD78" s="73"/>
      <c r="AE78" s="73">
        <f>SUM(AE57:AE76)</f>
        <v>-1835316048671.3992</v>
      </c>
      <c r="AF78" s="73"/>
      <c r="AG78" s="73"/>
      <c r="AH78" s="73">
        <f>SUM(AH57:AH76)</f>
        <v>-388047499446</v>
      </c>
      <c r="AI78" s="28"/>
    </row>
    <row r="79" spans="2:36" ht="13">
      <c r="B79" s="74"/>
      <c r="C79" s="75"/>
      <c r="D79" s="64" t="s">
        <v>40</v>
      </c>
      <c r="E79" s="64" t="s">
        <v>40</v>
      </c>
      <c r="F79" s="64"/>
      <c r="G79" s="64"/>
      <c r="H79" s="64"/>
      <c r="I79" s="64" t="s">
        <v>40</v>
      </c>
      <c r="J79" s="64" t="s">
        <v>40</v>
      </c>
      <c r="K79" s="64"/>
      <c r="L79" s="64"/>
      <c r="M79" s="64" t="s">
        <v>40</v>
      </c>
      <c r="N79" s="64"/>
      <c r="O79" s="64"/>
      <c r="P79" s="64" t="s">
        <v>40</v>
      </c>
      <c r="Q79" s="64" t="s">
        <v>40</v>
      </c>
      <c r="R79" s="64"/>
      <c r="S79" s="64"/>
      <c r="T79" s="64" t="s">
        <v>40</v>
      </c>
      <c r="U79" s="64"/>
      <c r="V79" s="64"/>
      <c r="W79" s="64" t="s">
        <v>40</v>
      </c>
      <c r="X79" s="64"/>
      <c r="Y79" s="64"/>
      <c r="Z79" s="64"/>
      <c r="AA79" s="64"/>
      <c r="AB79" s="64"/>
      <c r="AC79" s="64"/>
      <c r="AD79" s="64"/>
      <c r="AE79" s="64" t="s">
        <v>40</v>
      </c>
      <c r="AF79" s="64"/>
      <c r="AG79" s="64"/>
      <c r="AH79" s="64"/>
      <c r="AI79" s="28"/>
    </row>
    <row r="80" spans="2:36" ht="13">
      <c r="B80" s="76" t="s">
        <v>77</v>
      </c>
      <c r="C80" s="71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28"/>
    </row>
    <row r="81" spans="2:36">
      <c r="B81" s="70" t="s">
        <v>78</v>
      </c>
      <c r="C81" s="71"/>
      <c r="D81" s="49">
        <v>0</v>
      </c>
      <c r="E81" s="49">
        <v>0</v>
      </c>
      <c r="F81" s="49"/>
      <c r="G81" s="49"/>
      <c r="H81" s="49">
        <f t="shared" ref="H81" si="85">SUM(D81:F81)</f>
        <v>0</v>
      </c>
      <c r="I81" s="49">
        <v>-32226982313</v>
      </c>
      <c r="J81" s="49">
        <v>8670307543</v>
      </c>
      <c r="K81" s="49"/>
      <c r="L81" s="49">
        <f t="shared" ref="L81:L85" si="86">SUM(I81:K81)</f>
        <v>-23556674770</v>
      </c>
      <c r="M81" s="49">
        <v>-11098027500</v>
      </c>
      <c r="N81" s="49"/>
      <c r="O81" s="49">
        <f t="shared" ref="O81:O82" si="87">SUM(M81:N81)</f>
        <v>-11098027500</v>
      </c>
      <c r="P81" s="49">
        <v>0</v>
      </c>
      <c r="Q81" s="49">
        <v>0</v>
      </c>
      <c r="R81" s="49"/>
      <c r="S81" s="49">
        <f t="shared" ref="S81:S85" si="88">SUM(P81:R81)</f>
        <v>0</v>
      </c>
      <c r="T81" s="49">
        <v>-19730382718</v>
      </c>
      <c r="U81" s="49"/>
      <c r="V81" s="49">
        <f t="shared" ref="V81:V82" si="89">SUM(T81:U81)</f>
        <v>-19730382718</v>
      </c>
      <c r="W81" s="49">
        <v>0</v>
      </c>
      <c r="X81" s="49"/>
      <c r="Y81" s="49">
        <f t="shared" ref="Y81:Y85" si="90">SUM(W81:X81)</f>
        <v>0</v>
      </c>
      <c r="Z81" s="49"/>
      <c r="AA81" s="49"/>
      <c r="AB81" s="49"/>
      <c r="AC81" s="49"/>
      <c r="AD81" s="49"/>
      <c r="AE81" s="49">
        <f t="shared" ref="AE81:AE85" si="91">SUM(H81,L81,Z81,AA81,AC81:AD81,O81,S81,V81,Y81,AB81)</f>
        <v>-54385084988</v>
      </c>
      <c r="AF81" s="49"/>
      <c r="AG81" s="49"/>
      <c r="AH81" s="49">
        <f t="shared" ref="AH81:AH85" si="92">ROUND(SUM(AE81:AG81),0)</f>
        <v>-54385084988</v>
      </c>
      <c r="AI81" s="55"/>
    </row>
    <row r="82" spans="2:36">
      <c r="B82" s="70" t="s">
        <v>79</v>
      </c>
      <c r="C82" s="71"/>
      <c r="D82" s="49">
        <v>0</v>
      </c>
      <c r="E82" s="49">
        <v>0</v>
      </c>
      <c r="F82" s="77"/>
      <c r="G82" s="77"/>
      <c r="H82" s="49">
        <f t="shared" ref="H82" si="93">SUM(D82:F82)</f>
        <v>0</v>
      </c>
      <c r="I82" s="49">
        <v>0</v>
      </c>
      <c r="J82" s="49">
        <v>0</v>
      </c>
      <c r="K82" s="77"/>
      <c r="L82" s="49">
        <f t="shared" ref="L82" si="94">SUM(I82:K82)</f>
        <v>0</v>
      </c>
      <c r="M82" s="49"/>
      <c r="N82" s="77"/>
      <c r="O82" s="49">
        <f t="shared" si="87"/>
        <v>0</v>
      </c>
      <c r="P82" s="49">
        <v>0</v>
      </c>
      <c r="Q82" s="49">
        <v>0</v>
      </c>
      <c r="R82" s="77"/>
      <c r="S82" s="49">
        <f t="shared" ref="S82" si="95">SUM(P82:R82)</f>
        <v>0</v>
      </c>
      <c r="T82" s="49">
        <v>0</v>
      </c>
      <c r="U82" s="77"/>
      <c r="V82" s="49">
        <f t="shared" si="89"/>
        <v>0</v>
      </c>
      <c r="W82" s="49">
        <v>0</v>
      </c>
      <c r="X82" s="77"/>
      <c r="Y82" s="49">
        <f t="shared" si="90"/>
        <v>0</v>
      </c>
      <c r="Z82" s="77"/>
      <c r="AA82" s="77"/>
      <c r="AB82" s="77"/>
      <c r="AC82" s="49"/>
      <c r="AD82" s="49"/>
      <c r="AE82" s="49">
        <f t="shared" si="91"/>
        <v>0</v>
      </c>
      <c r="AF82" s="49"/>
      <c r="AG82" s="49"/>
      <c r="AH82" s="49">
        <f t="shared" si="92"/>
        <v>0</v>
      </c>
      <c r="AI82" s="55"/>
    </row>
    <row r="83" spans="2:36">
      <c r="B83" s="70" t="s">
        <v>80</v>
      </c>
      <c r="C83" s="71"/>
      <c r="D83" s="49">
        <v>-1923132857.625</v>
      </c>
      <c r="E83" s="49">
        <v>0</v>
      </c>
      <c r="F83" s="77"/>
      <c r="G83" s="77"/>
      <c r="H83" s="49">
        <f t="shared" ref="H83" si="96">SUM(D83:F83)</f>
        <v>-1923132857.625</v>
      </c>
      <c r="I83" s="49">
        <v>-2930169433</v>
      </c>
      <c r="J83" s="49">
        <v>0</v>
      </c>
      <c r="K83" s="77"/>
      <c r="L83" s="49">
        <f t="shared" ref="L83:L84" si="97">SUM(I83:K83)</f>
        <v>-2930169433</v>
      </c>
      <c r="M83" s="49">
        <v>0</v>
      </c>
      <c r="N83" s="77"/>
      <c r="O83" s="49">
        <f t="shared" ref="O83" si="98">SUM(M83:N83)</f>
        <v>0</v>
      </c>
      <c r="P83" s="49">
        <v>0</v>
      </c>
      <c r="Q83" s="49">
        <v>0</v>
      </c>
      <c r="R83" s="77"/>
      <c r="S83" s="49">
        <f t="shared" si="88"/>
        <v>0</v>
      </c>
      <c r="T83" s="49">
        <v>0</v>
      </c>
      <c r="U83" s="77"/>
      <c r="V83" s="49">
        <f t="shared" ref="V83" si="99">SUM(T83:U83)</f>
        <v>0</v>
      </c>
      <c r="W83" s="49">
        <v>0</v>
      </c>
      <c r="X83" s="77"/>
      <c r="Y83" s="49">
        <f t="shared" si="90"/>
        <v>0</v>
      </c>
      <c r="Z83" s="77"/>
      <c r="AA83" s="77"/>
      <c r="AB83" s="77"/>
      <c r="AC83" s="49"/>
      <c r="AD83" s="49"/>
      <c r="AE83" s="49">
        <f t="shared" si="91"/>
        <v>-4853302290.625</v>
      </c>
      <c r="AF83" s="49"/>
      <c r="AG83" s="49"/>
      <c r="AH83" s="49">
        <f t="shared" si="92"/>
        <v>-4853302291</v>
      </c>
      <c r="AI83" s="55"/>
    </row>
    <row r="84" spans="2:36">
      <c r="B84" s="70" t="s">
        <v>82</v>
      </c>
      <c r="C84" s="71"/>
      <c r="D84" s="49">
        <v>0</v>
      </c>
      <c r="E84" s="49">
        <v>0</v>
      </c>
      <c r="F84" s="77"/>
      <c r="G84" s="77"/>
      <c r="H84" s="49">
        <f t="shared" ref="H84" si="100">SUM(D84:F84)</f>
        <v>0</v>
      </c>
      <c r="I84" s="49">
        <v>-11841969436</v>
      </c>
      <c r="J84" s="49">
        <v>0</v>
      </c>
      <c r="K84" s="77"/>
      <c r="L84" s="49">
        <f t="shared" si="97"/>
        <v>-11841969436</v>
      </c>
      <c r="M84" s="49">
        <v>0</v>
      </c>
      <c r="N84" s="77"/>
      <c r="O84" s="49">
        <f t="shared" ref="O84" si="101">SUM(M84:N84)</f>
        <v>0</v>
      </c>
      <c r="P84" s="49">
        <v>0</v>
      </c>
      <c r="Q84" s="49">
        <v>0</v>
      </c>
      <c r="R84" s="77"/>
      <c r="S84" s="49">
        <f t="shared" si="88"/>
        <v>0</v>
      </c>
      <c r="T84" s="49">
        <v>0</v>
      </c>
      <c r="U84" s="77"/>
      <c r="V84" s="49">
        <f t="shared" ref="V84" si="102">SUM(T84:U84)</f>
        <v>0</v>
      </c>
      <c r="W84" s="49">
        <v>0</v>
      </c>
      <c r="X84" s="77"/>
      <c r="Y84" s="49">
        <f t="shared" si="90"/>
        <v>0</v>
      </c>
      <c r="Z84" s="77"/>
      <c r="AA84" s="77"/>
      <c r="AB84" s="77"/>
      <c r="AC84" s="49"/>
      <c r="AD84" s="49"/>
      <c r="AE84" s="49">
        <f t="shared" si="91"/>
        <v>-11841969436</v>
      </c>
      <c r="AF84" s="49"/>
      <c r="AG84" s="49"/>
      <c r="AH84" s="49">
        <f t="shared" si="92"/>
        <v>-11841969436</v>
      </c>
      <c r="AI84" s="55"/>
    </row>
    <row r="85" spans="2:36">
      <c r="B85" s="70" t="s">
        <v>83</v>
      </c>
      <c r="C85" s="71"/>
      <c r="D85" s="49">
        <v>0</v>
      </c>
      <c r="E85" s="49">
        <v>0</v>
      </c>
      <c r="F85" s="77"/>
      <c r="G85" s="77"/>
      <c r="H85" s="49">
        <v>0</v>
      </c>
      <c r="I85" s="49">
        <v>-4735334275</v>
      </c>
      <c r="J85" s="49">
        <v>0</v>
      </c>
      <c r="K85" s="77"/>
      <c r="L85" s="49">
        <f t="shared" si="86"/>
        <v>-4735334275</v>
      </c>
      <c r="M85" s="49">
        <v>0</v>
      </c>
      <c r="N85" s="77"/>
      <c r="O85" s="49">
        <f t="shared" ref="O85" si="103">SUM(M85:N85)</f>
        <v>0</v>
      </c>
      <c r="P85" s="49">
        <v>0</v>
      </c>
      <c r="Q85" s="49">
        <v>0</v>
      </c>
      <c r="R85" s="77"/>
      <c r="S85" s="49">
        <f t="shared" si="88"/>
        <v>0</v>
      </c>
      <c r="T85" s="49">
        <v>0</v>
      </c>
      <c r="U85" s="77"/>
      <c r="V85" s="49">
        <f t="shared" ref="V85" si="104">SUM(T85:U85)</f>
        <v>0</v>
      </c>
      <c r="W85" s="49">
        <v>0</v>
      </c>
      <c r="X85" s="77"/>
      <c r="Y85" s="49">
        <f t="shared" si="90"/>
        <v>0</v>
      </c>
      <c r="Z85" s="77"/>
      <c r="AA85" s="77"/>
      <c r="AB85" s="77"/>
      <c r="AC85" s="49"/>
      <c r="AD85" s="49"/>
      <c r="AE85" s="49">
        <f t="shared" si="91"/>
        <v>-4735334275</v>
      </c>
      <c r="AF85" s="49"/>
      <c r="AG85" s="49"/>
      <c r="AH85" s="49">
        <f t="shared" si="92"/>
        <v>-4735334275</v>
      </c>
      <c r="AI85" s="55"/>
    </row>
    <row r="86" spans="2:36">
      <c r="B86" s="78"/>
      <c r="C86" s="7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28"/>
    </row>
    <row r="87" spans="2:36" s="40" customFormat="1" ht="13">
      <c r="B87" s="60" t="s">
        <v>84</v>
      </c>
      <c r="C87" s="61"/>
      <c r="D87" s="73">
        <f>SUM(D81:D85)</f>
        <v>-1923132857.625</v>
      </c>
      <c r="E87" s="73">
        <f>SUM(E81:E85)</f>
        <v>0</v>
      </c>
      <c r="F87" s="73"/>
      <c r="G87" s="73"/>
      <c r="H87" s="73">
        <f>SUM(H81:H85)</f>
        <v>-1923132857.625</v>
      </c>
      <c r="I87" s="73">
        <f>SUM(I81:I85)</f>
        <v>-51734455457</v>
      </c>
      <c r="J87" s="73">
        <f>SUM(J81:J85)</f>
        <v>8670307543</v>
      </c>
      <c r="K87" s="73"/>
      <c r="L87" s="73">
        <f>SUM(L81:L85)</f>
        <v>-43064147914</v>
      </c>
      <c r="M87" s="73">
        <f>SUM(M81:M85)</f>
        <v>-11098027500</v>
      </c>
      <c r="N87" s="73"/>
      <c r="O87" s="73">
        <f>SUM(O81:O85)</f>
        <v>-11098027500</v>
      </c>
      <c r="P87" s="73">
        <f>SUM(P81:P85)</f>
        <v>0</v>
      </c>
      <c r="Q87" s="73">
        <f>SUM(Q81:Q85)</f>
        <v>0</v>
      </c>
      <c r="R87" s="73"/>
      <c r="S87" s="73">
        <f>SUM(S81:S85)</f>
        <v>0</v>
      </c>
      <c r="T87" s="73">
        <f>SUM(T81:T85)</f>
        <v>-19730382718</v>
      </c>
      <c r="U87" s="73"/>
      <c r="V87" s="73">
        <f>SUM(V81:V85)</f>
        <v>-19730382718</v>
      </c>
      <c r="W87" s="73">
        <f>SUM(W81:W85)</f>
        <v>0</v>
      </c>
      <c r="X87" s="73"/>
      <c r="Y87" s="73">
        <f>SUM(Y81:Y85)</f>
        <v>0</v>
      </c>
      <c r="Z87" s="73"/>
      <c r="AA87" s="73"/>
      <c r="AB87" s="73"/>
      <c r="AC87" s="73"/>
      <c r="AD87" s="73"/>
      <c r="AE87" s="73">
        <f>SUM(AE81:AE85)</f>
        <v>-75815690989.625</v>
      </c>
      <c r="AF87" s="73"/>
      <c r="AG87" s="73"/>
      <c r="AH87" s="73">
        <f>SUM(AH81:AH85)</f>
        <v>-75815690990</v>
      </c>
      <c r="AI87" s="28"/>
    </row>
    <row r="88" spans="2:36" ht="13">
      <c r="B88" s="60"/>
      <c r="C88" s="80"/>
      <c r="D88" s="64" t="s">
        <v>40</v>
      </c>
      <c r="E88" s="64" t="s">
        <v>40</v>
      </c>
      <c r="F88" s="64"/>
      <c r="G88" s="64"/>
      <c r="H88" s="64" t="s">
        <v>40</v>
      </c>
      <c r="I88" s="64" t="s">
        <v>40</v>
      </c>
      <c r="J88" s="64" t="s">
        <v>40</v>
      </c>
      <c r="K88" s="64"/>
      <c r="L88" s="64" t="s">
        <v>40</v>
      </c>
      <c r="M88" s="64" t="s">
        <v>40</v>
      </c>
      <c r="N88" s="64"/>
      <c r="O88" s="64" t="s">
        <v>40</v>
      </c>
      <c r="P88" s="64" t="s">
        <v>40</v>
      </c>
      <c r="Q88" s="64" t="s">
        <v>40</v>
      </c>
      <c r="R88" s="64"/>
      <c r="S88" s="64" t="s">
        <v>40</v>
      </c>
      <c r="T88" s="64" t="s">
        <v>40</v>
      </c>
      <c r="U88" s="64"/>
      <c r="V88" s="64" t="s">
        <v>40</v>
      </c>
      <c r="W88" s="64" t="s">
        <v>40</v>
      </c>
      <c r="X88" s="64"/>
      <c r="Y88" s="64" t="s">
        <v>40</v>
      </c>
      <c r="Z88" s="64"/>
      <c r="AA88" s="64"/>
      <c r="AB88" s="64"/>
      <c r="AC88" s="64"/>
      <c r="AD88" s="64"/>
      <c r="AE88" s="64" t="s">
        <v>40</v>
      </c>
      <c r="AF88" s="64"/>
      <c r="AG88" s="64"/>
      <c r="AH88" s="64" t="s">
        <v>40</v>
      </c>
      <c r="AI88" s="28"/>
    </row>
    <row r="89" spans="2:36" s="40" customFormat="1" ht="13">
      <c r="B89" s="60" t="s">
        <v>85</v>
      </c>
      <c r="C89" s="61"/>
      <c r="D89" s="73">
        <f>D78+D87</f>
        <v>-245616238681.625</v>
      </c>
      <c r="E89" s="73">
        <f>E78+E87</f>
        <v>120480252913</v>
      </c>
      <c r="F89" s="73"/>
      <c r="G89" s="73"/>
      <c r="H89" s="73">
        <f>H78+H87</f>
        <v>-141594454382.27499</v>
      </c>
      <c r="I89" s="73">
        <f>I78+I87</f>
        <v>-213492490658.776</v>
      </c>
      <c r="J89" s="73">
        <f>J78+J87</f>
        <v>-924381554869</v>
      </c>
      <c r="K89" s="73"/>
      <c r="L89" s="73">
        <f>L78+L87</f>
        <v>-1155941774057.1125</v>
      </c>
      <c r="M89" s="73">
        <f>M78+M87</f>
        <v>-52895662813</v>
      </c>
      <c r="N89" s="73"/>
      <c r="O89" s="73">
        <f>O78+O87</f>
        <v>-53764538111.125</v>
      </c>
      <c r="P89" s="73">
        <f>P78+P87</f>
        <v>-50974479478</v>
      </c>
      <c r="Q89" s="73">
        <f>Q78+Q87</f>
        <v>-149089067953</v>
      </c>
      <c r="R89" s="73"/>
      <c r="S89" s="73">
        <f>S78+S87</f>
        <v>-200063547431</v>
      </c>
      <c r="T89" s="73">
        <f>T78+T87</f>
        <v>-313465679380</v>
      </c>
      <c r="U89" s="73"/>
      <c r="V89" s="73">
        <f>V78+V87</f>
        <v>-358102525011.83655</v>
      </c>
      <c r="W89" s="73">
        <f>W78+W87</f>
        <v>-1425500667.675</v>
      </c>
      <c r="X89" s="73"/>
      <c r="Y89" s="73">
        <f>Y78+Y87</f>
        <v>-1664900667.675</v>
      </c>
      <c r="Z89" s="73"/>
      <c r="AA89" s="73"/>
      <c r="AB89" s="73"/>
      <c r="AC89" s="73"/>
      <c r="AD89" s="73"/>
      <c r="AE89" s="73">
        <f>AE78+AE87</f>
        <v>-1911131739661.0242</v>
      </c>
      <c r="AF89" s="73"/>
      <c r="AG89" s="73"/>
      <c r="AH89" s="73">
        <f>AH78+AH87</f>
        <v>-463863190436</v>
      </c>
      <c r="AI89" s="28"/>
      <c r="AJ89" s="593">
        <f>AH89-AI89</f>
        <v>-463863190436</v>
      </c>
    </row>
    <row r="90" spans="2:36" ht="13">
      <c r="B90" s="74"/>
      <c r="C90" s="75"/>
      <c r="D90" s="64" t="s">
        <v>40</v>
      </c>
      <c r="E90" s="64" t="s">
        <v>40</v>
      </c>
      <c r="F90" s="64"/>
      <c r="G90" s="64"/>
      <c r="H90" s="64"/>
      <c r="I90" s="64" t="s">
        <v>40</v>
      </c>
      <c r="J90" s="64" t="s">
        <v>40</v>
      </c>
      <c r="K90" s="64"/>
      <c r="L90" s="64"/>
      <c r="M90" s="64" t="s">
        <v>40</v>
      </c>
      <c r="N90" s="64"/>
      <c r="O90" s="64"/>
      <c r="P90" s="64" t="s">
        <v>40</v>
      </c>
      <c r="Q90" s="64" t="s">
        <v>40</v>
      </c>
      <c r="R90" s="64"/>
      <c r="S90" s="64"/>
      <c r="T90" s="64" t="s">
        <v>40</v>
      </c>
      <c r="U90" s="64"/>
      <c r="V90" s="64"/>
      <c r="W90" s="64" t="s">
        <v>40</v>
      </c>
      <c r="X90" s="64"/>
      <c r="Y90" s="64"/>
      <c r="Z90" s="64"/>
      <c r="AA90" s="64"/>
      <c r="AB90" s="64"/>
      <c r="AC90" s="64"/>
      <c r="AD90" s="64"/>
      <c r="AE90" s="64" t="s">
        <v>40</v>
      </c>
      <c r="AF90" s="64"/>
      <c r="AG90" s="64"/>
      <c r="AH90" s="64" t="s">
        <v>40</v>
      </c>
      <c r="AI90" s="28"/>
    </row>
    <row r="91" spans="2:36" ht="13">
      <c r="B91" s="81" t="s">
        <v>86</v>
      </c>
      <c r="C91" s="71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28"/>
    </row>
    <row r="92" spans="2:36">
      <c r="B92" s="57" t="s">
        <v>87</v>
      </c>
      <c r="C92" s="71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>
        <f t="shared" ref="AH92" si="105">SUM(AE92:AG92)</f>
        <v>0</v>
      </c>
      <c r="AI92" s="28"/>
    </row>
    <row r="93" spans="2:36">
      <c r="B93" s="56" t="s">
        <v>88</v>
      </c>
      <c r="C93" s="52"/>
      <c r="D93" s="49">
        <v>-142427250000</v>
      </c>
      <c r="E93" s="49">
        <f>-E94</f>
        <v>-344280825000</v>
      </c>
      <c r="F93" s="49"/>
      <c r="G93" s="49"/>
      <c r="H93" s="49">
        <f t="shared" ref="H93:H94" si="106">SUM(D93:G93)</f>
        <v>-486708075000</v>
      </c>
      <c r="I93" s="49">
        <v>-1086047395650</v>
      </c>
      <c r="J93" s="49">
        <v>434382050025</v>
      </c>
      <c r="K93" s="49"/>
      <c r="L93" s="49">
        <f t="shared" ref="L93:L102" si="107">SUM(I93:K93)</f>
        <v>-651665345625</v>
      </c>
      <c r="M93" s="49">
        <v>-23625000</v>
      </c>
      <c r="N93" s="49"/>
      <c r="O93" s="49">
        <f t="shared" ref="O93:O94" si="108">SUM(M93:N93)</f>
        <v>-23625000</v>
      </c>
      <c r="P93" s="49">
        <v>-4921875000</v>
      </c>
      <c r="Q93" s="49"/>
      <c r="R93" s="49"/>
      <c r="S93" s="49">
        <f t="shared" ref="S93:S95" si="109">SUM(P93:R93)</f>
        <v>-4921875000</v>
      </c>
      <c r="T93" s="49">
        <v>-472500000</v>
      </c>
      <c r="U93" s="49"/>
      <c r="V93" s="49">
        <f t="shared" ref="V93:V94" si="110">SUM(T93:U93)</f>
        <v>-472500000</v>
      </c>
      <c r="W93" s="49">
        <v>-19687500</v>
      </c>
      <c r="X93" s="49">
        <v>0</v>
      </c>
      <c r="Y93" s="49">
        <f t="shared" ref="Y93:Y95" si="111">SUM(W93:X93)</f>
        <v>-19687500</v>
      </c>
      <c r="Z93" s="49"/>
      <c r="AA93" s="49"/>
      <c r="AB93" s="49"/>
      <c r="AC93" s="49"/>
      <c r="AD93" s="49"/>
      <c r="AE93" s="49">
        <f t="shared" ref="AE93:AE94" si="112">SUM(H93,L93,Z93,AA93,AC93:AD93,O93,S93,V93,Y93,AB93)</f>
        <v>-1143811108125</v>
      </c>
      <c r="AF93" s="49">
        <f>SUM('Elimination 2024'!G6,'Elimination 2024'!G30,'Elimination 2024'!G43,'Elimination 2024'!G56,'Elimination 2024'!G69)</f>
        <v>657103033125</v>
      </c>
      <c r="AG93" s="49"/>
      <c r="AH93" s="49">
        <f t="shared" ref="AH93:AH95" si="113">ROUND(SUM(AE93:AG93),0)</f>
        <v>-486708075000</v>
      </c>
      <c r="AI93" s="55"/>
      <c r="AJ93" s="55"/>
    </row>
    <row r="94" spans="2:36">
      <c r="B94" s="56" t="s">
        <v>89</v>
      </c>
      <c r="C94" s="52"/>
      <c r="D94" s="49">
        <v>-1952527023282.1499</v>
      </c>
      <c r="E94" s="49">
        <v>344280825000</v>
      </c>
      <c r="F94" s="49"/>
      <c r="G94" s="49"/>
      <c r="H94" s="49">
        <f t="shared" si="106"/>
        <v>-1608246198282.1499</v>
      </c>
      <c r="I94" s="49">
        <v>-456219839303.54999</v>
      </c>
      <c r="J94" s="49">
        <v>456219839303.54999</v>
      </c>
      <c r="K94" s="49"/>
      <c r="L94" s="49">
        <f t="shared" si="107"/>
        <v>0</v>
      </c>
      <c r="M94" s="49">
        <v>0</v>
      </c>
      <c r="N94" s="49"/>
      <c r="O94" s="49">
        <f t="shared" si="108"/>
        <v>0</v>
      </c>
      <c r="P94" s="49">
        <v>-114090244632</v>
      </c>
      <c r="Q94" s="49">
        <v>114090244632</v>
      </c>
      <c r="R94" s="49"/>
      <c r="S94" s="49">
        <f t="shared" si="109"/>
        <v>0</v>
      </c>
      <c r="T94" s="49">
        <v>0</v>
      </c>
      <c r="U94" s="49"/>
      <c r="V94" s="49">
        <f t="shared" si="110"/>
        <v>0</v>
      </c>
      <c r="W94" s="49">
        <v>-239400000</v>
      </c>
      <c r="X94" s="49">
        <v>239400000</v>
      </c>
      <c r="Y94" s="49">
        <f t="shared" si="111"/>
        <v>0</v>
      </c>
      <c r="Z94" s="49"/>
      <c r="AA94" s="49"/>
      <c r="AB94" s="49"/>
      <c r="AC94" s="49"/>
      <c r="AD94" s="49"/>
      <c r="AE94" s="49">
        <f t="shared" si="112"/>
        <v>-1608246198282.1499</v>
      </c>
      <c r="AF94" s="49"/>
      <c r="AG94" s="49"/>
      <c r="AH94" s="49">
        <f t="shared" si="113"/>
        <v>-1608246198282</v>
      </c>
      <c r="AI94" s="55"/>
      <c r="AJ94" s="55"/>
    </row>
    <row r="95" spans="2:36">
      <c r="B95" s="57" t="s">
        <v>90</v>
      </c>
      <c r="C95" s="71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>
        <v>0</v>
      </c>
      <c r="Q95" s="49"/>
      <c r="R95" s="49"/>
      <c r="S95" s="49">
        <f t="shared" si="109"/>
        <v>0</v>
      </c>
      <c r="T95" s="49"/>
      <c r="U95" s="49"/>
      <c r="V95" s="49"/>
      <c r="W95" s="49">
        <v>0</v>
      </c>
      <c r="X95" s="49"/>
      <c r="Y95" s="49">
        <f t="shared" si="111"/>
        <v>0</v>
      </c>
      <c r="Z95" s="49"/>
      <c r="AA95" s="49"/>
      <c r="AB95" s="49"/>
      <c r="AC95" s="49"/>
      <c r="AD95" s="49"/>
      <c r="AE95" s="49">
        <f t="shared" ref="AE95:AE99" si="114">ROUND(SUM(H95,L95,Z95,AA95,AC95:AD95,O95,S95,V95,Y95,AB95),0)</f>
        <v>0</v>
      </c>
      <c r="AF95" s="49"/>
      <c r="AG95" s="49"/>
      <c r="AH95" s="49">
        <f t="shared" si="113"/>
        <v>0</v>
      </c>
      <c r="AI95" s="28"/>
      <c r="AJ95" s="55"/>
    </row>
    <row r="96" spans="2:36">
      <c r="B96" s="57" t="s">
        <v>91</v>
      </c>
      <c r="C96" s="71"/>
      <c r="D96" s="49"/>
      <c r="E96" s="49"/>
      <c r="F96" s="49"/>
      <c r="G96" s="49"/>
      <c r="H96" s="49"/>
      <c r="I96" s="49"/>
      <c r="J96" s="49"/>
      <c r="K96" s="49"/>
      <c r="L96" s="49">
        <f>SUM(I96:K96)</f>
        <v>0</v>
      </c>
      <c r="M96" s="49">
        <v>0</v>
      </c>
      <c r="N96" s="49"/>
      <c r="O96" s="49">
        <f t="shared" ref="O96" si="115">SUM(M96:N96)</f>
        <v>0</v>
      </c>
      <c r="P96" s="49"/>
      <c r="Q96" s="49"/>
      <c r="R96" s="49"/>
      <c r="S96" s="49">
        <f t="shared" ref="S96" si="116">SUM(P96:R96)</f>
        <v>0</v>
      </c>
      <c r="T96" s="49">
        <v>0</v>
      </c>
      <c r="U96" s="49"/>
      <c r="V96" s="49">
        <f t="shared" ref="V96" si="117">SUM(T96:U96)</f>
        <v>0</v>
      </c>
      <c r="W96" s="49"/>
      <c r="X96" s="49"/>
      <c r="Y96" s="49">
        <f t="shared" ref="Y96" si="118">SUM(W96:X96)</f>
        <v>0</v>
      </c>
      <c r="Z96" s="49"/>
      <c r="AA96" s="49"/>
      <c r="AB96" s="49"/>
      <c r="AC96" s="49"/>
      <c r="AD96" s="49"/>
      <c r="AE96" s="49">
        <f t="shared" si="114"/>
        <v>0</v>
      </c>
      <c r="AF96" s="49"/>
      <c r="AG96" s="49">
        <f>'Elimination 2024'!G27+'Elimination 2024'!G40+'Elimination 2024'!H54+'Elimination 2024'!G66</f>
        <v>85320141864.589554</v>
      </c>
      <c r="AH96" s="49">
        <f>ROUND(SUM(AE96:AG96),0)-552</f>
        <v>85320141313</v>
      </c>
      <c r="AI96" s="28"/>
      <c r="AJ96" s="55"/>
    </row>
    <row r="97" spans="2:37">
      <c r="B97" s="57" t="s">
        <v>92</v>
      </c>
      <c r="C97" s="71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28"/>
      <c r="AJ97" s="55"/>
    </row>
    <row r="98" spans="2:37">
      <c r="B98" s="82" t="s">
        <v>93</v>
      </c>
      <c r="C98" s="71"/>
      <c r="D98" s="49">
        <f>SUM('Consol SoFP 23 &amp; 22'!E97:E98)</f>
        <v>-42384330497.25</v>
      </c>
      <c r="E98" s="49">
        <v>0</v>
      </c>
      <c r="F98" s="49">
        <f>-'Equity &amp; Adjustment Consol'!G34</f>
        <v>0</v>
      </c>
      <c r="G98" s="49"/>
      <c r="H98" s="49">
        <f t="shared" ref="H98:H99" si="119">SUM(D98:G98)</f>
        <v>-42384330497.25</v>
      </c>
      <c r="I98" s="49">
        <f>-7334537265*1.575</f>
        <v>-11551896192.375</v>
      </c>
      <c r="J98" s="49"/>
      <c r="K98" s="49"/>
      <c r="L98" s="49">
        <f t="shared" ref="L98:L99" si="120">SUM(I98:K98)</f>
        <v>-11551896192.375</v>
      </c>
      <c r="M98" s="49">
        <v>0</v>
      </c>
      <c r="N98" s="49"/>
      <c r="O98" s="49">
        <f t="shared" ref="O98:O99" si="121">SUM(M98:N98)</f>
        <v>0</v>
      </c>
      <c r="P98" s="49">
        <v>0</v>
      </c>
      <c r="Q98" s="49"/>
      <c r="R98" s="49">
        <v>0</v>
      </c>
      <c r="S98" s="49">
        <f t="shared" ref="S98:S99" si="122">SUM(P98:R98)</f>
        <v>0</v>
      </c>
      <c r="T98" s="49">
        <v>0</v>
      </c>
      <c r="U98" s="49"/>
      <c r="V98" s="49">
        <f t="shared" ref="V98:V99" si="123">SUM(T98:U98)</f>
        <v>0</v>
      </c>
      <c r="W98" s="49">
        <v>0</v>
      </c>
      <c r="X98" s="49">
        <v>0</v>
      </c>
      <c r="Y98" s="49">
        <f t="shared" ref="Y98:Y99" si="124">SUM(W98:X98)</f>
        <v>0</v>
      </c>
      <c r="Z98" s="49">
        <v>0</v>
      </c>
      <c r="AA98" s="49"/>
      <c r="AB98" s="49"/>
      <c r="AC98" s="49"/>
      <c r="AD98" s="49"/>
      <c r="AE98" s="49">
        <f t="shared" ref="AE98" si="125">SUM(H98,L98,Z98,AA98,AC98:AD98,O98,S98,V98,Y98,AB98)</f>
        <v>-53936226689.625</v>
      </c>
      <c r="AF98" s="49">
        <f>'Elimination 2024'!G16</f>
        <v>11551896192.375</v>
      </c>
      <c r="AG98" s="49"/>
      <c r="AH98" s="49">
        <f t="shared" ref="AH98:AH106" si="126">ROUND(SUM(AE98:AG98),0)</f>
        <v>-42384330497</v>
      </c>
      <c r="AI98" s="55"/>
      <c r="AJ98" s="55"/>
    </row>
    <row r="99" spans="2:37">
      <c r="B99" s="82" t="s">
        <v>94</v>
      </c>
      <c r="C99" s="71"/>
      <c r="D99" s="49">
        <v>0</v>
      </c>
      <c r="E99" s="49">
        <v>0</v>
      </c>
      <c r="F99" s="49"/>
      <c r="G99" s="49"/>
      <c r="H99" s="49">
        <f t="shared" si="119"/>
        <v>0</v>
      </c>
      <c r="I99" s="49"/>
      <c r="J99" s="49"/>
      <c r="K99" s="49"/>
      <c r="L99" s="49">
        <f t="shared" si="120"/>
        <v>0</v>
      </c>
      <c r="M99" s="49">
        <v>0</v>
      </c>
      <c r="N99" s="49"/>
      <c r="O99" s="49">
        <f t="shared" si="121"/>
        <v>0</v>
      </c>
      <c r="P99" s="49">
        <v>0</v>
      </c>
      <c r="Q99" s="49"/>
      <c r="R99" s="49"/>
      <c r="S99" s="49">
        <f t="shared" si="122"/>
        <v>0</v>
      </c>
      <c r="T99" s="49">
        <v>0</v>
      </c>
      <c r="U99" s="49"/>
      <c r="V99" s="49">
        <f t="shared" si="123"/>
        <v>0</v>
      </c>
      <c r="W99" s="49">
        <v>0</v>
      </c>
      <c r="X99" s="49"/>
      <c r="Y99" s="49">
        <f t="shared" si="124"/>
        <v>0</v>
      </c>
      <c r="Z99" s="49"/>
      <c r="AA99" s="49"/>
      <c r="AB99" s="49"/>
      <c r="AC99" s="49"/>
      <c r="AD99" s="49"/>
      <c r="AE99" s="49">
        <f t="shared" si="114"/>
        <v>0</v>
      </c>
      <c r="AF99" s="49"/>
      <c r="AG99" s="49"/>
      <c r="AH99" s="49">
        <f t="shared" si="126"/>
        <v>0</v>
      </c>
      <c r="AI99" s="55"/>
      <c r="AJ99" s="55"/>
    </row>
    <row r="100" spans="2:37">
      <c r="B100" s="57" t="s">
        <v>95</v>
      </c>
      <c r="C100" s="71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28"/>
      <c r="AJ100" s="55"/>
    </row>
    <row r="101" spans="2:37">
      <c r="B101" s="82" t="s">
        <v>96</v>
      </c>
      <c r="C101" s="71"/>
      <c r="D101" s="49">
        <v>634992328261.10022</v>
      </c>
      <c r="E101" s="49">
        <v>-4147930357.1999998</v>
      </c>
      <c r="F101" s="49">
        <v>0</v>
      </c>
      <c r="G101" s="49">
        <f>'Equity &amp; Adjustment Consol'!C50</f>
        <v>0</v>
      </c>
      <c r="H101" s="49">
        <f t="shared" ref="H101:H105" si="127">SUM(D101:G101)</f>
        <v>630844397903.90027</v>
      </c>
      <c r="I101" s="49">
        <v>1130546950515.0767</v>
      </c>
      <c r="J101" s="49">
        <v>-15312640650.299999</v>
      </c>
      <c r="K101" s="49"/>
      <c r="L101" s="49">
        <f t="shared" si="107"/>
        <v>1115234309864.7766</v>
      </c>
      <c r="M101" s="49">
        <v>-2684595157</v>
      </c>
      <c r="N101" s="49">
        <f>-Control!F32</f>
        <v>289441435.42500019</v>
      </c>
      <c r="O101" s="49">
        <f t="shared" ref="O101:O102" si="128">SUM(M101:N101)</f>
        <v>-2395153721.5749998</v>
      </c>
      <c r="P101" s="49">
        <v>-11771504006.125502</v>
      </c>
      <c r="Q101" s="49">
        <v>13466.25</v>
      </c>
      <c r="R101" s="49"/>
      <c r="S101" s="49">
        <f>SUM(P101:R101)</f>
        <v>-11771490539.875502</v>
      </c>
      <c r="T101" s="49">
        <v>98357763125</v>
      </c>
      <c r="U101" s="49"/>
      <c r="V101" s="49">
        <f t="shared" ref="V101:V102" si="129">SUM(T101:U101)</f>
        <v>98357763125</v>
      </c>
      <c r="W101" s="49">
        <v>0</v>
      </c>
      <c r="X101" s="49">
        <v>0</v>
      </c>
      <c r="Y101" s="49">
        <f>SUM(W101:X101)</f>
        <v>0</v>
      </c>
      <c r="Z101" s="49">
        <v>0</v>
      </c>
      <c r="AA101" s="49"/>
      <c r="AB101" s="49"/>
      <c r="AC101" s="49"/>
      <c r="AD101" s="49"/>
      <c r="AE101" s="49">
        <f t="shared" ref="AE101:AE105" si="130">SUM(H101,L101,Z101,AA101,AC101:AD101,O101,S101,V101,Y101,AB101)</f>
        <v>1830269826632.2263</v>
      </c>
      <c r="AF101" s="49">
        <f>SUM('Elimination 2024'!G125+'Elimination 2024'!G34,'Elimination 2024'!G47,'Elimination 2024'!G134)</f>
        <v>33201975096.866859</v>
      </c>
      <c r="AG101" s="49">
        <f>'Elimination 2024'!H13+'Elimination 2024'!H63</f>
        <v>-1213592072989.7766</v>
      </c>
      <c r="AH101" s="49">
        <f t="shared" si="126"/>
        <v>649879728739</v>
      </c>
      <c r="AI101" s="55"/>
      <c r="AJ101" s="55"/>
      <c r="AK101" s="28"/>
    </row>
    <row r="102" spans="2:37">
      <c r="B102" s="82" t="s">
        <v>97</v>
      </c>
      <c r="C102" s="71"/>
      <c r="D102" s="49">
        <f>'Consol SoPL-OCI 24'!E87</f>
        <v>220917807969</v>
      </c>
      <c r="E102" s="49">
        <f>'Consol SoPL-OCI 24'!F63</f>
        <v>11156573944</v>
      </c>
      <c r="F102" s="49">
        <f>ROUND(-'Equity &amp; Adjustment Consol'!D34,0)</f>
        <v>30613662987</v>
      </c>
      <c r="G102" s="49">
        <f>'Adjustment Consol'!J37</f>
        <v>-11242698470.324999</v>
      </c>
      <c r="H102" s="49">
        <f t="shared" si="127"/>
        <v>251445346429.67499</v>
      </c>
      <c r="I102" s="49">
        <f>'Consol SoPL-OCI 24'!J87</f>
        <v>343810988410</v>
      </c>
      <c r="J102" s="49">
        <f>'Consol SoPL-OCI 24'!K52</f>
        <v>-100072389485</v>
      </c>
      <c r="K102" s="49">
        <f>SUM('Adjustment Consol'!I51:I52,'Adjustment Consol'!J56:J57)</f>
        <v>-62074495.349999905</v>
      </c>
      <c r="L102" s="49">
        <f t="shared" si="107"/>
        <v>243676524429.64999</v>
      </c>
      <c r="M102" s="49">
        <f>'Consol SoPL-OCI 24'!N87</f>
        <v>10891649906</v>
      </c>
      <c r="N102" s="49"/>
      <c r="O102" s="49">
        <f t="shared" si="128"/>
        <v>10891649906</v>
      </c>
      <c r="P102" s="49">
        <v>-2160990000</v>
      </c>
      <c r="Q102" s="49">
        <f>'Consol SoPL-OCI 24'!R87</f>
        <v>38259791827</v>
      </c>
      <c r="R102" s="49"/>
      <c r="S102" s="49">
        <f t="shared" ref="S102" si="131">SUM(P102:R102)</f>
        <v>36098801827</v>
      </c>
      <c r="T102" s="49">
        <f>'Consol SoPL-OCI 24'!U87</f>
        <v>-19586879692.725296</v>
      </c>
      <c r="U102" s="49">
        <f>'BS RP Disclosure 2024'!J102</f>
        <v>28711285630.649998</v>
      </c>
      <c r="V102" s="49">
        <f t="shared" si="129"/>
        <v>9124405937.9247017</v>
      </c>
      <c r="W102" s="49">
        <f>'Consol SoPL-OCI 24'!X87</f>
        <v>-897156804.60000002</v>
      </c>
      <c r="X102" s="49"/>
      <c r="Y102" s="49">
        <f t="shared" ref="Y102" si="132">SUM(W102:X102)</f>
        <v>-897156804.60000002</v>
      </c>
      <c r="Z102" s="49"/>
      <c r="AA102" s="49"/>
      <c r="AB102" s="49"/>
      <c r="AC102" s="49"/>
      <c r="AD102" s="49"/>
      <c r="AE102" s="49">
        <f t="shared" si="130"/>
        <v>550339571725.64966</v>
      </c>
      <c r="AF102" s="49">
        <f>'Elimination 2024'!H64</f>
        <v>-9124405937.9247017</v>
      </c>
      <c r="AG102" s="49">
        <f>'Elimination 2024'!H14+'Elimination 2024'!H38+'Elimination 2024'!G48+'Elimination 2024'!G137</f>
        <v>-288862775198</v>
      </c>
      <c r="AH102" s="49">
        <f t="shared" si="126"/>
        <v>252352390590</v>
      </c>
      <c r="AI102" s="55"/>
      <c r="AJ102" s="55"/>
      <c r="AK102" s="28"/>
    </row>
    <row r="103" spans="2:37">
      <c r="B103" s="57" t="s">
        <v>98</v>
      </c>
      <c r="C103" s="71"/>
      <c r="D103" s="49"/>
      <c r="E103" s="49"/>
      <c r="F103" s="49"/>
      <c r="G103" s="49"/>
      <c r="H103" s="49">
        <f t="shared" si="127"/>
        <v>0</v>
      </c>
      <c r="I103" s="49"/>
      <c r="J103" s="49"/>
      <c r="K103" s="49"/>
      <c r="L103" s="49">
        <f>SUM(I103:K103)</f>
        <v>0</v>
      </c>
      <c r="M103" s="49"/>
      <c r="N103" s="49"/>
      <c r="O103" s="49"/>
      <c r="P103" s="49"/>
      <c r="Q103" s="49"/>
      <c r="R103" s="49"/>
      <c r="S103" s="49">
        <f>SUM(P103:R103)</f>
        <v>0</v>
      </c>
      <c r="T103" s="49"/>
      <c r="U103" s="49"/>
      <c r="V103" s="49">
        <f>SUM(T103:U103)</f>
        <v>0</v>
      </c>
      <c r="W103" s="49"/>
      <c r="X103" s="49"/>
      <c r="Y103" s="49">
        <f>SUM(W103:X103)</f>
        <v>0</v>
      </c>
      <c r="Z103" s="49"/>
      <c r="AA103" s="49"/>
      <c r="AB103" s="49"/>
      <c r="AC103" s="49"/>
      <c r="AD103" s="49"/>
      <c r="AE103" s="49"/>
      <c r="AF103" s="49"/>
      <c r="AG103" s="49"/>
      <c r="AH103" s="49"/>
      <c r="AI103" s="55"/>
      <c r="AJ103" s="55"/>
    </row>
    <row r="104" spans="2:37">
      <c r="B104" s="82" t="s">
        <v>99</v>
      </c>
      <c r="C104" s="71"/>
      <c r="D104" s="49">
        <f>SUM('Consol SoFP 23 &amp; 22'!E104:E105)</f>
        <v>-1505283288.55</v>
      </c>
      <c r="E104" s="49"/>
      <c r="F104" s="49">
        <f>-'Equity &amp; Adjustment Consol'!E34</f>
        <v>0</v>
      </c>
      <c r="G104" s="49"/>
      <c r="H104" s="49">
        <f t="shared" si="127"/>
        <v>-1505283288.55</v>
      </c>
      <c r="I104" s="49">
        <f>SUM('Consol SoFP 23 &amp; 22'!I104:I105)</f>
        <v>-2578465447.4250002</v>
      </c>
      <c r="J104" s="49">
        <v>0</v>
      </c>
      <c r="K104" s="49"/>
      <c r="L104" s="49">
        <f>SUM(I104:K104)</f>
        <v>-2578465447.4250002</v>
      </c>
      <c r="M104" s="49">
        <v>0</v>
      </c>
      <c r="N104" s="49"/>
      <c r="O104" s="49">
        <f>SUM(M104:N104)</f>
        <v>0</v>
      </c>
      <c r="P104" s="49">
        <v>0</v>
      </c>
      <c r="Q104" s="49"/>
      <c r="R104" s="49">
        <v>0</v>
      </c>
      <c r="S104" s="49">
        <f>SUM(P104:R104)</f>
        <v>0</v>
      </c>
      <c r="T104" s="49">
        <v>0</v>
      </c>
      <c r="U104" s="49"/>
      <c r="V104" s="49">
        <f>SUM(T104:U104)</f>
        <v>0</v>
      </c>
      <c r="W104" s="49">
        <v>0</v>
      </c>
      <c r="X104" s="49">
        <v>0</v>
      </c>
      <c r="Y104" s="49">
        <f>SUM(W104:X104)</f>
        <v>0</v>
      </c>
      <c r="Z104" s="49"/>
      <c r="AA104" s="49"/>
      <c r="AB104" s="49"/>
      <c r="AC104" s="49"/>
      <c r="AD104" s="49"/>
      <c r="AE104" s="49">
        <f t="shared" si="130"/>
        <v>-4083748735.9750004</v>
      </c>
      <c r="AF104" s="49">
        <f>'Elimination 2024'!G21</f>
        <v>2578465447.4250002</v>
      </c>
      <c r="AG104" s="49"/>
      <c r="AH104" s="49">
        <f t="shared" si="126"/>
        <v>-1505283289</v>
      </c>
      <c r="AI104" s="55"/>
      <c r="AJ104" s="55"/>
    </row>
    <row r="105" spans="2:37">
      <c r="B105" s="82" t="s">
        <v>100</v>
      </c>
      <c r="C105" s="71"/>
      <c r="D105" s="49">
        <v>0</v>
      </c>
      <c r="E105" s="49"/>
      <c r="F105" s="49"/>
      <c r="G105" s="49"/>
      <c r="H105" s="49">
        <f t="shared" si="127"/>
        <v>0</v>
      </c>
      <c r="I105" s="49"/>
      <c r="J105" s="49"/>
      <c r="K105" s="49"/>
      <c r="L105" s="49">
        <f>SUM(I105:K105)</f>
        <v>0</v>
      </c>
      <c r="M105" s="49">
        <v>0</v>
      </c>
      <c r="N105" s="49"/>
      <c r="O105" s="49">
        <f>SUM(M105:N105)</f>
        <v>0</v>
      </c>
      <c r="P105" s="49">
        <v>0</v>
      </c>
      <c r="Q105" s="49"/>
      <c r="R105" s="49"/>
      <c r="S105" s="49">
        <f>SUM(P105:R105)</f>
        <v>0</v>
      </c>
      <c r="T105" s="49">
        <f>'Consol SoPL-OCI 24'!AG71</f>
        <v>0</v>
      </c>
      <c r="U105" s="49"/>
      <c r="V105" s="49">
        <f>SUM(T105:U105)</f>
        <v>0</v>
      </c>
      <c r="W105" s="49">
        <v>0</v>
      </c>
      <c r="X105" s="49"/>
      <c r="Y105" s="49">
        <f>SUM(W105:X105)</f>
        <v>0</v>
      </c>
      <c r="Z105" s="49"/>
      <c r="AA105" s="49"/>
      <c r="AB105" s="49"/>
      <c r="AC105" s="49"/>
      <c r="AD105" s="49"/>
      <c r="AE105" s="49">
        <f t="shared" si="130"/>
        <v>0</v>
      </c>
      <c r="AF105" s="49"/>
      <c r="AG105" s="49"/>
      <c r="AH105" s="49">
        <f t="shared" si="126"/>
        <v>0</v>
      </c>
      <c r="AI105" s="55"/>
      <c r="AJ105" s="55"/>
    </row>
    <row r="106" spans="2:37">
      <c r="B106" s="57" t="s">
        <v>101</v>
      </c>
      <c r="C106" s="71"/>
      <c r="D106" s="49"/>
      <c r="E106" s="49"/>
      <c r="F106" s="49"/>
      <c r="G106" s="49"/>
      <c r="H106" s="49"/>
      <c r="I106" s="49"/>
      <c r="J106" s="49"/>
      <c r="K106" s="49"/>
      <c r="L106" s="49">
        <f t="shared" ref="L106" si="133">SUM(I106:K106)</f>
        <v>0</v>
      </c>
      <c r="M106" s="49">
        <v>0</v>
      </c>
      <c r="N106" s="49"/>
      <c r="O106" s="49">
        <f t="shared" ref="O106" si="134">SUM(M106:N106)</f>
        <v>0</v>
      </c>
      <c r="P106" s="49">
        <v>0</v>
      </c>
      <c r="Q106" s="49"/>
      <c r="R106" s="49"/>
      <c r="S106" s="49">
        <f t="shared" ref="S106" si="135">SUM(P106:R106)</f>
        <v>0</v>
      </c>
      <c r="T106" s="49">
        <v>0</v>
      </c>
      <c r="U106" s="49"/>
      <c r="V106" s="49">
        <f t="shared" ref="V106" si="136">SUM(T106:U106)</f>
        <v>0</v>
      </c>
      <c r="W106" s="49">
        <v>0</v>
      </c>
      <c r="X106" s="49"/>
      <c r="Y106" s="49">
        <f t="shared" ref="Y106" si="137">SUM(W106:X106)</f>
        <v>0</v>
      </c>
      <c r="Z106" s="49">
        <f>-Z40</f>
        <v>-2093719895.629427</v>
      </c>
      <c r="AA106" s="49">
        <f>-AA40</f>
        <v>57099484402.259415</v>
      </c>
      <c r="AB106" s="49">
        <f>SUM('Proforma Adjustment'!D111,'Proforma Adjustment'!E116,'Proforma Adjustment'!D119,'Proforma Adjustment'!E124,'Proforma Adjustment'!E128,'Proforma Adjustment'!D131)+'Proforma Adjustment'!D135+'Proforma Adjustment'!E140</f>
        <v>-55005765058.461212</v>
      </c>
      <c r="AC106" s="49"/>
      <c r="AD106" s="49"/>
      <c r="AE106" s="49">
        <v>0</v>
      </c>
      <c r="AF106" s="49"/>
      <c r="AG106" s="49"/>
      <c r="AH106" s="49">
        <f t="shared" si="126"/>
        <v>0</v>
      </c>
      <c r="AI106" s="55"/>
      <c r="AJ106" s="55"/>
    </row>
    <row r="107" spans="2:37">
      <c r="B107" s="82"/>
      <c r="C107" s="71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55"/>
      <c r="AJ107" s="55"/>
    </row>
    <row r="108" spans="2:37" ht="12" customHeight="1">
      <c r="B108" s="83"/>
      <c r="C108" s="79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28"/>
      <c r="AJ108" s="55"/>
    </row>
    <row r="109" spans="2:37" ht="13">
      <c r="B109" s="76" t="s">
        <v>102</v>
      </c>
      <c r="C109" s="71"/>
      <c r="D109" s="49">
        <f>SUM(D92:D108)</f>
        <v>-1282933750837.8499</v>
      </c>
      <c r="E109" s="49">
        <f>SUM(E92:E108)</f>
        <v>7008643586.8000002</v>
      </c>
      <c r="F109" s="49"/>
      <c r="G109" s="49"/>
      <c r="H109" s="49">
        <f t="shared" ref="H109:AB109" si="138">SUM(H92:H108)</f>
        <v>-1256554142734.3745</v>
      </c>
      <c r="I109" s="49">
        <f>SUM(I92:I108)</f>
        <v>-82039657668.273392</v>
      </c>
      <c r="J109" s="49">
        <f t="shared" si="138"/>
        <v>775216859193.25</v>
      </c>
      <c r="K109" s="49"/>
      <c r="L109" s="49">
        <f t="shared" si="138"/>
        <v>693115127029.62659</v>
      </c>
      <c r="M109" s="49">
        <f t="shared" si="138"/>
        <v>8183429749</v>
      </c>
      <c r="N109" s="49">
        <f t="shared" si="138"/>
        <v>289441435.42500019</v>
      </c>
      <c r="O109" s="49">
        <f t="shared" si="138"/>
        <v>8472871184.4250002</v>
      </c>
      <c r="P109" s="49">
        <f t="shared" si="138"/>
        <v>-132944613638.1255</v>
      </c>
      <c r="Q109" s="49">
        <f t="shared" si="138"/>
        <v>152350049925.25</v>
      </c>
      <c r="R109" s="49">
        <f t="shared" si="138"/>
        <v>0</v>
      </c>
      <c r="S109" s="49">
        <f t="shared" si="138"/>
        <v>19405436287.124496</v>
      </c>
      <c r="T109" s="49">
        <f t="shared" si="138"/>
        <v>78298383432.274704</v>
      </c>
      <c r="U109" s="49">
        <f t="shared" si="138"/>
        <v>28711285630.649998</v>
      </c>
      <c r="V109" s="49">
        <f t="shared" si="138"/>
        <v>107009669062.9247</v>
      </c>
      <c r="W109" s="49">
        <f t="shared" si="138"/>
        <v>-1156244304.5999999</v>
      </c>
      <c r="X109" s="49">
        <f t="shared" si="138"/>
        <v>239400000</v>
      </c>
      <c r="Y109" s="49">
        <f t="shared" si="138"/>
        <v>-916844304.60000002</v>
      </c>
      <c r="Z109" s="49">
        <f t="shared" si="138"/>
        <v>-2093719895.629427</v>
      </c>
      <c r="AA109" s="49">
        <f t="shared" si="138"/>
        <v>57099484402.259415</v>
      </c>
      <c r="AB109" s="49">
        <f t="shared" si="138"/>
        <v>-55005765058.461212</v>
      </c>
      <c r="AC109" s="49"/>
      <c r="AD109" s="49"/>
      <c r="AE109" s="49">
        <f>SUM(AE92:AE108)</f>
        <v>-429467883474.8739</v>
      </c>
      <c r="AF109" s="49"/>
      <c r="AG109" s="49"/>
      <c r="AH109" s="49">
        <f>SUM(AH92:AH108)</f>
        <v>-1151291626426</v>
      </c>
      <c r="AI109" s="28"/>
    </row>
    <row r="110" spans="2:37" s="90" customFormat="1" ht="13">
      <c r="B110" s="85" t="s">
        <v>103</v>
      </c>
      <c r="C110" s="86"/>
      <c r="D110" s="87"/>
      <c r="E110" s="87"/>
      <c r="F110" s="88"/>
      <c r="G110" s="88"/>
      <c r="H110" s="88">
        <f t="shared" ref="H110" si="139">SUM(D110:F110)</f>
        <v>0</v>
      </c>
      <c r="I110" s="88">
        <v>0</v>
      </c>
      <c r="J110" s="88"/>
      <c r="K110" s="88"/>
      <c r="L110" s="88">
        <f t="shared" ref="L110" si="140">SUM(I110:K110)</f>
        <v>0</v>
      </c>
      <c r="M110" s="88">
        <v>0</v>
      </c>
      <c r="N110" s="88"/>
      <c r="O110" s="88">
        <f t="shared" ref="O110" si="141">SUM(M110:N110)</f>
        <v>0</v>
      </c>
      <c r="P110" s="88">
        <v>0</v>
      </c>
      <c r="Q110" s="88"/>
      <c r="R110" s="88"/>
      <c r="S110" s="88">
        <f t="shared" ref="S110" si="142">SUM(P110:R110)</f>
        <v>0</v>
      </c>
      <c r="T110" s="88">
        <v>-30852659.25</v>
      </c>
      <c r="U110" s="88"/>
      <c r="V110" s="88">
        <f t="shared" ref="V110" si="143">SUM(T110:U110)</f>
        <v>-30852659.25</v>
      </c>
      <c r="W110" s="88">
        <v>0</v>
      </c>
      <c r="X110" s="88"/>
      <c r="Y110" s="88">
        <f t="shared" ref="Y110" si="144">SUM(W110:X110)</f>
        <v>0</v>
      </c>
      <c r="Z110" s="88"/>
      <c r="AA110" s="88"/>
      <c r="AB110" s="88"/>
      <c r="AC110" s="88"/>
      <c r="AD110" s="88"/>
      <c r="AE110" s="88">
        <f t="shared" ref="AE110" si="145">ROUND(SUM(H110,L110,Z110,AA110,AC110:AD110,O110,S110,V110,Y110,AB110),0)</f>
        <v>-30852659</v>
      </c>
      <c r="AF110" s="88">
        <f>SUM('Elimination 2024'!G11:G12,'Elimination 2024'!G35,'Elimination 2024'!H51,'Elimination 2024'!G60)</f>
        <v>1385287402042.9004</v>
      </c>
      <c r="AG110" s="88">
        <f>'Elimination 2024'!H8+'Elimination 2024'!H19+'Elimination 2024'!H24+'Elimination 2024'!H32+'Elimination 2024'!H37+'Elimination 2024'!H45+'Elimination 2024'!H50+'Elimination 2024'!H58+'Elimination 2024'!G61</f>
        <v>-648949965035.36365</v>
      </c>
      <c r="AH110" s="88">
        <f>SUM(AE110:AG111)</f>
        <v>736306584348.53674</v>
      </c>
      <c r="AI110" s="89"/>
    </row>
    <row r="111" spans="2:37">
      <c r="B111" s="78"/>
      <c r="C111" s="7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28"/>
    </row>
    <row r="112" spans="2:37" s="40" customFormat="1" ht="13">
      <c r="B112" s="60" t="s">
        <v>104</v>
      </c>
      <c r="C112" s="61"/>
      <c r="D112" s="73">
        <f>SUM(D109:D111)</f>
        <v>-1282933750837.8499</v>
      </c>
      <c r="E112" s="73">
        <f>SUM(E109:E111)</f>
        <v>7008643586.8000002</v>
      </c>
      <c r="F112" s="73"/>
      <c r="G112" s="73"/>
      <c r="H112" s="73">
        <f t="shared" ref="H112:L112" si="146">SUM(H109:H111)</f>
        <v>-1256554142734.3745</v>
      </c>
      <c r="I112" s="73">
        <f t="shared" si="146"/>
        <v>-82039657668.273392</v>
      </c>
      <c r="J112" s="73">
        <f t="shared" si="146"/>
        <v>775216859193.25</v>
      </c>
      <c r="K112" s="73">
        <f t="shared" si="146"/>
        <v>0</v>
      </c>
      <c r="L112" s="73">
        <f t="shared" si="146"/>
        <v>693115127029.62659</v>
      </c>
      <c r="M112" s="73">
        <f>SUM(M109:M111)</f>
        <v>8183429749</v>
      </c>
      <c r="N112" s="73"/>
      <c r="O112" s="73">
        <f>SUM(O109:O111)</f>
        <v>8472871184.4250002</v>
      </c>
      <c r="P112" s="73">
        <f>SUM(P109:P111)</f>
        <v>-132944613638.1255</v>
      </c>
      <c r="Q112" s="73">
        <f>SUM(Q109:Q111)</f>
        <v>152350049925.25</v>
      </c>
      <c r="R112" s="73"/>
      <c r="S112" s="73">
        <f>SUM(S109:S111)</f>
        <v>19405436287.124496</v>
      </c>
      <c r="T112" s="73">
        <f>SUM(T109:T111)</f>
        <v>78267530773.024704</v>
      </c>
      <c r="U112" s="73"/>
      <c r="V112" s="73">
        <f>SUM(V109:V111)</f>
        <v>106978816403.6747</v>
      </c>
      <c r="W112" s="73">
        <f>SUM(W109:W111)</f>
        <v>-1156244304.5999999</v>
      </c>
      <c r="X112" s="73"/>
      <c r="Y112" s="73">
        <f>SUM(Y109:Y111)</f>
        <v>-916844304.60000002</v>
      </c>
      <c r="Z112" s="73"/>
      <c r="AA112" s="73"/>
      <c r="AB112" s="73"/>
      <c r="AC112" s="73"/>
      <c r="AD112" s="73"/>
      <c r="AE112" s="73">
        <f>SUM(AE109:AE111)</f>
        <v>-429498736133.8739</v>
      </c>
      <c r="AF112" s="73"/>
      <c r="AG112" s="73"/>
      <c r="AH112" s="73">
        <f>SUM(AH109:AH111)</f>
        <v>-414985042077.46326</v>
      </c>
      <c r="AI112" s="28"/>
    </row>
    <row r="113" spans="2:35" ht="13">
      <c r="B113" s="91"/>
      <c r="C113" s="71"/>
      <c r="D113" s="64" t="s">
        <v>40</v>
      </c>
      <c r="E113" s="64" t="s">
        <v>40</v>
      </c>
      <c r="F113" s="64"/>
      <c r="G113" s="64"/>
      <c r="H113" s="64" t="s">
        <v>40</v>
      </c>
      <c r="I113" s="64" t="s">
        <v>40</v>
      </c>
      <c r="J113" s="64" t="s">
        <v>40</v>
      </c>
      <c r="K113" s="64" t="s">
        <v>40</v>
      </c>
      <c r="L113" s="64" t="s">
        <v>40</v>
      </c>
      <c r="M113" s="64" t="s">
        <v>40</v>
      </c>
      <c r="N113" s="64"/>
      <c r="O113" s="64" t="s">
        <v>40</v>
      </c>
      <c r="P113" s="64" t="s">
        <v>40</v>
      </c>
      <c r="Q113" s="64" t="s">
        <v>40</v>
      </c>
      <c r="R113" s="64"/>
      <c r="S113" s="64" t="s">
        <v>40</v>
      </c>
      <c r="T113" s="64" t="s">
        <v>40</v>
      </c>
      <c r="U113" s="64"/>
      <c r="V113" s="64" t="s">
        <v>40</v>
      </c>
      <c r="W113" s="64" t="s">
        <v>40</v>
      </c>
      <c r="X113" s="64"/>
      <c r="Y113" s="64" t="s">
        <v>40</v>
      </c>
      <c r="Z113" s="64"/>
      <c r="AA113" s="64"/>
      <c r="AB113" s="64"/>
      <c r="AC113" s="64"/>
      <c r="AD113" s="64"/>
      <c r="AE113" s="64" t="s">
        <v>40</v>
      </c>
      <c r="AF113" s="64"/>
      <c r="AG113" s="64"/>
      <c r="AH113" s="64" t="s">
        <v>40</v>
      </c>
      <c r="AI113" s="28"/>
    </row>
    <row r="114" spans="2:35" s="40" customFormat="1" ht="13">
      <c r="B114" s="60" t="s">
        <v>105</v>
      </c>
      <c r="C114" s="61"/>
      <c r="D114" s="73">
        <f>D89+D112</f>
        <v>-1528549989519.4749</v>
      </c>
      <c r="E114" s="73">
        <f>E89+E112</f>
        <v>127488896499.8</v>
      </c>
      <c r="F114" s="73"/>
      <c r="G114" s="73"/>
      <c r="H114" s="73">
        <f t="shared" ref="H114:L114" si="147">H89+H112</f>
        <v>-1398148597116.6494</v>
      </c>
      <c r="I114" s="73">
        <f t="shared" si="147"/>
        <v>-295532148327.04938</v>
      </c>
      <c r="J114" s="73">
        <f t="shared" si="147"/>
        <v>-149164695675.75</v>
      </c>
      <c r="K114" s="73">
        <f t="shared" si="147"/>
        <v>0</v>
      </c>
      <c r="L114" s="73">
        <f t="shared" si="147"/>
        <v>-462826647027.48596</v>
      </c>
      <c r="M114" s="73">
        <f>M89+M112</f>
        <v>-44712233064</v>
      </c>
      <c r="N114" s="73"/>
      <c r="O114" s="73">
        <f>O89+O112</f>
        <v>-45291666926.699997</v>
      </c>
      <c r="P114" s="73">
        <f>P89+P112</f>
        <v>-183919093116.12549</v>
      </c>
      <c r="Q114" s="73">
        <f>Q89+Q112</f>
        <v>3260981972.25</v>
      </c>
      <c r="R114" s="73"/>
      <c r="S114" s="73">
        <f>S89+S112</f>
        <v>-180658111143.87549</v>
      </c>
      <c r="T114" s="73">
        <f>T89+T112</f>
        <v>-235198148606.97528</v>
      </c>
      <c r="U114" s="73"/>
      <c r="V114" s="73">
        <f>V89+V112</f>
        <v>-251123708608.16187</v>
      </c>
      <c r="W114" s="73">
        <f>W89+W112</f>
        <v>-2581744972.2749996</v>
      </c>
      <c r="X114" s="73"/>
      <c r="Y114" s="73">
        <f>Y89+Y112</f>
        <v>-2581744972.2750001</v>
      </c>
      <c r="Z114" s="73"/>
      <c r="AA114" s="73"/>
      <c r="AB114" s="73"/>
      <c r="AC114" s="73"/>
      <c r="AD114" s="73"/>
      <c r="AE114" s="73">
        <f>AE89+AE112</f>
        <v>-2340630475794.8979</v>
      </c>
      <c r="AF114" s="73"/>
      <c r="AG114" s="73"/>
      <c r="AH114" s="73">
        <f>AH89+AH112</f>
        <v>-878848232513.46326</v>
      </c>
      <c r="AI114" s="28"/>
    </row>
    <row r="115" spans="2:35" s="40" customFormat="1" ht="13">
      <c r="B115" s="92"/>
      <c r="D115" s="22" t="s">
        <v>40</v>
      </c>
      <c r="E115" s="22" t="s">
        <v>40</v>
      </c>
      <c r="F115" s="22"/>
      <c r="G115" s="22"/>
      <c r="H115" s="22"/>
      <c r="I115" s="22" t="s">
        <v>40</v>
      </c>
      <c r="J115" s="22" t="s">
        <v>40</v>
      </c>
      <c r="K115" s="22" t="s">
        <v>40</v>
      </c>
      <c r="L115" s="22"/>
      <c r="M115" s="22" t="s">
        <v>40</v>
      </c>
      <c r="N115" s="22"/>
      <c r="O115" s="22"/>
      <c r="P115" s="22" t="s">
        <v>40</v>
      </c>
      <c r="Q115" s="22" t="s">
        <v>40</v>
      </c>
      <c r="R115" s="22"/>
      <c r="S115" s="22"/>
      <c r="T115" s="22" t="s">
        <v>40</v>
      </c>
      <c r="U115" s="22"/>
      <c r="V115" s="22"/>
      <c r="W115" s="22" t="s">
        <v>40</v>
      </c>
      <c r="X115" s="22"/>
      <c r="Y115" s="22"/>
      <c r="Z115" s="22"/>
      <c r="AA115" s="22"/>
      <c r="AB115" s="22"/>
      <c r="AC115" s="22"/>
      <c r="AD115" s="22"/>
      <c r="AE115" s="22" t="s">
        <v>40</v>
      </c>
      <c r="AF115" s="22"/>
      <c r="AG115" s="22"/>
      <c r="AH115" s="22" t="s">
        <v>40</v>
      </c>
    </row>
    <row r="116" spans="2:35" ht="13">
      <c r="C116" s="27" t="s">
        <v>106</v>
      </c>
      <c r="D116" s="93"/>
      <c r="E116" s="93"/>
      <c r="F116" s="93"/>
      <c r="G116" s="93"/>
      <c r="H116" s="94">
        <f>SUM(H98)</f>
        <v>-42384330497.25</v>
      </c>
      <c r="I116" s="93"/>
      <c r="J116" s="93"/>
      <c r="K116" s="93"/>
      <c r="L116" s="94">
        <f>L98</f>
        <v>-11551896192.375</v>
      </c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G116" s="65"/>
    </row>
    <row r="117" spans="2:35">
      <c r="N117" s="28"/>
    </row>
    <row r="118" spans="2:35" s="95" customFormat="1">
      <c r="C118" s="95" t="s">
        <v>107</v>
      </c>
      <c r="H118" s="96">
        <f>H102</f>
        <v>251445346429.67499</v>
      </c>
      <c r="L118" s="96">
        <f t="shared" ref="L118:Z118" si="148">L102</f>
        <v>243676524429.64999</v>
      </c>
      <c r="O118" s="96">
        <f t="shared" ref="O118:S118" si="149">O102</f>
        <v>10891649906</v>
      </c>
      <c r="P118" s="96">
        <f t="shared" si="149"/>
        <v>-2160990000</v>
      </c>
      <c r="Q118" s="96"/>
      <c r="R118" s="96">
        <f t="shared" si="149"/>
        <v>0</v>
      </c>
      <c r="S118" s="96">
        <f t="shared" si="149"/>
        <v>36098801827</v>
      </c>
      <c r="V118" s="96">
        <f t="shared" ref="V118:Y118" si="150">V102</f>
        <v>9124405937.9247017</v>
      </c>
      <c r="W118" s="96">
        <f t="shared" si="150"/>
        <v>-897156804.60000002</v>
      </c>
      <c r="X118" s="96">
        <f t="shared" si="150"/>
        <v>0</v>
      </c>
      <c r="Y118" s="96">
        <f t="shared" si="150"/>
        <v>-897156804.60000002</v>
      </c>
      <c r="Z118" s="96">
        <f t="shared" si="148"/>
        <v>0</v>
      </c>
      <c r="AA118" s="96"/>
      <c r="AB118" s="96"/>
      <c r="AE118" s="96">
        <f t="shared" ref="AE118" si="151">AE102</f>
        <v>550339571725.64966</v>
      </c>
      <c r="AH118" s="96">
        <f>AH102</f>
        <v>252352390590</v>
      </c>
    </row>
    <row r="119" spans="2:35" s="95" customFormat="1">
      <c r="C119" s="95" t="s">
        <v>108</v>
      </c>
      <c r="H119" s="96">
        <f>'Consol SoPL-OCI 24'!I87</f>
        <v>251445346429.59094</v>
      </c>
      <c r="L119" s="96">
        <f>'Consol SoPL-OCI 24'!M87</f>
        <v>243676524429.64999</v>
      </c>
      <c r="M119" s="95">
        <f>'Consol SoPL-OCI 24'!N87</f>
        <v>10891649906</v>
      </c>
      <c r="N119" s="95">
        <f>'Consol SoPL-OCI 24'!O87</f>
        <v>0</v>
      </c>
      <c r="O119" s="96">
        <f>'Consol SoPL-OCI 24'!P87</f>
        <v>10891649906</v>
      </c>
      <c r="P119" s="96">
        <f>'Consol SoPL-OCI 24'!Q87</f>
        <v>-2160990000</v>
      </c>
      <c r="Q119" s="96"/>
      <c r="R119" s="96"/>
      <c r="S119" s="96">
        <f>'Consol SoPL-OCI 24'!T87</f>
        <v>36098801827</v>
      </c>
      <c r="V119" s="96">
        <f>'Consol SoPL-OCI 24'!W87</f>
        <v>9124405937.9246941</v>
      </c>
      <c r="W119" s="96">
        <f>'Consol SoPL-OCI 24'!Z87</f>
        <v>-897156804.60000002</v>
      </c>
      <c r="X119" s="96"/>
      <c r="Y119" s="96">
        <f>'Consol SoPL-OCI 24'!Z87</f>
        <v>-897156804.60000002</v>
      </c>
      <c r="Z119" s="96"/>
      <c r="AA119" s="96"/>
      <c r="AB119" s="96"/>
      <c r="AE119" s="96">
        <f>'Consol SoPL-OCI 24'!AD87</f>
        <v>550339571725.56567</v>
      </c>
      <c r="AH119" s="96">
        <f>'Consol SoPL-OCI 24'!AG87</f>
        <v>252352390589.87088</v>
      </c>
    </row>
    <row r="120" spans="2:35">
      <c r="C120" s="27" t="s">
        <v>109</v>
      </c>
      <c r="H120" s="28">
        <f>H118-H119</f>
        <v>8.404541015625E-2</v>
      </c>
      <c r="L120" s="28">
        <f t="shared" ref="L120:Z120" si="152">L118-L119</f>
        <v>0</v>
      </c>
      <c r="O120" s="28">
        <f t="shared" ref="O120:S120" si="153">O118-O119</f>
        <v>0</v>
      </c>
      <c r="P120" s="28">
        <f t="shared" si="153"/>
        <v>0</v>
      </c>
      <c r="Q120" s="28"/>
      <c r="R120" s="28">
        <f t="shared" si="153"/>
        <v>0</v>
      </c>
      <c r="S120" s="28">
        <f t="shared" si="153"/>
        <v>0</v>
      </c>
      <c r="V120" s="28">
        <f t="shared" ref="V120:Y120" si="154">V118-V119</f>
        <v>0</v>
      </c>
      <c r="W120" s="28">
        <f t="shared" si="154"/>
        <v>0</v>
      </c>
      <c r="X120" s="28">
        <f t="shared" si="154"/>
        <v>0</v>
      </c>
      <c r="Y120" s="28">
        <f t="shared" si="154"/>
        <v>0</v>
      </c>
      <c r="Z120" s="28">
        <f t="shared" si="152"/>
        <v>0</v>
      </c>
      <c r="AA120" s="28"/>
      <c r="AB120" s="28"/>
      <c r="AE120" s="28">
        <f t="shared" ref="AE120" si="155">AE118-AE119</f>
        <v>8.3984375E-2</v>
      </c>
      <c r="AH120" s="28">
        <f t="shared" ref="AH120" si="156">AH118-AH119</f>
        <v>0.129119873046875</v>
      </c>
    </row>
    <row r="121" spans="2:35">
      <c r="W121" s="28"/>
    </row>
  </sheetData>
  <mergeCells count="11">
    <mergeCell ref="AF10:AG10"/>
    <mergeCell ref="B10:C11"/>
    <mergeCell ref="F10:F11"/>
    <mergeCell ref="G10:G11"/>
    <mergeCell ref="K10:K11"/>
    <mergeCell ref="N10:N11"/>
    <mergeCell ref="R10:R11"/>
    <mergeCell ref="U10:U11"/>
    <mergeCell ref="X10:X11"/>
    <mergeCell ref="Z10:AB10"/>
    <mergeCell ref="AC10:AD10"/>
  </mergeCells>
  <pageMargins left="0.70866141732283472" right="0.70866141732283472" top="0.74803149606299213" bottom="0.74803149606299213" header="0.31496062992125984" footer="0.31496062992125984"/>
  <pageSetup paperSize="9" scale="75" orientation="portrait" horizontalDpi="300" r:id="rId1"/>
  <rowBreaks count="1" manualBreakCount="1">
    <brk id="78" max="24" man="1"/>
  </rowBreaks>
  <colBreaks count="1" manualBreakCount="1">
    <brk id="25" max="12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73E5-7768-4E81-840A-C0369E7E39E4}">
  <dimension ref="A2:AJ109"/>
  <sheetViews>
    <sheetView workbookViewId="0"/>
  </sheetViews>
  <sheetFormatPr defaultColWidth="8.26953125" defaultRowHeight="12.5" outlineLevelRow="1" outlineLevelCol="4"/>
  <cols>
    <col min="1" max="1" width="4.7265625" style="27" bestFit="1" customWidth="1"/>
    <col min="2" max="2" width="10.81640625" style="27" customWidth="1"/>
    <col min="3" max="3" width="32" style="27" customWidth="1"/>
    <col min="4" max="4" width="2.1796875" style="27" customWidth="1"/>
    <col min="5" max="6" width="18.7265625" style="27" hidden="1" customWidth="1" outlineLevel="2"/>
    <col min="7" max="8" width="17" style="27" hidden="1" customWidth="1" outlineLevel="3"/>
    <col min="9" max="9" width="17" style="27" customWidth="1" outlineLevel="1" collapsed="1"/>
    <col min="10" max="11" width="17.81640625" style="27" hidden="1" customWidth="1" outlineLevel="3"/>
    <col min="12" max="12" width="17.81640625" style="27" hidden="1" customWidth="1" outlineLevel="4"/>
    <col min="13" max="13" width="17.81640625" style="27" customWidth="1" outlineLevel="1" collapsed="1"/>
    <col min="14" max="14" width="17.81640625" style="27" hidden="1" customWidth="1" outlineLevel="3"/>
    <col min="15" max="15" width="17.81640625" style="27" hidden="1" customWidth="1" outlineLevel="4"/>
    <col min="16" max="16" width="17.81640625" style="27" customWidth="1" outlineLevel="1" collapsed="1"/>
    <col min="17" max="18" width="18.7265625" style="27" hidden="1" customWidth="1" outlineLevel="2"/>
    <col min="19" max="19" width="17" style="27" hidden="1" customWidth="1" outlineLevel="3"/>
    <col min="20" max="20" width="17" style="27" customWidth="1" outlineLevel="1" collapsed="1"/>
    <col min="21" max="21" width="18.7265625" style="27" hidden="1" customWidth="1" outlineLevel="2"/>
    <col min="22" max="22" width="17" style="27" hidden="1" customWidth="1" outlineLevel="3"/>
    <col min="23" max="23" width="20.7265625" style="27" bestFit="1" customWidth="1" outlineLevel="1" collapsed="1"/>
    <col min="24" max="24" width="18.7265625" style="27" hidden="1" customWidth="1" outlineLevel="2"/>
    <col min="25" max="25" width="17" style="27" hidden="1" customWidth="1" outlineLevel="3"/>
    <col min="26" max="26" width="20.1796875" style="27" customWidth="1" outlineLevel="1" collapsed="1"/>
    <col min="27" max="27" width="17" style="27" customWidth="1" outlineLevel="1"/>
    <col min="28" max="29" width="17.81640625" style="27" customWidth="1" outlineLevel="1"/>
    <col min="30" max="32" width="20.26953125" style="27" customWidth="1" outlineLevel="1"/>
    <col min="33" max="33" width="20.26953125" style="27" customWidth="1"/>
    <col min="34" max="34" width="5.453125" style="27" customWidth="1"/>
    <col min="35" max="35" width="8.26953125" style="27"/>
    <col min="36" max="36" width="16.54296875" style="27" bestFit="1" customWidth="1"/>
    <col min="37" max="16384" width="8.26953125" style="27"/>
  </cols>
  <sheetData>
    <row r="2" spans="1:36" s="7" customFormat="1" ht="13">
      <c r="B2" s="1"/>
      <c r="C2" s="2"/>
      <c r="D2" s="16"/>
      <c r="E2" s="16"/>
      <c r="F2" s="16"/>
      <c r="G2" s="3"/>
      <c r="H2" s="3"/>
      <c r="I2" s="3"/>
      <c r="J2" s="3"/>
      <c r="K2" s="3"/>
      <c r="L2" s="3"/>
      <c r="M2" s="3"/>
      <c r="N2" s="3"/>
      <c r="O2" s="3"/>
      <c r="P2" s="3"/>
      <c r="Q2" s="16"/>
      <c r="R2" s="16"/>
      <c r="S2" s="3"/>
      <c r="T2" s="3"/>
      <c r="U2" s="16"/>
      <c r="V2" s="3"/>
      <c r="W2" s="3"/>
      <c r="X2" s="16"/>
      <c r="Y2" s="3"/>
      <c r="Z2" s="3"/>
      <c r="AA2" s="3"/>
      <c r="AB2" s="3"/>
      <c r="AC2" s="3"/>
      <c r="AD2" s="3"/>
      <c r="AE2" s="3"/>
      <c r="AF2" s="3"/>
      <c r="AG2" s="5"/>
      <c r="AH2" s="6"/>
    </row>
    <row r="3" spans="1:36" s="7" customFormat="1" ht="14.9" customHeight="1">
      <c r="B3" s="8"/>
      <c r="C3" s="9" t="s">
        <v>592</v>
      </c>
      <c r="D3" s="97"/>
      <c r="E3" s="97"/>
      <c r="F3" s="97"/>
      <c r="G3" s="11"/>
      <c r="H3" s="11"/>
      <c r="I3" s="11"/>
      <c r="J3" s="11"/>
      <c r="K3" s="11"/>
      <c r="L3" s="11"/>
      <c r="M3" s="11"/>
      <c r="N3" s="11"/>
      <c r="O3" s="11"/>
      <c r="P3" s="11"/>
      <c r="Q3" s="97"/>
      <c r="R3" s="97"/>
      <c r="S3" s="11"/>
      <c r="T3" s="11"/>
      <c r="U3" s="97"/>
      <c r="V3" s="11"/>
      <c r="W3" s="11"/>
      <c r="X3" s="97"/>
      <c r="Y3" s="11"/>
      <c r="Z3" s="11"/>
      <c r="AA3" s="11"/>
      <c r="AB3" s="11"/>
      <c r="AC3" s="11"/>
      <c r="AD3" s="11"/>
      <c r="AE3" s="11"/>
      <c r="AF3" s="11"/>
      <c r="AG3" s="13"/>
      <c r="AH3" s="14"/>
    </row>
    <row r="4" spans="1:36" s="7" customFormat="1" ht="14.9" customHeight="1">
      <c r="B4" s="15"/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5"/>
      <c r="AH4" s="6"/>
    </row>
    <row r="5" spans="1:36" s="7" customFormat="1" ht="14.9" customHeight="1">
      <c r="B5" s="9"/>
      <c r="C5" s="17" t="s">
        <v>110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8"/>
      <c r="AH5" s="19"/>
    </row>
    <row r="6" spans="1:36" s="7" customFormat="1" ht="14.9" customHeight="1">
      <c r="B6" s="20"/>
      <c r="C6" s="21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4"/>
    </row>
    <row r="7" spans="1:36" s="7" customFormat="1" ht="14.9" customHeight="1">
      <c r="B7" s="20"/>
      <c r="C7" s="21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4"/>
    </row>
    <row r="8" spans="1:36">
      <c r="B8" s="29"/>
      <c r="C8" s="98"/>
      <c r="E8" s="98"/>
      <c r="F8" s="98"/>
      <c r="G8" s="98"/>
      <c r="H8" s="98"/>
      <c r="I8" s="98"/>
      <c r="L8" s="98"/>
      <c r="M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 spans="1:36" ht="13">
      <c r="B9" s="29"/>
      <c r="C9" s="98"/>
      <c r="E9" s="99"/>
      <c r="F9" s="100"/>
      <c r="G9" s="101"/>
      <c r="H9" s="101"/>
      <c r="I9" s="99" t="s">
        <v>641</v>
      </c>
      <c r="J9" s="101"/>
      <c r="K9" s="101"/>
      <c r="L9" s="101"/>
      <c r="M9" s="99" t="s">
        <v>688</v>
      </c>
      <c r="N9" s="101"/>
      <c r="O9" s="101"/>
      <c r="P9" s="99" t="s">
        <v>740</v>
      </c>
      <c r="Q9" s="99"/>
      <c r="R9" s="100"/>
      <c r="S9" s="101"/>
      <c r="T9" s="99" t="s">
        <v>465</v>
      </c>
      <c r="U9" s="99"/>
      <c r="V9" s="101"/>
      <c r="W9" s="99" t="s">
        <v>609</v>
      </c>
      <c r="X9" s="99"/>
      <c r="Y9" s="101"/>
      <c r="Z9" s="99" t="s">
        <v>461</v>
      </c>
      <c r="AA9" s="98"/>
    </row>
    <row r="10" spans="1:36">
      <c r="B10" s="29"/>
      <c r="C10" s="98"/>
      <c r="E10" s="98"/>
      <c r="F10" s="98"/>
      <c r="G10" s="98"/>
      <c r="H10" s="98"/>
      <c r="I10" s="98"/>
      <c r="L10" s="98"/>
      <c r="M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D10" s="65"/>
      <c r="AE10" s="28"/>
    </row>
    <row r="11" spans="1:36" ht="13">
      <c r="B11" s="32" t="s">
        <v>111</v>
      </c>
      <c r="E11" s="102">
        <f>E87-'Consol SoFP 24'!D102</f>
        <v>0</v>
      </c>
      <c r="F11" s="102">
        <f>F87-'Consol SoFP 24'!E102</f>
        <v>0</v>
      </c>
      <c r="G11" s="102"/>
      <c r="H11" s="102"/>
      <c r="I11" s="102">
        <f>I87-'Consol SoFP 24'!H102</f>
        <v>-8.404541015625E-2</v>
      </c>
      <c r="J11" s="102">
        <f>J87-'Consol SoFP 24'!I102</f>
        <v>0</v>
      </c>
      <c r="K11" s="102"/>
      <c r="L11" s="102"/>
      <c r="M11" s="102">
        <f>M87-'Consol SoFP 24'!L102</f>
        <v>0</v>
      </c>
      <c r="N11" s="102">
        <f>N87-'Consol SoFP 24'!M102</f>
        <v>0</v>
      </c>
      <c r="O11" s="102">
        <f>O87-'Consol SoFP 24'!N102</f>
        <v>0</v>
      </c>
      <c r="P11" s="102">
        <f>P87-'Consol SoFP 24'!O102</f>
        <v>0</v>
      </c>
      <c r="Q11" s="102">
        <f>Q87-'Consol SoFP 24'!P102</f>
        <v>0</v>
      </c>
      <c r="R11" s="102"/>
      <c r="S11" s="102">
        <f>S87-'Consol SoFP 24'!R102</f>
        <v>0</v>
      </c>
      <c r="T11" s="102">
        <f>T87-'Consol SoFP 24'!S102</f>
        <v>0</v>
      </c>
      <c r="U11" s="102">
        <f>U87-'Consol SoFP 24'!T102</f>
        <v>0</v>
      </c>
      <c r="V11" s="102">
        <f>V87-'Consol SoFP 24'!U102</f>
        <v>-28711285630.649998</v>
      </c>
      <c r="W11" s="102">
        <f>W87-'Consol SoFP 24'!V102</f>
        <v>0</v>
      </c>
      <c r="X11" s="102">
        <f>X87-'Consol SoFP 24'!W102</f>
        <v>0</v>
      </c>
      <c r="Y11" s="102">
        <f>Y87-'Consol SoFP 24'!X102</f>
        <v>0</v>
      </c>
      <c r="Z11" s="102">
        <f>Z87-'Consol SoFP 24'!Y102</f>
        <v>0</v>
      </c>
      <c r="AA11" s="102"/>
      <c r="AB11" s="102"/>
      <c r="AC11" s="102"/>
      <c r="AD11" s="102">
        <f>AD87-'Consol SoFP 24'!AE102</f>
        <v>-8.3984375E-2</v>
      </c>
      <c r="AE11" s="102"/>
      <c r="AF11" s="102"/>
      <c r="AG11" s="102">
        <f>AG87-'Consol SoFP 24'!AH102</f>
        <v>-0.129119873046875</v>
      </c>
    </row>
    <row r="12" spans="1:36" s="40" customFormat="1" ht="12.75" customHeight="1">
      <c r="B12" s="652" t="s">
        <v>4</v>
      </c>
      <c r="C12" s="653"/>
      <c r="E12" s="103">
        <v>45657</v>
      </c>
      <c r="F12" s="103">
        <v>45657</v>
      </c>
      <c r="G12" s="661" t="s">
        <v>7</v>
      </c>
      <c r="H12" s="661" t="s">
        <v>8</v>
      </c>
      <c r="I12" s="104">
        <v>45657</v>
      </c>
      <c r="J12" s="103">
        <v>45657</v>
      </c>
      <c r="K12" s="103">
        <v>45657</v>
      </c>
      <c r="L12" s="661" t="s">
        <v>8</v>
      </c>
      <c r="M12" s="104">
        <v>45657</v>
      </c>
      <c r="N12" s="103">
        <v>45657</v>
      </c>
      <c r="O12" s="661" t="s">
        <v>8</v>
      </c>
      <c r="P12" s="104">
        <v>45657</v>
      </c>
      <c r="Q12" s="103">
        <v>45657</v>
      </c>
      <c r="R12" s="103">
        <v>45657</v>
      </c>
      <c r="S12" s="661" t="s">
        <v>8</v>
      </c>
      <c r="T12" s="104">
        <v>45657</v>
      </c>
      <c r="U12" s="103">
        <v>45657</v>
      </c>
      <c r="V12" s="661" t="s">
        <v>8</v>
      </c>
      <c r="W12" s="104">
        <v>45657</v>
      </c>
      <c r="X12" s="103">
        <v>45657</v>
      </c>
      <c r="Y12" s="661" t="s">
        <v>8</v>
      </c>
      <c r="Z12" s="104">
        <v>45657</v>
      </c>
      <c r="AA12" s="105" t="s">
        <v>9</v>
      </c>
      <c r="AB12" s="651" t="s">
        <v>10</v>
      </c>
      <c r="AC12" s="665"/>
      <c r="AD12" s="37" t="s">
        <v>11</v>
      </c>
      <c r="AE12" s="651" t="s">
        <v>12</v>
      </c>
      <c r="AF12" s="665"/>
      <c r="AG12" s="37" t="s">
        <v>13</v>
      </c>
    </row>
    <row r="13" spans="1:36" s="40" customFormat="1" ht="13">
      <c r="B13" s="663"/>
      <c r="C13" s="664"/>
      <c r="E13" s="43" t="s">
        <v>112</v>
      </c>
      <c r="F13" s="43" t="s">
        <v>6</v>
      </c>
      <c r="G13" s="662"/>
      <c r="H13" s="662"/>
      <c r="I13" s="45" t="s">
        <v>642</v>
      </c>
      <c r="J13" s="43" t="s">
        <v>5</v>
      </c>
      <c r="K13" s="43" t="s">
        <v>6</v>
      </c>
      <c r="L13" s="662"/>
      <c r="M13" s="45" t="s">
        <v>642</v>
      </c>
      <c r="N13" s="43" t="s">
        <v>112</v>
      </c>
      <c r="O13" s="662"/>
      <c r="P13" s="45" t="s">
        <v>642</v>
      </c>
      <c r="Q13" s="43" t="s">
        <v>5</v>
      </c>
      <c r="R13" s="43" t="s">
        <v>6</v>
      </c>
      <c r="S13" s="662"/>
      <c r="T13" s="45" t="s">
        <v>642</v>
      </c>
      <c r="U13" s="43" t="s">
        <v>112</v>
      </c>
      <c r="V13" s="662"/>
      <c r="W13" s="45" t="s">
        <v>642</v>
      </c>
      <c r="X13" s="43" t="s">
        <v>112</v>
      </c>
      <c r="Y13" s="662"/>
      <c r="Z13" s="45" t="s">
        <v>642</v>
      </c>
      <c r="AA13" s="46">
        <v>45657</v>
      </c>
      <c r="AB13" s="43" t="s">
        <v>14</v>
      </c>
      <c r="AC13" s="43" t="s">
        <v>15</v>
      </c>
      <c r="AD13" s="45">
        <v>45657</v>
      </c>
      <c r="AE13" s="43" t="s">
        <v>14</v>
      </c>
      <c r="AF13" s="43" t="s">
        <v>15</v>
      </c>
      <c r="AG13" s="45">
        <v>45657</v>
      </c>
    </row>
    <row r="14" spans="1:36" s="40" customFormat="1" ht="13">
      <c r="B14" s="107"/>
      <c r="C14" s="108"/>
      <c r="E14" s="109"/>
      <c r="F14" s="109"/>
      <c r="G14" s="109"/>
      <c r="H14" s="109"/>
      <c r="I14" s="110"/>
      <c r="J14" s="109"/>
      <c r="K14" s="109"/>
      <c r="L14" s="109"/>
      <c r="M14" s="110"/>
      <c r="N14" s="109"/>
      <c r="O14" s="109"/>
      <c r="P14" s="110"/>
      <c r="Q14" s="109"/>
      <c r="R14" s="109"/>
      <c r="S14" s="109"/>
      <c r="T14" s="110"/>
      <c r="U14" s="109"/>
      <c r="V14" s="109"/>
      <c r="W14" s="110"/>
      <c r="X14" s="109"/>
      <c r="Y14" s="109"/>
      <c r="Z14" s="110"/>
      <c r="AA14" s="110"/>
      <c r="AB14" s="109"/>
      <c r="AC14" s="109"/>
      <c r="AD14" s="110"/>
      <c r="AE14" s="109"/>
      <c r="AF14" s="109"/>
      <c r="AG14" s="110"/>
    </row>
    <row r="15" spans="1:36">
      <c r="B15" s="47"/>
      <c r="C15" s="48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</row>
    <row r="16" spans="1:36" ht="13">
      <c r="A16" s="27">
        <v>1</v>
      </c>
      <c r="B16" s="53" t="s">
        <v>113</v>
      </c>
      <c r="C16" s="52"/>
      <c r="E16" s="68">
        <v>-21213830389</v>
      </c>
      <c r="F16" s="68">
        <v>3647176270</v>
      </c>
      <c r="G16" s="49"/>
      <c r="H16" s="49"/>
      <c r="I16" s="49">
        <f>SUM(E16:H16)</f>
        <v>-17566654119</v>
      </c>
      <c r="J16" s="49">
        <v>-233826140611</v>
      </c>
      <c r="K16" s="49">
        <v>40085445837</v>
      </c>
      <c r="L16" s="49">
        <f>SUM('Adjustment Consol'!J56:J57)</f>
        <v>-2204243023.5</v>
      </c>
      <c r="M16" s="49">
        <f>SUM(J16:L16)</f>
        <v>-195944937797.5</v>
      </c>
      <c r="N16" s="49">
        <v>-20729834856</v>
      </c>
      <c r="O16" s="49"/>
      <c r="P16" s="49">
        <f>SUM(N16:O16)</f>
        <v>-20729834856</v>
      </c>
      <c r="Q16" s="68">
        <v>-65349876086</v>
      </c>
      <c r="R16" s="68">
        <v>41920113409</v>
      </c>
      <c r="S16" s="49"/>
      <c r="T16" s="49">
        <f>SUM(Q16:S16)</f>
        <v>-23429762677</v>
      </c>
      <c r="U16" s="68">
        <v>-529332761675</v>
      </c>
      <c r="V16" s="49"/>
      <c r="W16" s="49">
        <f>SUM(U16:V16)</f>
        <v>-529332761675</v>
      </c>
      <c r="X16" s="68">
        <v>-1641216189.375</v>
      </c>
      <c r="Y16" s="49"/>
      <c r="Z16" s="49">
        <f>SUM(X16:Y16)</f>
        <v>-1641216189.375</v>
      </c>
      <c r="AA16" s="49"/>
      <c r="AB16" s="49"/>
      <c r="AC16" s="49"/>
      <c r="AD16" s="49">
        <f>SUM(I16,M16,P16,T16,W16,Z16,AA16:AC16)</f>
        <v>-788645167313.875</v>
      </c>
      <c r="AE16" s="49"/>
      <c r="AF16" s="49"/>
      <c r="AG16" s="49">
        <f>SUM(AD16:AF16)</f>
        <v>-788645167313.875</v>
      </c>
      <c r="AJ16" s="65"/>
    </row>
    <row r="17" spans="1:36" ht="13">
      <c r="A17" s="27">
        <v>2</v>
      </c>
      <c r="B17" s="53" t="s">
        <v>114</v>
      </c>
      <c r="C17" s="111"/>
      <c r="E17" s="68">
        <v>19476856647</v>
      </c>
      <c r="F17" s="68">
        <v>-7607998269</v>
      </c>
      <c r="G17" s="49"/>
      <c r="H17" s="49">
        <f>'Adjustment Consol'!J37</f>
        <v>-11242698470.324999</v>
      </c>
      <c r="I17" s="49">
        <f>SUM(E17:H17)</f>
        <v>626159907.67500114</v>
      </c>
      <c r="J17" s="49">
        <v>232231810474</v>
      </c>
      <c r="K17" s="49">
        <v>-61079638391</v>
      </c>
      <c r="L17" s="49">
        <f>SUM('Adjustment Consol'!I51:I52)</f>
        <v>2142168528.1500001</v>
      </c>
      <c r="M17" s="49">
        <f>SUM(J17:L17)</f>
        <v>173294340611.14999</v>
      </c>
      <c r="N17" s="49">
        <v>19901974828</v>
      </c>
      <c r="O17" s="49"/>
      <c r="P17" s="49">
        <f>SUM(N17:O17)</f>
        <v>19901974828</v>
      </c>
      <c r="Q17" s="68">
        <v>20024656898</v>
      </c>
      <c r="R17" s="68">
        <v>-19145856191</v>
      </c>
      <c r="S17" s="49"/>
      <c r="T17" s="49">
        <f>SUM(Q17:S17)</f>
        <v>878800707</v>
      </c>
      <c r="U17" s="68">
        <v>502117212458</v>
      </c>
      <c r="V17" s="49"/>
      <c r="W17" s="49">
        <f>SUM(U17:V17)</f>
        <v>502117212458</v>
      </c>
      <c r="X17" s="68">
        <v>541648711.79999995</v>
      </c>
      <c r="Y17" s="49"/>
      <c r="Z17" s="49">
        <f>SUM(X17:Y17)</f>
        <v>541648711.79999995</v>
      </c>
      <c r="AA17" s="49"/>
      <c r="AB17" s="49"/>
      <c r="AC17" s="49"/>
      <c r="AD17" s="49">
        <f>SUM(I17,M17,P17,T17,W17,Z17,AA17:AC17)</f>
        <v>697360137223.625</v>
      </c>
      <c r="AE17" s="49"/>
      <c r="AF17" s="49"/>
      <c r="AG17" s="49">
        <f>SUM(AD17:AF17)</f>
        <v>697360137223.625</v>
      </c>
      <c r="AJ17" s="65"/>
    </row>
    <row r="18" spans="1:36">
      <c r="B18" s="58"/>
      <c r="C18" s="5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</row>
    <row r="19" spans="1:36" s="40" customFormat="1" ht="13">
      <c r="B19" s="60" t="s">
        <v>115</v>
      </c>
      <c r="C19" s="61"/>
      <c r="E19" s="73">
        <f>SUM(E15:E18)</f>
        <v>-1736973742</v>
      </c>
      <c r="F19" s="73">
        <f>SUM(F15:F18)</f>
        <v>-3960821999</v>
      </c>
      <c r="G19" s="73"/>
      <c r="H19" s="73"/>
      <c r="I19" s="73">
        <f>SUM(I15:I18)</f>
        <v>-16940494211.324999</v>
      </c>
      <c r="J19" s="73">
        <f>SUM(J15:J18)</f>
        <v>-1594330137</v>
      </c>
      <c r="K19" s="73">
        <f>SUM(K15:K18)</f>
        <v>-20994192554</v>
      </c>
      <c r="L19" s="73"/>
      <c r="M19" s="73">
        <f>SUM(M15:M18)</f>
        <v>-22650597186.350006</v>
      </c>
      <c r="N19" s="73">
        <f>SUM(N15:N18)</f>
        <v>-827860028</v>
      </c>
      <c r="O19" s="73"/>
      <c r="P19" s="73">
        <f>SUM(P15:P18)</f>
        <v>-827860028</v>
      </c>
      <c r="Q19" s="73">
        <f t="shared" ref="Q19:R19" si="0">SUM(Q15:Q18)</f>
        <v>-45325219188</v>
      </c>
      <c r="R19" s="73">
        <f t="shared" si="0"/>
        <v>22774257218</v>
      </c>
      <c r="S19" s="73"/>
      <c r="T19" s="73">
        <f>SUM(T15:T18)</f>
        <v>-22550961970</v>
      </c>
      <c r="U19" s="73">
        <f t="shared" ref="U19" si="1">SUM(U15:U18)</f>
        <v>-27215549217</v>
      </c>
      <c r="V19" s="73"/>
      <c r="W19" s="73">
        <f>SUM(W15:W18)</f>
        <v>-27215549217</v>
      </c>
      <c r="X19" s="73">
        <f t="shared" ref="X19" si="2">SUM(X15:X18)</f>
        <v>-1099567477.575</v>
      </c>
      <c r="Y19" s="73"/>
      <c r="Z19" s="73">
        <f>SUM(Z15:Z18)</f>
        <v>-1099567477.575</v>
      </c>
      <c r="AA19" s="73"/>
      <c r="AB19" s="73"/>
      <c r="AC19" s="73"/>
      <c r="AD19" s="73">
        <f>SUM(AD15:AD18)</f>
        <v>-91285030090.25</v>
      </c>
      <c r="AE19" s="73"/>
      <c r="AF19" s="73"/>
      <c r="AG19" s="73">
        <f t="shared" ref="AG19" si="3">SUM(AG15:AG18)</f>
        <v>-91285030090.25</v>
      </c>
    </row>
    <row r="20" spans="1:36" ht="13">
      <c r="B20" s="74"/>
      <c r="C20" s="75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</row>
    <row r="21" spans="1:36" ht="13">
      <c r="B21" s="112" t="s">
        <v>116</v>
      </c>
      <c r="C21" s="113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</row>
    <row r="22" spans="1:36">
      <c r="A22" s="27">
        <v>3</v>
      </c>
      <c r="B22" s="57" t="s">
        <v>117</v>
      </c>
      <c r="C22" s="71"/>
      <c r="E22" s="68">
        <v>0</v>
      </c>
      <c r="F22" s="68">
        <v>0</v>
      </c>
      <c r="G22" s="49"/>
      <c r="H22" s="49"/>
      <c r="I22" s="49">
        <f t="shared" ref="I22:I28" si="4">SUM(E22:H22)</f>
        <v>0</v>
      </c>
      <c r="J22" s="49">
        <v>0</v>
      </c>
      <c r="K22" s="49">
        <v>0</v>
      </c>
      <c r="L22" s="49"/>
      <c r="M22" s="49">
        <f t="shared" ref="M22:M28" si="5">SUM(J22:L22)</f>
        <v>0</v>
      </c>
      <c r="N22" s="49">
        <v>0</v>
      </c>
      <c r="O22" s="49"/>
      <c r="P22" s="49">
        <f t="shared" ref="P22:P28" si="6">SUM(N22:O22)</f>
        <v>0</v>
      </c>
      <c r="Q22" s="68">
        <v>0</v>
      </c>
      <c r="R22" s="68">
        <v>0</v>
      </c>
      <c r="S22" s="49"/>
      <c r="T22" s="49">
        <f t="shared" ref="T22:T28" si="7">SUM(Q22:S22)</f>
        <v>0</v>
      </c>
      <c r="U22" s="68">
        <v>0</v>
      </c>
      <c r="V22" s="49"/>
      <c r="W22" s="49">
        <f t="shared" ref="W22:W28" si="8">SUM(U22:V22)</f>
        <v>0</v>
      </c>
      <c r="X22" s="68">
        <v>0</v>
      </c>
      <c r="Y22" s="49"/>
      <c r="Z22" s="49">
        <f t="shared" ref="Z22:Z28" si="9">SUM(X22:Y22)</f>
        <v>0</v>
      </c>
      <c r="AA22" s="49"/>
      <c r="AB22" s="49"/>
      <c r="AC22" s="49"/>
      <c r="AD22" s="49">
        <f t="shared" ref="AD22:AD28" si="10">SUM(I22,M22,P22,T22,W22,Z22,AA22:AC22)</f>
        <v>0</v>
      </c>
      <c r="AE22" s="49"/>
      <c r="AF22" s="49"/>
      <c r="AG22" s="49">
        <f t="shared" ref="AG22:AG28" si="11">SUM(AD22:AF22)</f>
        <v>0</v>
      </c>
      <c r="AJ22" s="65"/>
    </row>
    <row r="23" spans="1:36">
      <c r="B23" s="57" t="s">
        <v>118</v>
      </c>
      <c r="C23" s="71"/>
      <c r="E23" s="68">
        <v>7504545005</v>
      </c>
      <c r="F23" s="68">
        <v>-667188005</v>
      </c>
      <c r="G23" s="49"/>
      <c r="H23" s="49"/>
      <c r="I23" s="49">
        <f t="shared" si="4"/>
        <v>6837357000</v>
      </c>
      <c r="J23" s="49">
        <v>217966206</v>
      </c>
      <c r="K23" s="49">
        <v>0</v>
      </c>
      <c r="L23" s="49"/>
      <c r="M23" s="49">
        <f t="shared" si="5"/>
        <v>217966206</v>
      </c>
      <c r="N23" s="49">
        <v>56260948</v>
      </c>
      <c r="O23" s="49"/>
      <c r="P23" s="49">
        <f t="shared" si="6"/>
        <v>56260948</v>
      </c>
      <c r="Q23" s="68">
        <v>0</v>
      </c>
      <c r="R23" s="68">
        <v>0</v>
      </c>
      <c r="S23" s="49"/>
      <c r="T23" s="49">
        <f t="shared" si="7"/>
        <v>0</v>
      </c>
      <c r="U23" s="68">
        <v>0</v>
      </c>
      <c r="V23" s="49"/>
      <c r="W23" s="49">
        <f t="shared" si="8"/>
        <v>0</v>
      </c>
      <c r="X23" s="68">
        <v>151046354.02500001</v>
      </c>
      <c r="Y23" s="49"/>
      <c r="Z23" s="49">
        <f t="shared" si="9"/>
        <v>151046354.02500001</v>
      </c>
      <c r="AA23" s="49"/>
      <c r="AB23" s="49"/>
      <c r="AC23" s="49"/>
      <c r="AD23" s="49">
        <f t="shared" si="10"/>
        <v>7262630508.0249996</v>
      </c>
      <c r="AE23" s="49"/>
      <c r="AF23" s="49"/>
      <c r="AG23" s="49">
        <f t="shared" si="11"/>
        <v>7262630508.0249996</v>
      </c>
      <c r="AJ23" s="65"/>
    </row>
    <row r="24" spans="1:36">
      <c r="A24" s="27">
        <v>4</v>
      </c>
      <c r="B24" s="57" t="s">
        <v>119</v>
      </c>
      <c r="C24" s="71"/>
      <c r="E24" s="68">
        <v>191625306573</v>
      </c>
      <c r="F24" s="68">
        <v>-7844815470</v>
      </c>
      <c r="G24" s="49"/>
      <c r="H24" s="49"/>
      <c r="I24" s="49">
        <f t="shared" si="4"/>
        <v>183780491103</v>
      </c>
      <c r="J24" s="49">
        <v>300131791767</v>
      </c>
      <c r="K24" s="49">
        <v>-47484836738</v>
      </c>
      <c r="L24" s="49"/>
      <c r="M24" s="49">
        <f t="shared" si="5"/>
        <v>252646955029</v>
      </c>
      <c r="N24" s="49">
        <v>11959012417</v>
      </c>
      <c r="O24" s="49">
        <v>0</v>
      </c>
      <c r="P24" s="49">
        <f t="shared" si="6"/>
        <v>11959012417</v>
      </c>
      <c r="Q24" s="68">
        <v>41276450194</v>
      </c>
      <c r="R24" s="68">
        <v>33375954404</v>
      </c>
      <c r="S24" s="49"/>
      <c r="T24" s="49">
        <f t="shared" si="7"/>
        <v>74652404598</v>
      </c>
      <c r="U24" s="68">
        <v>8328766765</v>
      </c>
      <c r="V24" s="49">
        <f>'Consol SoFP 24'!U102</f>
        <v>28711285630.649998</v>
      </c>
      <c r="W24" s="49">
        <f t="shared" si="8"/>
        <v>37040052395.649994</v>
      </c>
      <c r="X24" s="68">
        <v>47010491.324999996</v>
      </c>
      <c r="Y24" s="49"/>
      <c r="Z24" s="49">
        <f t="shared" si="9"/>
        <v>47010491.324999996</v>
      </c>
      <c r="AA24" s="49"/>
      <c r="AB24" s="49"/>
      <c r="AC24" s="49"/>
      <c r="AD24" s="49">
        <f t="shared" si="10"/>
        <v>560125926033.97498</v>
      </c>
      <c r="AE24" s="49"/>
      <c r="AF24" s="49"/>
      <c r="AG24" s="49">
        <f t="shared" si="11"/>
        <v>560125926033.97498</v>
      </c>
      <c r="AJ24" s="65"/>
    </row>
    <row r="25" spans="1:36">
      <c r="B25" s="57" t="s">
        <v>120</v>
      </c>
      <c r="C25" s="71"/>
      <c r="E25" s="68">
        <v>6612687009</v>
      </c>
      <c r="F25" s="68">
        <v>4384597463</v>
      </c>
      <c r="G25" s="49"/>
      <c r="H25" s="49"/>
      <c r="I25" s="49">
        <f t="shared" si="4"/>
        <v>10997284472</v>
      </c>
      <c r="J25" s="49">
        <v>21874009299</v>
      </c>
      <c r="K25" s="49">
        <v>-8793416902</v>
      </c>
      <c r="L25" s="49"/>
      <c r="M25" s="49">
        <f t="shared" si="5"/>
        <v>13080592397</v>
      </c>
      <c r="N25" s="49">
        <v>64132685</v>
      </c>
      <c r="O25" s="49"/>
      <c r="P25" s="49">
        <f t="shared" si="6"/>
        <v>64132685</v>
      </c>
      <c r="Q25" s="68">
        <v>6835992</v>
      </c>
      <c r="R25" s="68">
        <v>0</v>
      </c>
      <c r="S25" s="49"/>
      <c r="T25" s="49">
        <f t="shared" si="7"/>
        <v>6835992</v>
      </c>
      <c r="U25" s="68">
        <v>0</v>
      </c>
      <c r="V25" s="49"/>
      <c r="W25" s="49">
        <f t="shared" si="8"/>
        <v>0</v>
      </c>
      <c r="X25" s="68">
        <v>6352499.4749999996</v>
      </c>
      <c r="Y25" s="49"/>
      <c r="Z25" s="49">
        <f t="shared" si="9"/>
        <v>6352499.4749999996</v>
      </c>
      <c r="AA25" s="49"/>
      <c r="AB25" s="49"/>
      <c r="AC25" s="49"/>
      <c r="AD25" s="49">
        <f t="shared" si="10"/>
        <v>24155198045.474998</v>
      </c>
      <c r="AE25" s="49"/>
      <c r="AF25" s="49"/>
      <c r="AG25" s="49">
        <f t="shared" si="11"/>
        <v>24155198045.474998</v>
      </c>
      <c r="AJ25" s="65"/>
    </row>
    <row r="26" spans="1:36">
      <c r="B26" s="57" t="s">
        <v>121</v>
      </c>
      <c r="C26" s="71"/>
      <c r="E26" s="68">
        <v>3805101352</v>
      </c>
      <c r="F26" s="68">
        <v>4348455686</v>
      </c>
      <c r="G26" s="49"/>
      <c r="H26" s="49"/>
      <c r="I26" s="49">
        <f t="shared" si="4"/>
        <v>8153557038</v>
      </c>
      <c r="J26" s="49">
        <v>3335347373</v>
      </c>
      <c r="K26" s="49">
        <v>-222699102</v>
      </c>
      <c r="L26" s="49"/>
      <c r="M26" s="49">
        <f t="shared" si="5"/>
        <v>3112648271</v>
      </c>
      <c r="N26" s="49">
        <v>0</v>
      </c>
      <c r="O26" s="49"/>
      <c r="P26" s="49">
        <f t="shared" si="6"/>
        <v>0</v>
      </c>
      <c r="Q26" s="68">
        <v>0</v>
      </c>
      <c r="R26" s="68">
        <v>0</v>
      </c>
      <c r="S26" s="49"/>
      <c r="T26" s="49">
        <f t="shared" si="7"/>
        <v>0</v>
      </c>
      <c r="U26" s="68">
        <v>0</v>
      </c>
      <c r="V26" s="49">
        <v>0</v>
      </c>
      <c r="W26" s="49">
        <f t="shared" si="8"/>
        <v>0</v>
      </c>
      <c r="X26" s="68">
        <v>0</v>
      </c>
      <c r="Y26" s="49"/>
      <c r="Z26" s="49">
        <f t="shared" si="9"/>
        <v>0</v>
      </c>
      <c r="AA26" s="49"/>
      <c r="AB26" s="49"/>
      <c r="AC26" s="49"/>
      <c r="AD26" s="49">
        <f t="shared" si="10"/>
        <v>11266205309</v>
      </c>
      <c r="AE26" s="49"/>
      <c r="AF26" s="49"/>
      <c r="AG26" s="49">
        <f t="shared" si="11"/>
        <v>11266205309</v>
      </c>
      <c r="AJ26" s="65"/>
    </row>
    <row r="27" spans="1:36">
      <c r="B27" s="57" t="s">
        <v>122</v>
      </c>
      <c r="C27" s="71"/>
      <c r="E27" s="68">
        <v>0</v>
      </c>
      <c r="F27" s="68">
        <v>0</v>
      </c>
      <c r="G27" s="49"/>
      <c r="H27" s="49"/>
      <c r="I27" s="49">
        <f t="shared" si="4"/>
        <v>0</v>
      </c>
      <c r="J27" s="49">
        <v>0</v>
      </c>
      <c r="K27" s="49">
        <v>0</v>
      </c>
      <c r="L27" s="49"/>
      <c r="M27" s="49">
        <f t="shared" si="5"/>
        <v>0</v>
      </c>
      <c r="N27" s="49">
        <v>0</v>
      </c>
      <c r="O27" s="49"/>
      <c r="P27" s="49">
        <f t="shared" si="6"/>
        <v>0</v>
      </c>
      <c r="Q27" s="68">
        <v>0</v>
      </c>
      <c r="R27" s="68">
        <v>0</v>
      </c>
      <c r="S27" s="49"/>
      <c r="T27" s="49">
        <f t="shared" si="7"/>
        <v>0</v>
      </c>
      <c r="U27" s="68">
        <v>0</v>
      </c>
      <c r="V27" s="49"/>
      <c r="W27" s="49">
        <f t="shared" si="8"/>
        <v>0</v>
      </c>
      <c r="X27" s="68">
        <v>0</v>
      </c>
      <c r="Y27" s="49"/>
      <c r="Z27" s="49">
        <f t="shared" si="9"/>
        <v>0</v>
      </c>
      <c r="AA27" s="49"/>
      <c r="AB27" s="49"/>
      <c r="AC27" s="49"/>
      <c r="AD27" s="49">
        <f t="shared" si="10"/>
        <v>0</v>
      </c>
      <c r="AE27" s="49"/>
      <c r="AF27" s="49"/>
      <c r="AG27" s="49">
        <f t="shared" si="11"/>
        <v>0</v>
      </c>
      <c r="AJ27" s="65"/>
    </row>
    <row r="28" spans="1:36">
      <c r="B28" s="57" t="s">
        <v>123</v>
      </c>
      <c r="C28" s="71"/>
      <c r="E28" s="68">
        <v>8401068927</v>
      </c>
      <c r="F28" s="68">
        <v>16123353665</v>
      </c>
      <c r="G28" s="49"/>
      <c r="H28" s="49"/>
      <c r="I28" s="49">
        <f t="shared" si="4"/>
        <v>24524422592</v>
      </c>
      <c r="J28" s="49">
        <v>12816435653</v>
      </c>
      <c r="K28" s="49">
        <v>-30392363503</v>
      </c>
      <c r="L28" s="49"/>
      <c r="M28" s="49">
        <f t="shared" si="5"/>
        <v>-17575927850</v>
      </c>
      <c r="N28" s="49">
        <v>0</v>
      </c>
      <c r="O28" s="49"/>
      <c r="P28" s="49">
        <f t="shared" si="6"/>
        <v>0</v>
      </c>
      <c r="Q28" s="68">
        <v>-20963326</v>
      </c>
      <c r="R28" s="68">
        <v>-17909439780</v>
      </c>
      <c r="S28" s="49"/>
      <c r="T28" s="49">
        <f t="shared" si="7"/>
        <v>-17930403106</v>
      </c>
      <c r="U28" s="68">
        <v>-830397692.30400002</v>
      </c>
      <c r="V28" s="49"/>
      <c r="W28" s="49">
        <f t="shared" si="8"/>
        <v>-830397692.30400002</v>
      </c>
      <c r="X28" s="68">
        <v>-2371316.85</v>
      </c>
      <c r="Y28" s="49"/>
      <c r="Z28" s="49">
        <f t="shared" si="9"/>
        <v>-2371316.85</v>
      </c>
      <c r="AA28" s="49"/>
      <c r="AB28" s="49"/>
      <c r="AC28" s="49"/>
      <c r="AD28" s="49">
        <f t="shared" si="10"/>
        <v>-11814677373.154001</v>
      </c>
      <c r="AE28" s="49"/>
      <c r="AF28" s="49"/>
      <c r="AG28" s="49">
        <f t="shared" si="11"/>
        <v>-11814677373.154001</v>
      </c>
      <c r="AJ28" s="65"/>
    </row>
    <row r="29" spans="1:36">
      <c r="B29" s="78"/>
      <c r="C29" s="7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</row>
    <row r="30" spans="1:36" s="40" customFormat="1" ht="13">
      <c r="B30" s="60" t="s">
        <v>124</v>
      </c>
      <c r="C30" s="61"/>
      <c r="E30" s="73">
        <f>SUM(E21:E29)</f>
        <v>217948708866</v>
      </c>
      <c r="F30" s="73">
        <f>SUM(F21:F29)</f>
        <v>16344403339</v>
      </c>
      <c r="G30" s="73"/>
      <c r="H30" s="73"/>
      <c r="I30" s="73">
        <f>SUM(I21:I29)</f>
        <v>234293112205</v>
      </c>
      <c r="J30" s="73">
        <f>SUM(J21:J29)</f>
        <v>338375550298</v>
      </c>
      <c r="K30" s="73">
        <f>SUM(K21:K29)</f>
        <v>-86893316245</v>
      </c>
      <c r="L30" s="73"/>
      <c r="M30" s="73">
        <f>SUM(M21:M29)</f>
        <v>251482234053</v>
      </c>
      <c r="N30" s="73">
        <f>SUM(N21:N29)</f>
        <v>12079406050</v>
      </c>
      <c r="O30" s="73"/>
      <c r="P30" s="73">
        <f>SUM(P21:P29)</f>
        <v>12079406050</v>
      </c>
      <c r="Q30" s="73">
        <f>SUM(Q21:Q29)</f>
        <v>41262322860</v>
      </c>
      <c r="R30" s="73">
        <f>SUM(R21:R29)</f>
        <v>15466514624</v>
      </c>
      <c r="S30" s="73"/>
      <c r="T30" s="73">
        <f>SUM(T21:T29)</f>
        <v>56728837484</v>
      </c>
      <c r="U30" s="73">
        <f>SUM(U21:U29)</f>
        <v>7498369072.6960001</v>
      </c>
      <c r="V30" s="73"/>
      <c r="W30" s="73">
        <f>SUM(W21:W29)</f>
        <v>36209654703.345993</v>
      </c>
      <c r="X30" s="73">
        <f>SUM(X21:X29)</f>
        <v>202038027.97499999</v>
      </c>
      <c r="Y30" s="73"/>
      <c r="Z30" s="73">
        <f>SUM(Z21:Z29)</f>
        <v>202038027.97499999</v>
      </c>
      <c r="AA30" s="73"/>
      <c r="AB30" s="73"/>
      <c r="AC30" s="73"/>
      <c r="AD30" s="73">
        <f>SUM(AD21:AD29)</f>
        <v>590995282523.32092</v>
      </c>
      <c r="AE30" s="73"/>
      <c r="AF30" s="73"/>
      <c r="AG30" s="73">
        <f>SUM(AG21:AG29)</f>
        <v>590995282523.32092</v>
      </c>
    </row>
    <row r="31" spans="1:36" ht="13">
      <c r="B31" s="74"/>
      <c r="C31" s="75"/>
      <c r="E31" s="64" t="s">
        <v>40</v>
      </c>
      <c r="F31" s="64" t="s">
        <v>40</v>
      </c>
      <c r="G31" s="64"/>
      <c r="H31" s="64"/>
      <c r="I31" s="64" t="s">
        <v>40</v>
      </c>
      <c r="J31" s="64" t="s">
        <v>40</v>
      </c>
      <c r="K31" s="64" t="s">
        <v>40</v>
      </c>
      <c r="L31" s="64"/>
      <c r="M31" s="64" t="s">
        <v>40</v>
      </c>
      <c r="N31" s="64" t="s">
        <v>40</v>
      </c>
      <c r="O31" s="64"/>
      <c r="P31" s="64" t="s">
        <v>40</v>
      </c>
      <c r="Q31" s="64" t="s">
        <v>40</v>
      </c>
      <c r="R31" s="64" t="s">
        <v>40</v>
      </c>
      <c r="S31" s="64"/>
      <c r="T31" s="64" t="s">
        <v>40</v>
      </c>
      <c r="U31" s="64" t="s">
        <v>40</v>
      </c>
      <c r="V31" s="64"/>
      <c r="W31" s="64" t="s">
        <v>40</v>
      </c>
      <c r="X31" s="64" t="s">
        <v>40</v>
      </c>
      <c r="Y31" s="64"/>
      <c r="Z31" s="64" t="s">
        <v>40</v>
      </c>
      <c r="AA31" s="64"/>
      <c r="AB31" s="64"/>
      <c r="AC31" s="64"/>
      <c r="AD31" s="64" t="s">
        <v>40</v>
      </c>
      <c r="AE31" s="64"/>
      <c r="AF31" s="64"/>
      <c r="AG31" s="64" t="s">
        <v>40</v>
      </c>
    </row>
    <row r="32" spans="1:36" s="40" customFormat="1" ht="13">
      <c r="B32" s="60" t="s">
        <v>125</v>
      </c>
      <c r="C32" s="61"/>
      <c r="E32" s="73">
        <f>E19+E30</f>
        <v>216211735124</v>
      </c>
      <c r="F32" s="73">
        <f>F19+F30</f>
        <v>12383581340</v>
      </c>
      <c r="G32" s="73"/>
      <c r="H32" s="73"/>
      <c r="I32" s="73">
        <f>I19+I30</f>
        <v>217352617993.67499</v>
      </c>
      <c r="J32" s="73">
        <f>J19+J30</f>
        <v>336781220161</v>
      </c>
      <c r="K32" s="73">
        <f>K19+K30</f>
        <v>-107887508799</v>
      </c>
      <c r="L32" s="73"/>
      <c r="M32" s="73">
        <f>M19+M30</f>
        <v>228831636866.64999</v>
      </c>
      <c r="N32" s="73">
        <f>N19+N30</f>
        <v>11251546022</v>
      </c>
      <c r="O32" s="73"/>
      <c r="P32" s="73">
        <f>P19+P30</f>
        <v>11251546022</v>
      </c>
      <c r="Q32" s="73">
        <f>Q19+Q30</f>
        <v>-4062896328</v>
      </c>
      <c r="R32" s="73">
        <f>R19+R30</f>
        <v>38240771842</v>
      </c>
      <c r="S32" s="73"/>
      <c r="T32" s="73">
        <f>T19+T30</f>
        <v>34177875514</v>
      </c>
      <c r="U32" s="73">
        <f>U19+U30</f>
        <v>-19717180144.304001</v>
      </c>
      <c r="V32" s="73"/>
      <c r="W32" s="73">
        <f>W19+W30</f>
        <v>8994105486.345993</v>
      </c>
      <c r="X32" s="73">
        <f>X19+X30</f>
        <v>-897529449.60000002</v>
      </c>
      <c r="Y32" s="73"/>
      <c r="Z32" s="73">
        <f>Z19+Z30</f>
        <v>-897529449.60000002</v>
      </c>
      <c r="AA32" s="73"/>
      <c r="AB32" s="73"/>
      <c r="AC32" s="73"/>
      <c r="AD32" s="73">
        <f>AD19+AD30</f>
        <v>499710252433.07092</v>
      </c>
      <c r="AE32" s="73"/>
      <c r="AF32" s="73"/>
      <c r="AG32" s="73">
        <f>AG19+AG30</f>
        <v>499710252433.07092</v>
      </c>
    </row>
    <row r="33" spans="1:36" ht="13">
      <c r="B33" s="76"/>
      <c r="C33" s="71"/>
      <c r="E33" s="64" t="s">
        <v>40</v>
      </c>
      <c r="F33" s="64" t="s">
        <v>40</v>
      </c>
      <c r="G33" s="64"/>
      <c r="H33" s="64"/>
      <c r="I33" s="64" t="s">
        <v>40</v>
      </c>
      <c r="J33" s="64" t="s">
        <v>40</v>
      </c>
      <c r="K33" s="64" t="s">
        <v>40</v>
      </c>
      <c r="L33" s="64"/>
      <c r="M33" s="64" t="s">
        <v>40</v>
      </c>
      <c r="N33" s="64" t="s">
        <v>40</v>
      </c>
      <c r="O33" s="64"/>
      <c r="P33" s="64" t="s">
        <v>40</v>
      </c>
      <c r="Q33" s="64" t="s">
        <v>40</v>
      </c>
      <c r="R33" s="64" t="s">
        <v>40</v>
      </c>
      <c r="S33" s="64"/>
      <c r="T33" s="64" t="s">
        <v>40</v>
      </c>
      <c r="U33" s="64" t="s">
        <v>40</v>
      </c>
      <c r="V33" s="64"/>
      <c r="W33" s="64" t="s">
        <v>40</v>
      </c>
      <c r="X33" s="64" t="s">
        <v>40</v>
      </c>
      <c r="Y33" s="64"/>
      <c r="Z33" s="64" t="s">
        <v>40</v>
      </c>
      <c r="AA33" s="64"/>
      <c r="AB33" s="64"/>
      <c r="AC33" s="64"/>
      <c r="AD33" s="64" t="s">
        <v>40</v>
      </c>
      <c r="AE33" s="64"/>
      <c r="AF33" s="64"/>
      <c r="AG33" s="64" t="s">
        <v>40</v>
      </c>
    </row>
    <row r="34" spans="1:36" ht="13">
      <c r="B34" s="76" t="s">
        <v>126</v>
      </c>
      <c r="C34" s="71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</row>
    <row r="35" spans="1:36">
      <c r="A35" s="27">
        <v>8</v>
      </c>
      <c r="B35" s="114" t="s">
        <v>127</v>
      </c>
      <c r="C35" s="115"/>
      <c r="E35" s="68">
        <v>-242497274</v>
      </c>
      <c r="F35" s="68">
        <v>0</v>
      </c>
      <c r="G35" s="49"/>
      <c r="H35" s="49"/>
      <c r="I35" s="49">
        <f t="shared" ref="I35:I39" si="12">SUM(E35:H35)</f>
        <v>-242497274</v>
      </c>
      <c r="J35" s="49">
        <v>-7224479274</v>
      </c>
      <c r="K35" s="49">
        <v>-844706627</v>
      </c>
      <c r="L35" s="49"/>
      <c r="M35" s="49">
        <f t="shared" ref="M35:M39" si="13">SUM(J35:L35)</f>
        <v>-8069185901</v>
      </c>
      <c r="N35" s="49">
        <v>-545359940</v>
      </c>
      <c r="O35" s="49"/>
      <c r="P35" s="49">
        <f t="shared" ref="P35:P39" si="14">SUM(N35:O35)</f>
        <v>-545359940</v>
      </c>
      <c r="Q35" s="68">
        <v>0</v>
      </c>
      <c r="R35" s="68">
        <v>0</v>
      </c>
      <c r="S35" s="49"/>
      <c r="T35" s="49">
        <f>SUM(Q35:S35)</f>
        <v>0</v>
      </c>
      <c r="U35" s="68">
        <v>-972704266.375</v>
      </c>
      <c r="V35" s="49"/>
      <c r="W35" s="49">
        <f t="shared" ref="W35:W39" si="15">SUM(U35:V35)</f>
        <v>-972704266.375</v>
      </c>
      <c r="X35" s="68">
        <v>-7120.5749999999998</v>
      </c>
      <c r="Y35" s="49"/>
      <c r="Z35" s="49">
        <f t="shared" ref="Z35:Z39" si="16">SUM(X35:Y35)</f>
        <v>-7120.5749999999998</v>
      </c>
      <c r="AA35" s="49"/>
      <c r="AB35" s="49"/>
      <c r="AC35" s="49"/>
      <c r="AD35" s="49">
        <f t="shared" ref="AD35:AD39" si="17">SUM(I35,M35,P35,T35,W35,Z35,AA35:AC35)</f>
        <v>-9829754501.9500008</v>
      </c>
      <c r="AE35" s="49">
        <f>'Elimination 2024'!G137</f>
        <v>1804200964.6499999</v>
      </c>
      <c r="AF35" s="49"/>
      <c r="AG35" s="49">
        <f t="shared" ref="AG35:AG39" si="18">SUM(AD35:AF35)</f>
        <v>-8025553537.3000011</v>
      </c>
      <c r="AJ35" s="65"/>
    </row>
    <row r="36" spans="1:36">
      <c r="A36" s="27">
        <v>9</v>
      </c>
      <c r="B36" s="114" t="s">
        <v>128</v>
      </c>
      <c r="C36" s="115"/>
      <c r="E36" s="68">
        <v>313556544</v>
      </c>
      <c r="F36" s="68">
        <v>0</v>
      </c>
      <c r="G36" s="49"/>
      <c r="H36" s="49"/>
      <c r="I36" s="49">
        <f t="shared" si="12"/>
        <v>313556544</v>
      </c>
      <c r="J36" s="49">
        <v>2626687977</v>
      </c>
      <c r="K36" s="49">
        <v>8969049644</v>
      </c>
      <c r="L36" s="49"/>
      <c r="M36" s="49">
        <f t="shared" si="13"/>
        <v>11595737621</v>
      </c>
      <c r="N36" s="49">
        <v>92697083</v>
      </c>
      <c r="O36" s="49"/>
      <c r="P36" s="49">
        <f t="shared" si="14"/>
        <v>92697083</v>
      </c>
      <c r="Q36" s="68">
        <v>0</v>
      </c>
      <c r="R36" s="68">
        <v>0</v>
      </c>
      <c r="S36" s="49"/>
      <c r="T36" s="49">
        <f>SUM(Q36:S36)</f>
        <v>0</v>
      </c>
      <c r="U36" s="68">
        <v>801163434.64999998</v>
      </c>
      <c r="V36" s="49"/>
      <c r="W36" s="49">
        <f t="shared" si="15"/>
        <v>801163434.64999998</v>
      </c>
      <c r="X36" s="68">
        <v>0</v>
      </c>
      <c r="Y36" s="49"/>
      <c r="Z36" s="49">
        <f t="shared" si="16"/>
        <v>0</v>
      </c>
      <c r="AA36" s="49"/>
      <c r="AB36" s="49"/>
      <c r="AC36" s="49"/>
      <c r="AD36" s="49">
        <f t="shared" si="17"/>
        <v>12803154682.65</v>
      </c>
      <c r="AE36" s="49"/>
      <c r="AF36" s="49"/>
      <c r="AG36" s="49">
        <f t="shared" si="18"/>
        <v>12803154682.65</v>
      </c>
      <c r="AJ36" s="65"/>
    </row>
    <row r="37" spans="1:36">
      <c r="A37" s="27">
        <v>10</v>
      </c>
      <c r="B37" s="70" t="s">
        <v>129</v>
      </c>
      <c r="C37" s="115"/>
      <c r="E37" s="68">
        <v>391539132</v>
      </c>
      <c r="F37" s="68">
        <v>888379418</v>
      </c>
      <c r="G37" s="49"/>
      <c r="H37" s="49"/>
      <c r="I37" s="49">
        <f t="shared" si="12"/>
        <v>1279918550</v>
      </c>
      <c r="J37" s="49">
        <v>-306219514</v>
      </c>
      <c r="K37" s="49">
        <v>-34633911</v>
      </c>
      <c r="L37" s="49"/>
      <c r="M37" s="49">
        <f t="shared" si="13"/>
        <v>-340853425</v>
      </c>
      <c r="N37" s="49">
        <v>0</v>
      </c>
      <c r="O37" s="49"/>
      <c r="P37" s="49">
        <f t="shared" si="14"/>
        <v>0</v>
      </c>
      <c r="Q37" s="68">
        <v>0</v>
      </c>
      <c r="R37" s="68">
        <v>0</v>
      </c>
      <c r="S37" s="49"/>
      <c r="T37" s="49">
        <f>SUM(Q37:S37)</f>
        <v>0</v>
      </c>
      <c r="U37" s="68">
        <v>0</v>
      </c>
      <c r="V37" s="49"/>
      <c r="W37" s="49">
        <f t="shared" si="15"/>
        <v>0</v>
      </c>
      <c r="X37" s="68">
        <v>0</v>
      </c>
      <c r="Y37" s="49"/>
      <c r="Z37" s="49">
        <f t="shared" si="16"/>
        <v>0</v>
      </c>
      <c r="AA37" s="49"/>
      <c r="AB37" s="49"/>
      <c r="AC37" s="49"/>
      <c r="AD37" s="49">
        <f t="shared" si="17"/>
        <v>939065125</v>
      </c>
      <c r="AE37" s="49"/>
      <c r="AF37" s="49"/>
      <c r="AG37" s="49">
        <f t="shared" si="18"/>
        <v>939065125</v>
      </c>
      <c r="AJ37" s="65"/>
    </row>
    <row r="38" spans="1:36">
      <c r="A38" s="27">
        <v>11</v>
      </c>
      <c r="B38" s="114" t="s">
        <v>130</v>
      </c>
      <c r="C38" s="115"/>
      <c r="E38" s="68">
        <v>4243474443</v>
      </c>
      <c r="F38" s="68">
        <v>-2115386814</v>
      </c>
      <c r="G38" s="49"/>
      <c r="H38" s="49"/>
      <c r="I38" s="49">
        <f t="shared" si="12"/>
        <v>2128087629</v>
      </c>
      <c r="J38" s="49">
        <v>11933779060</v>
      </c>
      <c r="K38" s="49">
        <v>-274589792</v>
      </c>
      <c r="L38" s="49"/>
      <c r="M38" s="49">
        <f t="shared" si="13"/>
        <v>11659189268</v>
      </c>
      <c r="N38" s="49">
        <v>92766741</v>
      </c>
      <c r="O38" s="49"/>
      <c r="P38" s="49">
        <f t="shared" si="14"/>
        <v>92766741</v>
      </c>
      <c r="Q38" s="68">
        <v>1901906328</v>
      </c>
      <c r="R38" s="68">
        <v>19019985</v>
      </c>
      <c r="S38" s="49"/>
      <c r="T38" s="49">
        <f>SUM(Q38:S38)</f>
        <v>1920926313</v>
      </c>
      <c r="U38" s="68">
        <v>268343807</v>
      </c>
      <c r="V38" s="49"/>
      <c r="W38" s="49">
        <f t="shared" si="15"/>
        <v>268343807</v>
      </c>
      <c r="X38" s="68">
        <v>379765.57500000001</v>
      </c>
      <c r="Y38" s="49"/>
      <c r="Z38" s="49">
        <f t="shared" si="16"/>
        <v>379765.57500000001</v>
      </c>
      <c r="AA38" s="49"/>
      <c r="AB38" s="49"/>
      <c r="AC38" s="49"/>
      <c r="AD38" s="49">
        <f t="shared" si="17"/>
        <v>16069693523.575001</v>
      </c>
      <c r="AE38" s="49"/>
      <c r="AF38" s="49"/>
      <c r="AG38" s="49">
        <f t="shared" si="18"/>
        <v>16069693523.575001</v>
      </c>
      <c r="AJ38" s="65"/>
    </row>
    <row r="39" spans="1:36">
      <c r="A39" s="27">
        <v>12</v>
      </c>
      <c r="B39" s="57" t="s">
        <v>131</v>
      </c>
      <c r="C39" s="115"/>
      <c r="E39" s="68">
        <v>0</v>
      </c>
      <c r="F39" s="68">
        <v>0</v>
      </c>
      <c r="G39" s="49"/>
      <c r="H39" s="49"/>
      <c r="I39" s="49">
        <f t="shared" si="12"/>
        <v>0</v>
      </c>
      <c r="J39" s="49">
        <v>0</v>
      </c>
      <c r="K39" s="49">
        <v>0</v>
      </c>
      <c r="L39" s="49"/>
      <c r="M39" s="49">
        <f t="shared" si="13"/>
        <v>0</v>
      </c>
      <c r="N39" s="49">
        <v>0</v>
      </c>
      <c r="O39" s="49"/>
      <c r="P39" s="49">
        <f t="shared" si="14"/>
        <v>0</v>
      </c>
      <c r="Q39" s="68">
        <v>0</v>
      </c>
      <c r="R39" s="68">
        <v>0</v>
      </c>
      <c r="S39" s="49"/>
      <c r="T39" s="49">
        <f>SUM(Q39:S39)</f>
        <v>0</v>
      </c>
      <c r="U39" s="68">
        <v>0</v>
      </c>
      <c r="V39" s="49"/>
      <c r="W39" s="49">
        <f t="shared" si="15"/>
        <v>0</v>
      </c>
      <c r="X39" s="68">
        <v>0</v>
      </c>
      <c r="Y39" s="49"/>
      <c r="Z39" s="49">
        <f t="shared" si="16"/>
        <v>0</v>
      </c>
      <c r="AA39" s="49"/>
      <c r="AB39" s="49"/>
      <c r="AC39" s="49"/>
      <c r="AD39" s="49">
        <f t="shared" si="17"/>
        <v>0</v>
      </c>
      <c r="AE39" s="49"/>
      <c r="AF39" s="49"/>
      <c r="AG39" s="49">
        <f t="shared" si="18"/>
        <v>0</v>
      </c>
      <c r="AJ39" s="65"/>
    </row>
    <row r="40" spans="1:36">
      <c r="B40" s="78"/>
      <c r="C40" s="7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</row>
    <row r="41" spans="1:36" s="40" customFormat="1" ht="13">
      <c r="B41" s="116"/>
      <c r="C41" s="117"/>
      <c r="E41" s="73">
        <f>SUM(E34:E40)</f>
        <v>4706072845</v>
      </c>
      <c r="F41" s="73">
        <f>SUM(F34:F40)</f>
        <v>-1227007396</v>
      </c>
      <c r="G41" s="73"/>
      <c r="H41" s="73"/>
      <c r="I41" s="73">
        <f>SUM(I34:I40)</f>
        <v>3479065449</v>
      </c>
      <c r="J41" s="73">
        <f>SUM(J34:J40)</f>
        <v>7029768249</v>
      </c>
      <c r="K41" s="73">
        <f>SUM(K34:K40)</f>
        <v>7815119314</v>
      </c>
      <c r="L41" s="73"/>
      <c r="M41" s="73">
        <f>SUM(M34:M40)</f>
        <v>14844887563</v>
      </c>
      <c r="N41" s="73">
        <f>SUM(N34:N40)</f>
        <v>-359896116</v>
      </c>
      <c r="O41" s="73"/>
      <c r="P41" s="73">
        <f>SUM(P34:P40)</f>
        <v>-359896116</v>
      </c>
      <c r="Q41" s="73">
        <f>SUM(Q34:Q40)</f>
        <v>1901906328</v>
      </c>
      <c r="R41" s="73">
        <f>SUM(R34:R40)</f>
        <v>19019985</v>
      </c>
      <c r="S41" s="73"/>
      <c r="T41" s="73">
        <f>SUM(T34:T40)</f>
        <v>1920926313</v>
      </c>
      <c r="U41" s="73">
        <f>SUM(U34:U40)</f>
        <v>96802975.274999976</v>
      </c>
      <c r="V41" s="73"/>
      <c r="W41" s="73">
        <f>SUM(W34:W40)</f>
        <v>96802975.274999976</v>
      </c>
      <c r="X41" s="73">
        <f>SUM(X34:X40)</f>
        <v>372645</v>
      </c>
      <c r="Y41" s="73"/>
      <c r="Z41" s="73">
        <f>SUM(Z34:Z40)</f>
        <v>372645</v>
      </c>
      <c r="AA41" s="73"/>
      <c r="AB41" s="73"/>
      <c r="AC41" s="73"/>
      <c r="AD41" s="73">
        <f>SUM(AD34:AD40)</f>
        <v>19982158829.275002</v>
      </c>
      <c r="AE41" s="73"/>
      <c r="AF41" s="73"/>
      <c r="AG41" s="73">
        <f>SUM(AG34:AG40)</f>
        <v>21786359793.924999</v>
      </c>
    </row>
    <row r="42" spans="1:36" ht="13" outlineLevel="1">
      <c r="B42" s="116"/>
      <c r="C42" s="75"/>
      <c r="E42" s="64" t="s">
        <v>40</v>
      </c>
      <c r="F42" s="64" t="s">
        <v>40</v>
      </c>
      <c r="G42" s="64"/>
      <c r="H42" s="64"/>
      <c r="I42" s="64" t="s">
        <v>40</v>
      </c>
      <c r="J42" s="64" t="s">
        <v>40</v>
      </c>
      <c r="K42" s="64" t="s">
        <v>40</v>
      </c>
      <c r="L42" s="64"/>
      <c r="M42" s="64" t="s">
        <v>40</v>
      </c>
      <c r="N42" s="64" t="s">
        <v>40</v>
      </c>
      <c r="O42" s="64"/>
      <c r="P42" s="64" t="s">
        <v>40</v>
      </c>
      <c r="Q42" s="64" t="s">
        <v>40</v>
      </c>
      <c r="R42" s="64" t="s">
        <v>40</v>
      </c>
      <c r="S42" s="64"/>
      <c r="T42" s="64" t="s">
        <v>40</v>
      </c>
      <c r="U42" s="64" t="s">
        <v>40</v>
      </c>
      <c r="V42" s="64"/>
      <c r="W42" s="64" t="s">
        <v>40</v>
      </c>
      <c r="X42" s="64" t="s">
        <v>40</v>
      </c>
      <c r="Y42" s="64"/>
      <c r="Z42" s="64" t="s">
        <v>40</v>
      </c>
      <c r="AA42" s="64"/>
      <c r="AB42" s="64"/>
      <c r="AC42" s="64"/>
      <c r="AD42" s="64" t="s">
        <v>40</v>
      </c>
      <c r="AE42" s="64"/>
      <c r="AF42" s="64"/>
      <c r="AG42" s="64" t="s">
        <v>40</v>
      </c>
    </row>
    <row r="43" spans="1:36" ht="13" outlineLevel="1">
      <c r="B43" s="76" t="s">
        <v>132</v>
      </c>
      <c r="C43" s="71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</row>
    <row r="44" spans="1:36" outlineLevel="1">
      <c r="B44" s="70" t="s">
        <v>133</v>
      </c>
      <c r="C44" s="118"/>
      <c r="E44" s="68">
        <v>0</v>
      </c>
      <c r="F44" s="49">
        <v>0</v>
      </c>
      <c r="H44" s="49"/>
      <c r="I44" s="49">
        <f t="shared" ref="I44:I49" si="19">SUM(E44:H44)</f>
        <v>0</v>
      </c>
      <c r="J44" s="49">
        <v>0</v>
      </c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>
        <f t="shared" ref="AD44:AD48" si="20">SUM(I44,M44,P44,T44,W44,Z44,AA44:AC44)</f>
        <v>0</v>
      </c>
      <c r="AE44" s="49"/>
      <c r="AF44" s="49"/>
      <c r="AG44" s="49">
        <f t="shared" ref="AG44:AG49" si="21">SUM(AD44:AF44)</f>
        <v>0</v>
      </c>
      <c r="AJ44" s="65"/>
    </row>
    <row r="45" spans="1:36" outlineLevel="1">
      <c r="B45" s="70" t="s">
        <v>689</v>
      </c>
      <c r="C45" s="118"/>
      <c r="E45" s="68">
        <v>0</v>
      </c>
      <c r="F45" s="49">
        <v>0</v>
      </c>
      <c r="G45" s="49">
        <f>-'Equity &amp; Adjustment Consol'!D29</f>
        <v>5130652270.7612705</v>
      </c>
      <c r="H45" s="49"/>
      <c r="I45" s="49">
        <f t="shared" si="19"/>
        <v>5130652270.7612705</v>
      </c>
      <c r="J45" s="49">
        <v>0</v>
      </c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>
        <f>'Proforma Adjustment'!D111</f>
        <v>2910673035.4171801</v>
      </c>
      <c r="AB45" s="49"/>
      <c r="AC45" s="49"/>
      <c r="AD45" s="49">
        <f t="shared" si="20"/>
        <v>8041325306.1784506</v>
      </c>
      <c r="AE45" s="49"/>
      <c r="AF45" s="49">
        <f>-AD45</f>
        <v>-8041325306.1784506</v>
      </c>
      <c r="AG45" s="49">
        <f t="shared" si="21"/>
        <v>0</v>
      </c>
      <c r="AJ45" s="65"/>
    </row>
    <row r="46" spans="1:36" outlineLevel="1">
      <c r="B46" s="70" t="s">
        <v>741</v>
      </c>
      <c r="C46" s="118"/>
      <c r="E46" s="68">
        <v>0</v>
      </c>
      <c r="F46" s="68">
        <v>0</v>
      </c>
      <c r="G46" s="49">
        <f>-'Equity &amp; Adjustment Consol'!D30</f>
        <v>3971906591.1909003</v>
      </c>
      <c r="H46" s="49"/>
      <c r="I46" s="49">
        <f t="shared" si="19"/>
        <v>3971906591.1909003</v>
      </c>
      <c r="J46" s="49">
        <v>0</v>
      </c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>
        <f>'Proforma Adjustment'!D119</f>
        <v>1582834860.8691001</v>
      </c>
      <c r="AB46" s="49"/>
      <c r="AC46" s="49"/>
      <c r="AD46" s="49">
        <f t="shared" si="20"/>
        <v>5554741452.0600004</v>
      </c>
      <c r="AE46" s="49"/>
      <c r="AF46" s="49">
        <f>-AD46</f>
        <v>-5554741452.0600004</v>
      </c>
      <c r="AG46" s="49">
        <f t="shared" si="21"/>
        <v>0</v>
      </c>
      <c r="AJ46" s="65"/>
    </row>
    <row r="47" spans="1:36" outlineLevel="1">
      <c r="B47" s="70" t="s">
        <v>762</v>
      </c>
      <c r="C47" s="118"/>
      <c r="E47" s="68">
        <v>0</v>
      </c>
      <c r="F47" s="68">
        <v>0</v>
      </c>
      <c r="G47" s="49">
        <f>-'Equity &amp; Adjustment Consol'!D31</f>
        <v>9077028261.9222012</v>
      </c>
      <c r="H47" s="49"/>
      <c r="I47" s="49">
        <f t="shared" si="19"/>
        <v>9077028261.9222012</v>
      </c>
      <c r="J47" s="49">
        <v>0</v>
      </c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>
        <f>'Proforma Adjustment'!E128</f>
        <v>9333360669.8477993</v>
      </c>
      <c r="AB47" s="49"/>
      <c r="AC47" s="49"/>
      <c r="AD47" s="49">
        <f t="shared" si="20"/>
        <v>18410388931.77</v>
      </c>
      <c r="AE47" s="49"/>
      <c r="AF47" s="49">
        <f>-AD47</f>
        <v>-18410388931.77</v>
      </c>
      <c r="AG47" s="49">
        <f t="shared" si="21"/>
        <v>0</v>
      </c>
      <c r="AJ47" s="65"/>
    </row>
    <row r="48" spans="1:36" outlineLevel="1">
      <c r="B48" s="70" t="s">
        <v>610</v>
      </c>
      <c r="C48" s="118"/>
      <c r="E48" s="68">
        <v>0</v>
      </c>
      <c r="F48" s="68">
        <v>0</v>
      </c>
      <c r="G48" s="49">
        <f>-'Equity &amp; Adjustment Consol'!D32</f>
        <v>12434075863.041597</v>
      </c>
      <c r="H48" s="49"/>
      <c r="I48" s="49">
        <f t="shared" si="19"/>
        <v>12434075863.041597</v>
      </c>
      <c r="J48" s="49">
        <v>0</v>
      </c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>
        <f>'Proforma Adjustment'!D135</f>
        <v>-7780628834.6999998</v>
      </c>
      <c r="AB48" s="49"/>
      <c r="AC48" s="49"/>
      <c r="AD48" s="49">
        <f t="shared" si="20"/>
        <v>4653447028.3415976</v>
      </c>
      <c r="AE48" s="49"/>
      <c r="AF48" s="49">
        <f>-AD48</f>
        <v>-4653447028.3415976</v>
      </c>
      <c r="AG48" s="49">
        <f t="shared" si="21"/>
        <v>0</v>
      </c>
      <c r="AJ48" s="65"/>
    </row>
    <row r="49" spans="1:36" outlineLevel="1">
      <c r="B49" s="70" t="s">
        <v>795</v>
      </c>
      <c r="C49" s="118"/>
      <c r="E49" s="68">
        <v>0</v>
      </c>
      <c r="F49" s="68">
        <v>0</v>
      </c>
      <c r="G49" s="49"/>
      <c r="H49" s="49"/>
      <c r="I49" s="49">
        <f t="shared" si="19"/>
        <v>0</v>
      </c>
      <c r="J49" s="49">
        <v>0</v>
      </c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>
        <f t="shared" si="21"/>
        <v>0</v>
      </c>
      <c r="AJ49" s="65"/>
    </row>
    <row r="50" spans="1:36" ht="13" outlineLevel="1">
      <c r="B50" s="60" t="s">
        <v>134</v>
      </c>
      <c r="C50" s="61"/>
      <c r="E50" s="73">
        <f>SUM(E43:E49)</f>
        <v>0</v>
      </c>
      <c r="F50" s="73">
        <f>SUM(F43:F49)</f>
        <v>0</v>
      </c>
      <c r="G50" s="73">
        <f>G30+G39+G48</f>
        <v>12434075863.041597</v>
      </c>
      <c r="H50" s="73"/>
      <c r="I50" s="73">
        <f>SUM(I43:I49)</f>
        <v>30613662986.91597</v>
      </c>
      <c r="J50" s="73">
        <f>SUM(J43:J49)</f>
        <v>0</v>
      </c>
      <c r="K50" s="73">
        <f>SUM(K43:K49)</f>
        <v>0</v>
      </c>
      <c r="L50" s="73"/>
      <c r="M50" s="73">
        <f>SUM(M43:M49)</f>
        <v>0</v>
      </c>
      <c r="N50" s="73">
        <f>SUM(N43:N49)</f>
        <v>0</v>
      </c>
      <c r="O50" s="73"/>
      <c r="P50" s="73">
        <f>SUM(P43:P49)</f>
        <v>0</v>
      </c>
      <c r="Q50" s="73">
        <f>SUM(Q43:Q49)</f>
        <v>0</v>
      </c>
      <c r="R50" s="73">
        <f>SUM(R43:R49)</f>
        <v>0</v>
      </c>
      <c r="S50" s="73"/>
      <c r="T50" s="73">
        <f>SUM(T43:T49)</f>
        <v>0</v>
      </c>
      <c r="U50" s="73">
        <f>SUM(U43:U49)</f>
        <v>0</v>
      </c>
      <c r="V50" s="73"/>
      <c r="W50" s="73">
        <f>SUM(W43:W49)</f>
        <v>0</v>
      </c>
      <c r="X50" s="73">
        <f>SUM(X43:X49)</f>
        <v>0</v>
      </c>
      <c r="Y50" s="73"/>
      <c r="Z50" s="73">
        <f>SUM(Z43:Z49)</f>
        <v>0</v>
      </c>
      <c r="AA50" s="73">
        <f>SUM(AA43:AA49)</f>
        <v>6046239731.4340792</v>
      </c>
      <c r="AB50" s="73"/>
      <c r="AC50" s="73"/>
      <c r="AD50" s="73">
        <f>SUM(AD43:AD49)</f>
        <v>36659902718.350052</v>
      </c>
      <c r="AE50" s="73"/>
      <c r="AF50" s="73"/>
      <c r="AG50" s="73">
        <f>SUM(AG43:AG49)</f>
        <v>0</v>
      </c>
    </row>
    <row r="51" spans="1:36" ht="13" outlineLevel="1">
      <c r="B51" s="119"/>
      <c r="C51" s="79"/>
      <c r="E51" s="64" t="s">
        <v>40</v>
      </c>
      <c r="F51" s="64" t="s">
        <v>40</v>
      </c>
      <c r="G51" s="64"/>
      <c r="H51" s="64"/>
      <c r="I51" s="64" t="s">
        <v>40</v>
      </c>
      <c r="J51" s="64" t="s">
        <v>40</v>
      </c>
      <c r="K51" s="64" t="s">
        <v>40</v>
      </c>
      <c r="L51" s="64"/>
      <c r="M51" s="64" t="s">
        <v>40</v>
      </c>
      <c r="N51" s="64" t="s">
        <v>40</v>
      </c>
      <c r="O51" s="64"/>
      <c r="P51" s="64" t="s">
        <v>40</v>
      </c>
      <c r="Q51" s="64" t="s">
        <v>40</v>
      </c>
      <c r="R51" s="64" t="s">
        <v>40</v>
      </c>
      <c r="S51" s="64"/>
      <c r="T51" s="64" t="s">
        <v>40</v>
      </c>
      <c r="U51" s="64" t="s">
        <v>40</v>
      </c>
      <c r="V51" s="64"/>
      <c r="W51" s="64" t="s">
        <v>40</v>
      </c>
      <c r="X51" s="64" t="s">
        <v>40</v>
      </c>
      <c r="Y51" s="64"/>
      <c r="Z51" s="64" t="s">
        <v>40</v>
      </c>
      <c r="AA51" s="64"/>
      <c r="AB51" s="64"/>
      <c r="AC51" s="64"/>
      <c r="AD51" s="64" t="s">
        <v>40</v>
      </c>
      <c r="AE51" s="64"/>
      <c r="AF51" s="64"/>
      <c r="AG51" s="64" t="s">
        <v>40</v>
      </c>
    </row>
    <row r="52" spans="1:36" s="40" customFormat="1" ht="13">
      <c r="B52" s="119" t="s">
        <v>135</v>
      </c>
      <c r="C52" s="120"/>
      <c r="E52" s="73">
        <f>E32+E41+E50</f>
        <v>220917807969</v>
      </c>
      <c r="F52" s="73">
        <f>F32+F41+F50</f>
        <v>11156573944</v>
      </c>
      <c r="G52" s="73"/>
      <c r="H52" s="73"/>
      <c r="I52" s="73">
        <f>I32+I41+I50</f>
        <v>251445346429.59094</v>
      </c>
      <c r="J52" s="73">
        <f>J32+J41+J50</f>
        <v>343810988410</v>
      </c>
      <c r="K52" s="73">
        <f>K32+K41+K50</f>
        <v>-100072389485</v>
      </c>
      <c r="L52" s="73"/>
      <c r="M52" s="73">
        <f>M32+M41+M50</f>
        <v>243676524429.64999</v>
      </c>
      <c r="N52" s="73">
        <f>N32+N41+N50</f>
        <v>10891649906</v>
      </c>
      <c r="O52" s="73"/>
      <c r="P52" s="73">
        <f>P32+P41+P50</f>
        <v>10891649906</v>
      </c>
      <c r="Q52" s="73">
        <f>Q32+Q41+Q50</f>
        <v>-2160990000</v>
      </c>
      <c r="R52" s="73">
        <f>R32+R41+R50</f>
        <v>38259791827</v>
      </c>
      <c r="S52" s="73"/>
      <c r="T52" s="73">
        <f>T32+T41+T50</f>
        <v>36098801827</v>
      </c>
      <c r="U52" s="73">
        <f>U32+U41+U50</f>
        <v>-19620377169.028999</v>
      </c>
      <c r="V52" s="73"/>
      <c r="W52" s="73">
        <f>W32+W41+W50</f>
        <v>9090908461.6209927</v>
      </c>
      <c r="X52" s="73">
        <f>X32+X41+X50</f>
        <v>-897156804.60000002</v>
      </c>
      <c r="Y52" s="73"/>
      <c r="Z52" s="73">
        <f>Z32+Z41+Z50</f>
        <v>-897156804.60000002</v>
      </c>
      <c r="AA52" s="73">
        <f>AA32+AA41+AA50</f>
        <v>6046239731.4340792</v>
      </c>
      <c r="AB52" s="73"/>
      <c r="AC52" s="73"/>
      <c r="AD52" s="73">
        <f>AD32+AD41+AD50</f>
        <v>556352313980.69604</v>
      </c>
      <c r="AE52" s="73"/>
      <c r="AF52" s="73"/>
      <c r="AG52" s="73">
        <f>AG32+AG41+AG50</f>
        <v>521496612226.99591</v>
      </c>
    </row>
    <row r="53" spans="1:36" ht="13">
      <c r="B53" s="74"/>
      <c r="C53" s="75"/>
      <c r="E53" s="64" t="s">
        <v>40</v>
      </c>
      <c r="F53" s="64" t="s">
        <v>40</v>
      </c>
      <c r="G53" s="64"/>
      <c r="H53" s="64"/>
      <c r="I53" s="64" t="s">
        <v>40</v>
      </c>
      <c r="J53" s="64" t="s">
        <v>40</v>
      </c>
      <c r="K53" s="64" t="s">
        <v>40</v>
      </c>
      <c r="L53" s="64"/>
      <c r="M53" s="64" t="s">
        <v>40</v>
      </c>
      <c r="N53" s="64" t="s">
        <v>40</v>
      </c>
      <c r="O53" s="64"/>
      <c r="P53" s="64" t="s">
        <v>40</v>
      </c>
      <c r="Q53" s="64" t="s">
        <v>40</v>
      </c>
      <c r="R53" s="64" t="s">
        <v>40</v>
      </c>
      <c r="S53" s="64"/>
      <c r="T53" s="64" t="s">
        <v>40</v>
      </c>
      <c r="U53" s="64" t="s">
        <v>40</v>
      </c>
      <c r="V53" s="64"/>
      <c r="W53" s="64" t="s">
        <v>40</v>
      </c>
      <c r="X53" s="64" t="s">
        <v>40</v>
      </c>
      <c r="Y53" s="64"/>
      <c r="Z53" s="64" t="s">
        <v>40</v>
      </c>
      <c r="AA53" s="64"/>
      <c r="AB53" s="64"/>
      <c r="AC53" s="64"/>
      <c r="AD53" s="64" t="s">
        <v>40</v>
      </c>
      <c r="AE53" s="64"/>
      <c r="AF53" s="64"/>
      <c r="AG53" s="64" t="s">
        <v>40</v>
      </c>
    </row>
    <row r="54" spans="1:36" ht="13">
      <c r="B54" s="76" t="s">
        <v>136</v>
      </c>
      <c r="C54" s="71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  <row r="55" spans="1:36">
      <c r="A55" s="27">
        <v>14</v>
      </c>
      <c r="B55" s="57" t="s">
        <v>137</v>
      </c>
      <c r="C55" s="71"/>
      <c r="E55" s="49"/>
      <c r="F55" s="49"/>
      <c r="G55" s="49"/>
      <c r="H55" s="49"/>
      <c r="I55" s="49">
        <f t="shared" ref="I55" si="22">SUM(E55:G55)</f>
        <v>0</v>
      </c>
      <c r="J55" s="49">
        <v>0</v>
      </c>
      <c r="K55" s="49"/>
      <c r="L55" s="49"/>
      <c r="M55" s="49">
        <f t="shared" ref="M55:M56" si="23">SUM(J55:L55)</f>
        <v>0</v>
      </c>
      <c r="N55" s="49">
        <v>0</v>
      </c>
      <c r="O55" s="49"/>
      <c r="P55" s="49">
        <f t="shared" ref="P55:P56" si="24">SUM(N55:O55)</f>
        <v>0</v>
      </c>
      <c r="Q55" s="68">
        <v>0</v>
      </c>
      <c r="R55" s="68"/>
      <c r="S55" s="49"/>
      <c r="T55" s="49">
        <f>SUM(Q55:S55)</f>
        <v>0</v>
      </c>
      <c r="U55" s="49"/>
      <c r="V55" s="49"/>
      <c r="W55" s="49">
        <f t="shared" ref="W55:W56" si="25">SUM(U55:V55)</f>
        <v>0</v>
      </c>
      <c r="X55" s="49"/>
      <c r="Y55" s="49"/>
      <c r="Z55" s="49">
        <f t="shared" ref="Z55:Z56" si="26">SUM(X55:Y55)</f>
        <v>0</v>
      </c>
      <c r="AA55" s="49"/>
      <c r="AB55" s="49"/>
      <c r="AC55" s="49"/>
      <c r="AD55" s="49">
        <f t="shared" ref="AD55:AD56" si="27">SUM(I55,M55,P55,T55,W55,Z55,AA55:AC55)</f>
        <v>0</v>
      </c>
      <c r="AE55" s="49"/>
      <c r="AF55" s="49"/>
      <c r="AG55" s="49">
        <f>SUM(AD55:AF55)</f>
        <v>0</v>
      </c>
    </row>
    <row r="56" spans="1:36">
      <c r="A56" s="27">
        <v>15</v>
      </c>
      <c r="B56" s="121" t="s">
        <v>138</v>
      </c>
      <c r="C56" s="79"/>
      <c r="E56" s="84"/>
      <c r="F56" s="84"/>
      <c r="G56" s="84"/>
      <c r="H56" s="84"/>
      <c r="I56" s="84">
        <v>0</v>
      </c>
      <c r="J56" s="84">
        <v>0</v>
      </c>
      <c r="K56" s="84"/>
      <c r="L56" s="84">
        <v>0</v>
      </c>
      <c r="M56" s="84">
        <f t="shared" si="23"/>
        <v>0</v>
      </c>
      <c r="N56" s="84">
        <v>0</v>
      </c>
      <c r="O56" s="84">
        <v>0</v>
      </c>
      <c r="P56" s="84">
        <f t="shared" si="24"/>
        <v>0</v>
      </c>
      <c r="Q56" s="84"/>
      <c r="R56" s="84"/>
      <c r="S56" s="84">
        <v>0</v>
      </c>
      <c r="T56" s="84">
        <f>SUM(Q56:S56)</f>
        <v>0</v>
      </c>
      <c r="U56" s="84"/>
      <c r="V56" s="84">
        <v>0</v>
      </c>
      <c r="W56" s="84">
        <f t="shared" si="25"/>
        <v>0</v>
      </c>
      <c r="X56" s="84"/>
      <c r="Y56" s="84">
        <v>0</v>
      </c>
      <c r="Z56" s="84">
        <f t="shared" si="26"/>
        <v>0</v>
      </c>
      <c r="AA56" s="84"/>
      <c r="AB56" s="84">
        <v>0</v>
      </c>
      <c r="AC56" s="84"/>
      <c r="AD56" s="84">
        <f t="shared" si="27"/>
        <v>0</v>
      </c>
      <c r="AE56" s="84"/>
      <c r="AF56" s="84"/>
      <c r="AG56" s="84">
        <f>SUM(AD56:AF56)</f>
        <v>0</v>
      </c>
    </row>
    <row r="57" spans="1:36" s="40" customFormat="1" ht="13">
      <c r="B57" s="122" t="s">
        <v>139</v>
      </c>
      <c r="C57" s="123"/>
      <c r="E57" s="124">
        <f>SUM(E55:E56)</f>
        <v>0</v>
      </c>
      <c r="F57" s="124"/>
      <c r="G57" s="124"/>
      <c r="H57" s="124"/>
      <c r="I57" s="124">
        <f>SUM(I55:I56)</f>
        <v>0</v>
      </c>
      <c r="J57" s="124">
        <f>SUM(J55:J56)</f>
        <v>0</v>
      </c>
      <c r="K57" s="124"/>
      <c r="L57" s="124"/>
      <c r="M57" s="124">
        <f>SUM(M55:M56)</f>
        <v>0</v>
      </c>
      <c r="N57" s="124">
        <f>SUM(N55:N56)</f>
        <v>0</v>
      </c>
      <c r="O57" s="124"/>
      <c r="P57" s="124">
        <f>SUM(P55:P56)</f>
        <v>0</v>
      </c>
      <c r="Q57" s="124">
        <f t="shared" ref="Q57" si="28">SUM(Q55:Q56)</f>
        <v>0</v>
      </c>
      <c r="R57" s="124"/>
      <c r="S57" s="124"/>
      <c r="T57" s="124">
        <f>SUM(T55:T56)</f>
        <v>0</v>
      </c>
      <c r="U57" s="124">
        <f t="shared" ref="U57" si="29">SUM(U55:U56)</f>
        <v>0</v>
      </c>
      <c r="V57" s="124"/>
      <c r="W57" s="124">
        <f>SUM(W55:W56)</f>
        <v>0</v>
      </c>
      <c r="X57" s="124">
        <f t="shared" ref="X57" si="30">SUM(X55:X56)</f>
        <v>0</v>
      </c>
      <c r="Y57" s="124"/>
      <c r="Z57" s="124">
        <f>SUM(Z55:Z56)</f>
        <v>0</v>
      </c>
      <c r="AA57" s="124"/>
      <c r="AB57" s="124"/>
      <c r="AC57" s="124"/>
      <c r="AD57" s="124">
        <f t="shared" ref="AD57:AG57" si="31">SUM(AD55:AD56)</f>
        <v>0</v>
      </c>
      <c r="AE57" s="49"/>
      <c r="AF57" s="124"/>
      <c r="AG57" s="124">
        <f t="shared" si="31"/>
        <v>0</v>
      </c>
    </row>
    <row r="58" spans="1:36">
      <c r="B58" s="78"/>
      <c r="C58" s="7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</row>
    <row r="59" spans="1:36" s="40" customFormat="1" ht="13.5" thickBot="1">
      <c r="B59" s="125" t="s">
        <v>140</v>
      </c>
      <c r="C59" s="126"/>
      <c r="E59" s="127">
        <f>E52+E57</f>
        <v>220917807969</v>
      </c>
      <c r="F59" s="127">
        <f>F52+F57</f>
        <v>11156573944</v>
      </c>
      <c r="G59" s="127"/>
      <c r="H59" s="127"/>
      <c r="I59" s="127">
        <f>I52+I57</f>
        <v>251445346429.59094</v>
      </c>
      <c r="J59" s="127">
        <f>J52+J57</f>
        <v>343810988410</v>
      </c>
      <c r="K59" s="127">
        <f>K52+K57</f>
        <v>-100072389485</v>
      </c>
      <c r="L59" s="127"/>
      <c r="M59" s="127">
        <f>M52+M57</f>
        <v>243676524429.64999</v>
      </c>
      <c r="N59" s="127">
        <f>N52+N57</f>
        <v>10891649906</v>
      </c>
      <c r="O59" s="127"/>
      <c r="P59" s="127">
        <f>P52+P57</f>
        <v>10891649906</v>
      </c>
      <c r="Q59" s="127">
        <f>Q52+Q57</f>
        <v>-2160990000</v>
      </c>
      <c r="R59" s="127">
        <f>R52+R57</f>
        <v>38259791827</v>
      </c>
      <c r="S59" s="127"/>
      <c r="T59" s="127">
        <f>T52+T57</f>
        <v>36098801827</v>
      </c>
      <c r="U59" s="127">
        <f>U52+U57</f>
        <v>-19620377169.028999</v>
      </c>
      <c r="V59" s="127"/>
      <c r="W59" s="127">
        <f>W52+W57</f>
        <v>9090908461.6209927</v>
      </c>
      <c r="X59" s="127">
        <f>X52+X57</f>
        <v>-897156804.60000002</v>
      </c>
      <c r="Y59" s="127"/>
      <c r="Z59" s="127">
        <f>Z52+Z57</f>
        <v>-897156804.60000002</v>
      </c>
      <c r="AA59" s="127">
        <f>AA52+AA57</f>
        <v>6046239731.4340792</v>
      </c>
      <c r="AB59" s="127"/>
      <c r="AC59" s="127"/>
      <c r="AD59" s="127">
        <f>AD52+AD57</f>
        <v>556352313980.69604</v>
      </c>
      <c r="AE59" s="127"/>
      <c r="AF59" s="127"/>
      <c r="AG59" s="127">
        <f>AG52+AG57</f>
        <v>521496612226.99591</v>
      </c>
    </row>
    <row r="60" spans="1:36" s="40" customFormat="1" ht="13">
      <c r="B60" s="122"/>
      <c r="C60" s="123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</row>
    <row r="61" spans="1:36" s="40" customFormat="1" ht="13">
      <c r="B61" s="128" t="s">
        <v>141</v>
      </c>
      <c r="C61" s="71"/>
      <c r="E61" s="129"/>
      <c r="F61" s="129"/>
      <c r="G61" s="129"/>
      <c r="H61" s="129"/>
      <c r="I61" s="129"/>
      <c r="J61" s="129">
        <v>0</v>
      </c>
      <c r="K61" s="129"/>
      <c r="L61" s="129"/>
      <c r="M61" s="49">
        <f t="shared" ref="M61" si="32">SUM(J61:L61)</f>
        <v>0</v>
      </c>
      <c r="N61" s="129">
        <v>0</v>
      </c>
      <c r="O61" s="129"/>
      <c r="P61" s="49">
        <f t="shared" ref="P61" si="33">SUM(N61:O61)</f>
        <v>0</v>
      </c>
      <c r="Q61" s="68">
        <v>0</v>
      </c>
      <c r="R61" s="68"/>
      <c r="S61" s="129"/>
      <c r="T61" s="49">
        <f>SUM(Q61:S61)</f>
        <v>0</v>
      </c>
      <c r="U61" s="129">
        <v>0</v>
      </c>
      <c r="V61" s="129"/>
      <c r="W61" s="49">
        <f t="shared" ref="W61" si="34">SUM(U61:V61)</f>
        <v>0</v>
      </c>
      <c r="X61" s="68">
        <v>0</v>
      </c>
      <c r="Y61" s="129"/>
      <c r="Z61" s="49">
        <f t="shared" ref="Z61" si="35">SUM(X61:Y61)</f>
        <v>0</v>
      </c>
      <c r="AA61" s="49">
        <f>-AA50</f>
        <v>-6046239731.4340792</v>
      </c>
      <c r="AB61" s="129"/>
      <c r="AC61" s="129"/>
      <c r="AD61" s="49">
        <f t="shared" ref="AD61" si="36">SUM(I61,M61,P61,T61,W61,Z61,AA61:AC61)</f>
        <v>-6046239731.4340792</v>
      </c>
      <c r="AE61" s="129"/>
      <c r="AF61" s="129"/>
      <c r="AG61" s="49">
        <f t="shared" ref="AG61" si="37">SUM(AD61:AF61)</f>
        <v>-6046239731.4340792</v>
      </c>
    </row>
    <row r="62" spans="1:36">
      <c r="B62" s="130"/>
      <c r="C62" s="7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</row>
    <row r="63" spans="1:36" s="40" customFormat="1" ht="13.5" thickBot="1">
      <c r="B63" s="131" t="s">
        <v>142</v>
      </c>
      <c r="C63" s="126"/>
      <c r="E63" s="127">
        <f>SUM(E59:E62)</f>
        <v>220917807969</v>
      </c>
      <c r="F63" s="127">
        <f>SUM(F59:F62)</f>
        <v>11156573944</v>
      </c>
      <c r="G63" s="127"/>
      <c r="H63" s="127"/>
      <c r="I63" s="127">
        <f>SUM(I59:I62)</f>
        <v>251445346429.59094</v>
      </c>
      <c r="J63" s="127">
        <f>SUM(J59:J62)</f>
        <v>343810988410</v>
      </c>
      <c r="K63" s="127">
        <f>SUM(K59:K62)</f>
        <v>-100072389485</v>
      </c>
      <c r="L63" s="127"/>
      <c r="M63" s="127">
        <f>SUM(M59:M62)</f>
        <v>243676524429.64999</v>
      </c>
      <c r="N63" s="127">
        <f>SUM(N59:N62)</f>
        <v>10891649906</v>
      </c>
      <c r="O63" s="127"/>
      <c r="P63" s="127">
        <f>SUM(P59:P62)</f>
        <v>10891649906</v>
      </c>
      <c r="Q63" s="127">
        <f>SUM(Q59:Q62)</f>
        <v>-2160990000</v>
      </c>
      <c r="R63" s="127">
        <f>SUM(R59:R62)</f>
        <v>38259791827</v>
      </c>
      <c r="S63" s="127"/>
      <c r="T63" s="127">
        <f>SUM(T59:T62)</f>
        <v>36098801827</v>
      </c>
      <c r="U63" s="127">
        <f>SUM(U59:U62)</f>
        <v>-19620377169.028999</v>
      </c>
      <c r="V63" s="127"/>
      <c r="W63" s="127">
        <f>SUM(W59:W62)</f>
        <v>9090908461.6209927</v>
      </c>
      <c r="X63" s="127">
        <f>SUM(X59:X62)</f>
        <v>-897156804.60000002</v>
      </c>
      <c r="Y63" s="127"/>
      <c r="Z63" s="127">
        <f>SUM(Z59:Z62)</f>
        <v>-897156804.60000002</v>
      </c>
      <c r="AA63" s="127">
        <f>SUM(AA59:AA62)</f>
        <v>0</v>
      </c>
      <c r="AB63" s="127"/>
      <c r="AC63" s="127"/>
      <c r="AD63" s="127">
        <f t="shared" ref="AD63:AG63" si="38">SUM(AD59:AD62)</f>
        <v>550306074249.26196</v>
      </c>
      <c r="AE63" s="127"/>
      <c r="AF63" s="127"/>
      <c r="AG63" s="127">
        <f t="shared" si="38"/>
        <v>515450372495.56183</v>
      </c>
    </row>
    <row r="64" spans="1:36" ht="13">
      <c r="B64" s="91"/>
      <c r="C64" s="71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</row>
    <row r="65" spans="1:33" ht="13">
      <c r="B65" s="76" t="s">
        <v>143</v>
      </c>
      <c r="C65" s="71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</row>
    <row r="66" spans="1:33" ht="13">
      <c r="B66" s="76" t="s">
        <v>144</v>
      </c>
      <c r="C66" s="71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</row>
    <row r="67" spans="1:33">
      <c r="A67" s="27">
        <v>16</v>
      </c>
      <c r="B67" s="91" t="s">
        <v>145</v>
      </c>
      <c r="C67" s="71"/>
      <c r="E67" s="68">
        <v>0</v>
      </c>
      <c r="F67" s="68"/>
      <c r="G67" s="49"/>
      <c r="H67" s="49"/>
      <c r="I67" s="49">
        <f t="shared" ref="I67:I68" si="39">SUM(E67:G67)</f>
        <v>0</v>
      </c>
      <c r="J67" s="49"/>
      <c r="K67" s="49"/>
      <c r="L67" s="49"/>
      <c r="M67" s="49">
        <f t="shared" ref="M67:M68" si="40">SUM(J67:L67)</f>
        <v>0</v>
      </c>
      <c r="N67" s="49"/>
      <c r="O67" s="49"/>
      <c r="P67" s="49">
        <f t="shared" ref="P67:P68" si="41">SUM(N67:O67)</f>
        <v>0</v>
      </c>
      <c r="Q67" s="68">
        <v>0</v>
      </c>
      <c r="R67" s="68"/>
      <c r="S67" s="49"/>
      <c r="T67" s="49"/>
      <c r="U67" s="68">
        <v>0</v>
      </c>
      <c r="V67" s="49"/>
      <c r="W67" s="49"/>
      <c r="X67" s="68">
        <v>0</v>
      </c>
      <c r="Y67" s="49"/>
      <c r="Z67" s="49">
        <v>0</v>
      </c>
      <c r="AA67" s="49"/>
      <c r="AB67" s="49"/>
      <c r="AC67" s="49"/>
      <c r="AD67" s="49">
        <f t="shared" ref="AD67:AD68" si="42">SUM(I67,M67,P67,T67,W67,Z67,AA67:AC67)</f>
        <v>0</v>
      </c>
      <c r="AE67" s="49">
        <f>-M67</f>
        <v>0</v>
      </c>
      <c r="AF67" s="49"/>
      <c r="AG67" s="49">
        <f>SUM(AD67:AF67)</f>
        <v>0</v>
      </c>
    </row>
    <row r="68" spans="1:33">
      <c r="A68" s="27">
        <v>17</v>
      </c>
      <c r="B68" s="91" t="s">
        <v>146</v>
      </c>
      <c r="C68" s="71"/>
      <c r="E68" s="68">
        <v>0</v>
      </c>
      <c r="F68" s="68"/>
      <c r="G68" s="49"/>
      <c r="H68" s="49"/>
      <c r="I68" s="49">
        <f t="shared" si="39"/>
        <v>0</v>
      </c>
      <c r="J68" s="49"/>
      <c r="K68" s="49"/>
      <c r="L68" s="49"/>
      <c r="M68" s="49">
        <f t="shared" si="40"/>
        <v>0</v>
      </c>
      <c r="N68" s="49"/>
      <c r="O68" s="49"/>
      <c r="P68" s="49">
        <f t="shared" si="41"/>
        <v>0</v>
      </c>
      <c r="Q68" s="68">
        <v>0</v>
      </c>
      <c r="R68" s="68"/>
      <c r="S68" s="49"/>
      <c r="T68" s="49"/>
      <c r="U68" s="68">
        <v>0</v>
      </c>
      <c r="V68" s="49"/>
      <c r="W68" s="49"/>
      <c r="X68" s="68">
        <v>0</v>
      </c>
      <c r="Y68" s="49"/>
      <c r="Z68" s="49">
        <v>0</v>
      </c>
      <c r="AA68" s="49"/>
      <c r="AB68" s="49"/>
      <c r="AC68" s="49"/>
      <c r="AD68" s="49">
        <f t="shared" si="42"/>
        <v>0</v>
      </c>
      <c r="AE68" s="49">
        <f>-M68</f>
        <v>0</v>
      </c>
      <c r="AF68" s="49"/>
      <c r="AG68" s="49">
        <f>SUM(AD68:AF68)</f>
        <v>0</v>
      </c>
    </row>
    <row r="69" spans="1:33">
      <c r="B69" s="91"/>
      <c r="C69" s="71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</row>
    <row r="70" spans="1:33" ht="13">
      <c r="B70" s="76" t="s">
        <v>147</v>
      </c>
      <c r="C70" s="71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</row>
    <row r="71" spans="1:33">
      <c r="B71" s="91" t="s">
        <v>148</v>
      </c>
      <c r="C71" s="71"/>
      <c r="E71" s="49"/>
      <c r="F71" s="49"/>
      <c r="G71" s="49"/>
      <c r="H71" s="49"/>
      <c r="I71" s="49">
        <f t="shared" ref="I71" si="43">SUM(E71:G71)</f>
        <v>0</v>
      </c>
      <c r="J71" s="49"/>
      <c r="K71" s="49"/>
      <c r="L71" s="49">
        <v>0</v>
      </c>
      <c r="M71" s="49">
        <f t="shared" ref="M71" si="44">SUM(J71:L71)</f>
        <v>0</v>
      </c>
      <c r="N71" s="49"/>
      <c r="O71" s="49">
        <v>0</v>
      </c>
      <c r="P71" s="49">
        <f t="shared" ref="P71" si="45">SUM(N71:O71)</f>
        <v>0</v>
      </c>
      <c r="Q71" s="49"/>
      <c r="R71" s="49"/>
      <c r="S71" s="49"/>
      <c r="T71" s="49">
        <f>SUM(Q71:S71)</f>
        <v>0</v>
      </c>
      <c r="U71" s="49"/>
      <c r="V71" s="49"/>
      <c r="W71" s="49">
        <f t="shared" ref="W71" si="46">SUM(U71:V71)</f>
        <v>0</v>
      </c>
      <c r="X71" s="49"/>
      <c r="Y71" s="49"/>
      <c r="Z71" s="49">
        <f t="shared" ref="Z71" si="47">SUM(X71:Y71)</f>
        <v>0</v>
      </c>
      <c r="AA71" s="49"/>
      <c r="AB71" s="49"/>
      <c r="AC71" s="49"/>
      <c r="AD71" s="49">
        <f t="shared" ref="AD71:AD75" si="48">SUM(I71,M71,P71,T71,W71,Z71,AA71:AC71)</f>
        <v>0</v>
      </c>
      <c r="AE71" s="49"/>
      <c r="AF71" s="49"/>
      <c r="AG71" s="49">
        <f>SUM(AD71:AF71)</f>
        <v>0</v>
      </c>
    </row>
    <row r="72" spans="1:33">
      <c r="B72" s="91"/>
      <c r="C72" s="71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</row>
    <row r="73" spans="1:33">
      <c r="B73" s="91" t="s">
        <v>149</v>
      </c>
      <c r="C73" s="71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>
        <f t="shared" si="48"/>
        <v>0</v>
      </c>
      <c r="AE73" s="49"/>
      <c r="AF73" s="49"/>
      <c r="AG73" s="49">
        <f t="shared" ref="AG73:AG75" si="49">SUM(AD73:AF73)</f>
        <v>0</v>
      </c>
    </row>
    <row r="74" spans="1:33">
      <c r="B74" s="132" t="s">
        <v>690</v>
      </c>
      <c r="C74" s="71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>
        <f t="shared" si="48"/>
        <v>0</v>
      </c>
      <c r="AE74" s="49"/>
      <c r="AF74" s="49"/>
      <c r="AG74" s="49">
        <f>SUM(AD74:AF74)</f>
        <v>0</v>
      </c>
    </row>
    <row r="75" spans="1:33">
      <c r="B75" s="132" t="s">
        <v>763</v>
      </c>
      <c r="C75" s="71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>
        <f t="shared" si="48"/>
        <v>0</v>
      </c>
      <c r="AE75" s="49"/>
      <c r="AF75" s="49"/>
      <c r="AG75" s="49">
        <f t="shared" si="49"/>
        <v>0</v>
      </c>
    </row>
    <row r="76" spans="1:33">
      <c r="B76" s="78"/>
      <c r="C76" s="7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</row>
    <row r="77" spans="1:33">
      <c r="B77" s="78" t="s">
        <v>150</v>
      </c>
      <c r="C77" s="79"/>
      <c r="E77" s="109">
        <f>SUM(E67:E76)</f>
        <v>0</v>
      </c>
      <c r="F77" s="109"/>
      <c r="G77" s="109"/>
      <c r="H77" s="109"/>
      <c r="I77" s="109">
        <f>SUM(I67:I76)</f>
        <v>0</v>
      </c>
      <c r="J77" s="109">
        <f>SUM(J67:J76)</f>
        <v>0</v>
      </c>
      <c r="K77" s="109"/>
      <c r="L77" s="109"/>
      <c r="M77" s="109">
        <f>SUM(M67:M76)</f>
        <v>0</v>
      </c>
      <c r="N77" s="109">
        <f>SUM(N67:N76)</f>
        <v>0</v>
      </c>
      <c r="O77" s="109"/>
      <c r="P77" s="109">
        <f>SUM(P67:P76)</f>
        <v>0</v>
      </c>
      <c r="Q77" s="109">
        <f>SUM(Q67:Q76)</f>
        <v>0</v>
      </c>
      <c r="R77" s="109"/>
      <c r="S77" s="109"/>
      <c r="T77" s="109">
        <f>SUM(T67:T76)</f>
        <v>0</v>
      </c>
      <c r="U77" s="109">
        <f>SUM(U67:U76)</f>
        <v>0</v>
      </c>
      <c r="V77" s="109"/>
      <c r="W77" s="109">
        <f>SUM(W67:W76)</f>
        <v>0</v>
      </c>
      <c r="X77" s="109">
        <f>SUM(X67:X76)</f>
        <v>0</v>
      </c>
      <c r="Y77" s="109"/>
      <c r="Z77" s="109">
        <f>SUM(Z67:Z76)</f>
        <v>0</v>
      </c>
      <c r="AA77" s="109">
        <f>SUM(AA67:AA76)</f>
        <v>0</v>
      </c>
      <c r="AB77" s="109"/>
      <c r="AC77" s="109"/>
      <c r="AD77" s="109">
        <f>SUM(AD67:AD76)</f>
        <v>0</v>
      </c>
      <c r="AE77" s="109"/>
      <c r="AF77" s="109"/>
      <c r="AG77" s="109">
        <f>SUM(AG67:AG76)</f>
        <v>0</v>
      </c>
    </row>
    <row r="78" spans="1:33">
      <c r="B78" s="78"/>
      <c r="C78" s="7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</row>
    <row r="79" spans="1:33" s="40" customFormat="1" ht="13.5" thickBot="1">
      <c r="B79" s="125" t="s">
        <v>151</v>
      </c>
      <c r="C79" s="126"/>
      <c r="E79" s="127">
        <f>E63+E77</f>
        <v>220917807969</v>
      </c>
      <c r="F79" s="127">
        <f>F63+F77</f>
        <v>11156573944</v>
      </c>
      <c r="G79" s="127"/>
      <c r="H79" s="127"/>
      <c r="I79" s="127">
        <f>I63+I77</f>
        <v>251445346429.59094</v>
      </c>
      <c r="J79" s="127">
        <f>J63+J77</f>
        <v>343810988410</v>
      </c>
      <c r="K79" s="127">
        <f>K63+K77</f>
        <v>-100072389485</v>
      </c>
      <c r="L79" s="127"/>
      <c r="M79" s="127">
        <f>M63+M77</f>
        <v>243676524429.64999</v>
      </c>
      <c r="N79" s="127">
        <f>N63+N77</f>
        <v>10891649906</v>
      </c>
      <c r="O79" s="127"/>
      <c r="P79" s="127">
        <f>P63+P77</f>
        <v>10891649906</v>
      </c>
      <c r="Q79" s="127">
        <f>Q63+Q77</f>
        <v>-2160990000</v>
      </c>
      <c r="R79" s="127">
        <f>R63+R77</f>
        <v>38259791827</v>
      </c>
      <c r="S79" s="127"/>
      <c r="T79" s="127">
        <f>T63+T77</f>
        <v>36098801827</v>
      </c>
      <c r="U79" s="127">
        <f>U63+U77</f>
        <v>-19620377169.028999</v>
      </c>
      <c r="V79" s="127"/>
      <c r="W79" s="127">
        <f>W63+W77</f>
        <v>9090908461.6209927</v>
      </c>
      <c r="X79" s="127">
        <f>X63+X77</f>
        <v>-897156804.60000002</v>
      </c>
      <c r="Y79" s="127"/>
      <c r="Z79" s="127">
        <f>Z63+Z77</f>
        <v>-897156804.60000002</v>
      </c>
      <c r="AA79" s="127">
        <f>AA63+AA77</f>
        <v>0</v>
      </c>
      <c r="AB79" s="127">
        <f>SUM(AB15:AB78)</f>
        <v>0</v>
      </c>
      <c r="AC79" s="127">
        <f>SUM(AC15:AC78)</f>
        <v>0</v>
      </c>
      <c r="AD79" s="127">
        <f>AD63+AD77</f>
        <v>550306074249.26196</v>
      </c>
      <c r="AE79" s="127"/>
      <c r="AF79" s="127"/>
      <c r="AG79" s="127">
        <f>AG63+AG77</f>
        <v>515450372495.56183</v>
      </c>
    </row>
    <row r="80" spans="1:33" s="40" customFormat="1" ht="13">
      <c r="B80" s="122"/>
      <c r="C80" s="123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</row>
    <row r="81" spans="2:33" s="40" customFormat="1" ht="13">
      <c r="B81" s="128" t="s">
        <v>152</v>
      </c>
      <c r="C81" s="71"/>
      <c r="E81" s="129"/>
      <c r="F81" s="129"/>
      <c r="G81" s="129"/>
      <c r="H81" s="129"/>
      <c r="I81" s="129"/>
      <c r="J81" s="129">
        <v>0</v>
      </c>
      <c r="K81" s="129"/>
      <c r="L81" s="129"/>
      <c r="M81" s="49">
        <v>0</v>
      </c>
      <c r="N81" s="129">
        <v>0</v>
      </c>
      <c r="O81" s="129"/>
      <c r="P81" s="49">
        <v>0</v>
      </c>
      <c r="Q81" s="129">
        <v>0</v>
      </c>
      <c r="R81" s="129"/>
      <c r="S81" s="129"/>
      <c r="T81" s="49">
        <v>0</v>
      </c>
      <c r="U81" s="129">
        <v>0</v>
      </c>
      <c r="V81" s="129"/>
      <c r="W81" s="49">
        <v>0</v>
      </c>
      <c r="X81" s="129">
        <v>0</v>
      </c>
      <c r="Y81" s="129"/>
      <c r="Z81" s="49">
        <v>0</v>
      </c>
      <c r="AA81" s="49">
        <f>-AA74</f>
        <v>0</v>
      </c>
      <c r="AB81" s="129"/>
      <c r="AC81" s="129"/>
      <c r="AD81" s="49">
        <f t="shared" ref="AD81" si="50">SUM(I81,M81,P81,T81,W81,Z81,AA81:AC81)</f>
        <v>0</v>
      </c>
      <c r="AE81" s="129"/>
      <c r="AF81" s="129"/>
      <c r="AG81" s="49">
        <f t="shared" ref="AG81" si="51">SUM(AD81:AF81)</f>
        <v>0</v>
      </c>
    </row>
    <row r="82" spans="2:33">
      <c r="B82" s="130"/>
      <c r="C82" s="7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</row>
    <row r="83" spans="2:33" s="40" customFormat="1" ht="13.5" thickBot="1">
      <c r="B83" s="125" t="s">
        <v>153</v>
      </c>
      <c r="C83" s="126"/>
      <c r="E83" s="127">
        <f>SUM(E78:E82)</f>
        <v>220917807969</v>
      </c>
      <c r="F83" s="127">
        <f>SUM(F78:F82)</f>
        <v>11156573944</v>
      </c>
      <c r="G83" s="127"/>
      <c r="H83" s="127"/>
      <c r="I83" s="127">
        <f>SUM(I78:I82)</f>
        <v>251445346429.59094</v>
      </c>
      <c r="J83" s="127">
        <f>SUM(J78:J82)</f>
        <v>343810988410</v>
      </c>
      <c r="K83" s="127">
        <f>SUM(K78:K82)</f>
        <v>-100072389485</v>
      </c>
      <c r="L83" s="127"/>
      <c r="M83" s="127">
        <f>SUM(M78:M82)</f>
        <v>243676524429.64999</v>
      </c>
      <c r="N83" s="127">
        <f>SUM(N78:N82)</f>
        <v>10891649906</v>
      </c>
      <c r="O83" s="127"/>
      <c r="P83" s="127">
        <f>SUM(P78:P82)</f>
        <v>10891649906</v>
      </c>
      <c r="Q83" s="127">
        <f t="shared" ref="Q83:R83" si="52">SUM(Q78:Q82)</f>
        <v>-2160990000</v>
      </c>
      <c r="R83" s="127">
        <f t="shared" si="52"/>
        <v>38259791827</v>
      </c>
      <c r="S83" s="127"/>
      <c r="T83" s="127">
        <f>SUM(T78:T82)</f>
        <v>36098801827</v>
      </c>
      <c r="U83" s="127">
        <f t="shared" ref="U83" si="53">SUM(U78:U82)</f>
        <v>-19620377169.028999</v>
      </c>
      <c r="V83" s="127"/>
      <c r="W83" s="127">
        <f>SUM(W78:W82)</f>
        <v>9090908461.6209927</v>
      </c>
      <c r="X83" s="127">
        <f t="shared" ref="X83" si="54">SUM(X78:X82)</f>
        <v>-897156804.60000002</v>
      </c>
      <c r="Y83" s="127"/>
      <c r="Z83" s="127">
        <f>SUM(Z78:Z82)</f>
        <v>-897156804.60000002</v>
      </c>
      <c r="AA83" s="127">
        <f>SUM(AA78:AA82)</f>
        <v>0</v>
      </c>
      <c r="AB83" s="127"/>
      <c r="AC83" s="127"/>
      <c r="AD83" s="127">
        <f t="shared" ref="AD83" si="55">SUM(AD78:AD82)</f>
        <v>550306074249.26196</v>
      </c>
      <c r="AE83" s="127"/>
      <c r="AF83" s="127"/>
      <c r="AG83" s="127">
        <f t="shared" ref="AG83" si="56">SUM(AG78:AG82)</f>
        <v>515450372495.56183</v>
      </c>
    </row>
    <row r="84" spans="2:33" ht="13">
      <c r="B84" s="133"/>
      <c r="C84" s="133"/>
      <c r="E84" s="22" t="s">
        <v>40</v>
      </c>
      <c r="F84" s="22" t="s">
        <v>40</v>
      </c>
      <c r="G84" s="22"/>
      <c r="H84" s="22"/>
      <c r="I84" s="22"/>
      <c r="J84" s="22" t="s">
        <v>40</v>
      </c>
      <c r="K84" s="22" t="s">
        <v>40</v>
      </c>
      <c r="L84" s="22"/>
      <c r="M84" s="22"/>
      <c r="N84" s="22" t="s">
        <v>40</v>
      </c>
      <c r="O84" s="22"/>
      <c r="P84" s="22"/>
      <c r="Q84" s="22" t="s">
        <v>40</v>
      </c>
      <c r="R84" s="22" t="s">
        <v>40</v>
      </c>
      <c r="S84" s="22"/>
      <c r="T84" s="22"/>
      <c r="U84" s="22" t="s">
        <v>40</v>
      </c>
      <c r="V84" s="22"/>
      <c r="W84" s="22"/>
      <c r="X84" s="22" t="s">
        <v>40</v>
      </c>
      <c r="Y84" s="22"/>
      <c r="Z84" s="22"/>
      <c r="AA84" s="22"/>
      <c r="AB84" s="22"/>
      <c r="AC84" s="22"/>
      <c r="AD84" s="22"/>
      <c r="AE84" s="22"/>
      <c r="AF84" s="22"/>
      <c r="AG84" s="22"/>
    </row>
    <row r="85" spans="2:33" ht="13">
      <c r="B85" s="133"/>
      <c r="C85" s="133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spans="2:33" ht="13">
      <c r="B86" s="134" t="s">
        <v>154</v>
      </c>
      <c r="C86" s="75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</row>
    <row r="87" spans="2:33">
      <c r="B87" s="135" t="s">
        <v>155</v>
      </c>
      <c r="C87" s="71"/>
      <c r="E87" s="136">
        <f>E63-E88</f>
        <v>220917807969</v>
      </c>
      <c r="F87" s="136">
        <f>F63-F88</f>
        <v>11156573944</v>
      </c>
      <c r="G87" s="136"/>
      <c r="H87" s="136"/>
      <c r="I87" s="136">
        <f>I63-I88</f>
        <v>251445346429.59094</v>
      </c>
      <c r="J87" s="136">
        <f>J63-J88</f>
        <v>343810988410</v>
      </c>
      <c r="K87" s="136">
        <f>K63-K88</f>
        <v>-100072389485</v>
      </c>
      <c r="L87" s="136"/>
      <c r="M87" s="136">
        <f>M90-M88</f>
        <v>243676524429.64999</v>
      </c>
      <c r="N87" s="136">
        <f>N63-N88</f>
        <v>10891649906</v>
      </c>
      <c r="O87" s="136"/>
      <c r="P87" s="136">
        <f>P63-P88</f>
        <v>10891649906</v>
      </c>
      <c r="Q87" s="136">
        <f>Q63-Q88</f>
        <v>-2160990000</v>
      </c>
      <c r="R87" s="136">
        <f>R63-R88</f>
        <v>38259791827</v>
      </c>
      <c r="S87" s="136"/>
      <c r="T87" s="136">
        <f>SUM(Q87:S87)</f>
        <v>36098801827</v>
      </c>
      <c r="U87" s="136">
        <f>U63-U88</f>
        <v>-19586879692.725296</v>
      </c>
      <c r="V87" s="136"/>
      <c r="W87" s="136">
        <f>W90-W88</f>
        <v>9124405937.9246941</v>
      </c>
      <c r="X87" s="136">
        <f>X63-X88</f>
        <v>-897156804.60000002</v>
      </c>
      <c r="Y87" s="136"/>
      <c r="Z87" s="136">
        <f>SUM(X87:Y87)</f>
        <v>-897156804.60000002</v>
      </c>
      <c r="AA87" s="136"/>
      <c r="AB87" s="136"/>
      <c r="AC87" s="136"/>
      <c r="AD87" s="136">
        <f t="shared" ref="AD87:AD88" si="57">SUM(I87,M87,P87,T87,W87,Z87,AA87:AC87)</f>
        <v>550339571725.56567</v>
      </c>
      <c r="AE87" s="49"/>
      <c r="AF87" s="49"/>
      <c r="AG87" s="136">
        <f>AG63-AG88</f>
        <v>252352390589.87088</v>
      </c>
    </row>
    <row r="88" spans="2:33">
      <c r="B88" s="135" t="s">
        <v>103</v>
      </c>
      <c r="C88" s="79"/>
      <c r="E88" s="49"/>
      <c r="F88" s="49"/>
      <c r="G88" s="49"/>
      <c r="H88" s="49"/>
      <c r="I88" s="136">
        <f>SUM(E88:G88)</f>
        <v>0</v>
      </c>
      <c r="J88" s="49">
        <v>0</v>
      </c>
      <c r="K88" s="49"/>
      <c r="L88" s="49"/>
      <c r="M88" s="136">
        <f>SUM(J88:L88)</f>
        <v>0</v>
      </c>
      <c r="N88" s="49">
        <v>0</v>
      </c>
      <c r="O88" s="49"/>
      <c r="P88" s="136">
        <v>0</v>
      </c>
      <c r="Q88" s="49">
        <v>0</v>
      </c>
      <c r="R88" s="49"/>
      <c r="S88" s="49"/>
      <c r="T88" s="136">
        <f>SUM(Q88:S88)</f>
        <v>0</v>
      </c>
      <c r="U88" s="49">
        <v>-33497476.30370149</v>
      </c>
      <c r="V88" s="49"/>
      <c r="W88" s="136">
        <f>SUM(U88:V88)</f>
        <v>-33497476.30370149</v>
      </c>
      <c r="X88" s="49">
        <v>0</v>
      </c>
      <c r="Y88" s="49"/>
      <c r="Z88" s="136">
        <f>SUM(X88:Y88)</f>
        <v>0</v>
      </c>
      <c r="AA88" s="136"/>
      <c r="AB88" s="49"/>
      <c r="AC88" s="49"/>
      <c r="AD88" s="136">
        <f t="shared" si="57"/>
        <v>-33497476.30370149</v>
      </c>
      <c r="AE88" s="49">
        <f>'Elimination 2024'!G12+'Elimination 2024'!G35+'Elimination 2024'!H51</f>
        <v>258660520472.41156</v>
      </c>
      <c r="AF88" s="49">
        <f>'Elimination 2024'!G61</f>
        <v>4470958909.5831041</v>
      </c>
      <c r="AG88" s="49">
        <f>SUM(AD88,AE88,AF88)</f>
        <v>263097981905.69095</v>
      </c>
    </row>
    <row r="89" spans="2:33">
      <c r="B89" s="135"/>
      <c r="C89" s="7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84"/>
      <c r="AE89" s="49"/>
      <c r="AF89" s="49"/>
      <c r="AG89" s="49"/>
    </row>
    <row r="90" spans="2:33" s="40" customFormat="1" ht="13">
      <c r="B90" s="60" t="s">
        <v>156</v>
      </c>
      <c r="C90" s="61"/>
      <c r="E90" s="73">
        <f t="shared" ref="E90:F90" si="58">SUM(E86:E88)</f>
        <v>220917807969</v>
      </c>
      <c r="F90" s="73">
        <f t="shared" si="58"/>
        <v>11156573944</v>
      </c>
      <c r="G90" s="73"/>
      <c r="H90" s="73"/>
      <c r="I90" s="73">
        <f t="shared" ref="I90" si="59">SUM(I86:I88)</f>
        <v>251445346429.59094</v>
      </c>
      <c r="J90" s="73">
        <f>SUM(J86:J88)</f>
        <v>343810988410</v>
      </c>
      <c r="K90" s="73">
        <f>SUM(K86:K88)</f>
        <v>-100072389485</v>
      </c>
      <c r="L90" s="73"/>
      <c r="M90" s="73">
        <f>M83</f>
        <v>243676524429.64999</v>
      </c>
      <c r="N90" s="73">
        <f>SUM(N86:N88)</f>
        <v>10891649906</v>
      </c>
      <c r="O90" s="73"/>
      <c r="P90" s="73">
        <f t="shared" ref="P90:R90" si="60">SUM(P86:P88)</f>
        <v>10891649906</v>
      </c>
      <c r="Q90" s="73">
        <f t="shared" si="60"/>
        <v>-2160990000</v>
      </c>
      <c r="R90" s="73">
        <f t="shared" si="60"/>
        <v>38259791827</v>
      </c>
      <c r="S90" s="73"/>
      <c r="T90" s="73">
        <f>SUM(T86:T88)</f>
        <v>36098801827</v>
      </c>
      <c r="U90" s="73">
        <f t="shared" ref="U90" si="61">SUM(U86:U88)</f>
        <v>-19620377169.028999</v>
      </c>
      <c r="V90" s="73"/>
      <c r="W90" s="73">
        <f>W83</f>
        <v>9090908461.6209927</v>
      </c>
      <c r="X90" s="73">
        <f t="shared" ref="X90" si="62">SUM(X86:X88)</f>
        <v>-897156804.60000002</v>
      </c>
      <c r="Y90" s="73"/>
      <c r="Z90" s="73">
        <f>SUM(Z86:Z88)</f>
        <v>-897156804.60000002</v>
      </c>
      <c r="AA90" s="73"/>
      <c r="AB90" s="73"/>
      <c r="AC90" s="73"/>
      <c r="AD90" s="73">
        <f>AD63</f>
        <v>550306074249.26196</v>
      </c>
      <c r="AE90" s="73"/>
      <c r="AF90" s="73"/>
      <c r="AG90" s="73">
        <f>AG63</f>
        <v>515450372495.56183</v>
      </c>
    </row>
    <row r="91" spans="2:33" ht="13">
      <c r="B91" s="133"/>
      <c r="C91" s="133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>
        <f>AG90-AG63</f>
        <v>0</v>
      </c>
    </row>
    <row r="92" spans="2:33" ht="13">
      <c r="B92" s="133"/>
      <c r="C92" s="133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spans="2:33" ht="13">
      <c r="B93" s="134" t="s">
        <v>157</v>
      </c>
      <c r="C93" s="75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</row>
    <row r="94" spans="2:33">
      <c r="B94" s="135" t="s">
        <v>155</v>
      </c>
      <c r="C94" s="71"/>
      <c r="E94" s="136">
        <f t="shared" ref="E94:F94" si="63">E79-E97</f>
        <v>220917807969</v>
      </c>
      <c r="F94" s="136">
        <f t="shared" si="63"/>
        <v>11156573944</v>
      </c>
      <c r="G94" s="136"/>
      <c r="H94" s="136"/>
      <c r="I94" s="136">
        <f>I79-I97</f>
        <v>251445346429.59094</v>
      </c>
      <c r="J94" s="136">
        <f>J98-J95</f>
        <v>343810988410</v>
      </c>
      <c r="K94" s="136">
        <f>K98-K95</f>
        <v>-100072389485</v>
      </c>
      <c r="L94" s="136"/>
      <c r="M94" s="136">
        <f>M79-M97-M95-M96</f>
        <v>243676524429.64999</v>
      </c>
      <c r="N94" s="136">
        <f>N98-N95</f>
        <v>10891649906</v>
      </c>
      <c r="O94" s="136"/>
      <c r="P94" s="136">
        <f>P79-P97-P95-P96</f>
        <v>10891649906</v>
      </c>
      <c r="Q94" s="136">
        <f>Q98-Q95</f>
        <v>-2160990000</v>
      </c>
      <c r="R94" s="136">
        <f>R98-R95</f>
        <v>38259791827</v>
      </c>
      <c r="S94" s="136"/>
      <c r="T94" s="136">
        <f>T98-T95</f>
        <v>36098801827</v>
      </c>
      <c r="U94" s="136">
        <f>U98-U95</f>
        <v>-19586879692.725296</v>
      </c>
      <c r="V94" s="136"/>
      <c r="W94" s="136">
        <f>W98-W95</f>
        <v>9124405937.9246941</v>
      </c>
      <c r="X94" s="136">
        <f>X98-X95</f>
        <v>-897156804.60000002</v>
      </c>
      <c r="Y94" s="136"/>
      <c r="Z94" s="136">
        <f>Z98-Z95</f>
        <v>-897156804.60000002</v>
      </c>
      <c r="AA94" s="136"/>
      <c r="AB94" s="136"/>
      <c r="AC94" s="136"/>
      <c r="AD94" s="49">
        <f t="shared" ref="AD94:AD97" si="64">SUM(I94,M94,P94,T94,W94,Z94,AA94:AC94)</f>
        <v>550339571725.56567</v>
      </c>
      <c r="AE94" s="49"/>
      <c r="AF94" s="49"/>
      <c r="AG94" s="136">
        <f>AG98-AG95</f>
        <v>256823349499.45398</v>
      </c>
    </row>
    <row r="95" spans="2:33">
      <c r="B95" s="135" t="s">
        <v>158</v>
      </c>
      <c r="C95" s="71"/>
      <c r="E95" s="136"/>
      <c r="F95" s="136"/>
      <c r="G95" s="136"/>
      <c r="H95" s="136"/>
      <c r="I95" s="136"/>
      <c r="J95" s="136">
        <v>0</v>
      </c>
      <c r="K95" s="136"/>
      <c r="L95" s="136"/>
      <c r="M95" s="136">
        <f>SUM(J95:L95)</f>
        <v>0</v>
      </c>
      <c r="N95" s="136">
        <v>0</v>
      </c>
      <c r="O95" s="136"/>
      <c r="P95" s="136">
        <f>SUM(N95:O95)</f>
        <v>0</v>
      </c>
      <c r="Q95" s="136">
        <f>Q88</f>
        <v>0</v>
      </c>
      <c r="R95" s="136"/>
      <c r="S95" s="136"/>
      <c r="T95" s="136">
        <f>T88</f>
        <v>0</v>
      </c>
      <c r="U95" s="136">
        <f>U88</f>
        <v>-33497476.30370149</v>
      </c>
      <c r="V95" s="136"/>
      <c r="W95" s="136">
        <f>W88</f>
        <v>-33497476.30370149</v>
      </c>
      <c r="X95" s="136">
        <f>X88</f>
        <v>0</v>
      </c>
      <c r="Y95" s="136"/>
      <c r="Z95" s="136">
        <f>Z88</f>
        <v>0</v>
      </c>
      <c r="AA95" s="136"/>
      <c r="AB95" s="136"/>
      <c r="AC95" s="136"/>
      <c r="AD95" s="136">
        <f>AD88</f>
        <v>-33497476.30370149</v>
      </c>
      <c r="AE95" s="49">
        <f>AE88</f>
        <v>258660520472.41156</v>
      </c>
      <c r="AF95" s="49"/>
      <c r="AG95" s="49">
        <f>SUM(AD95,AE95,AF95)</f>
        <v>258627022996.10785</v>
      </c>
    </row>
    <row r="96" spans="2:33">
      <c r="B96" s="135" t="s">
        <v>159</v>
      </c>
      <c r="C96" s="71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49">
        <f t="shared" si="64"/>
        <v>0</v>
      </c>
      <c r="AE96" s="49"/>
      <c r="AF96" s="49"/>
      <c r="AG96" s="49">
        <f>SUM(AD96,AE96,AF96)</f>
        <v>0</v>
      </c>
    </row>
    <row r="97" spans="2:33">
      <c r="B97" s="135" t="s">
        <v>160</v>
      </c>
      <c r="C97" s="79"/>
      <c r="E97" s="68"/>
      <c r="F97" s="68"/>
      <c r="G97" s="49"/>
      <c r="H97" s="49"/>
      <c r="I97" s="136">
        <f>SUM(E97:G97)</f>
        <v>0</v>
      </c>
      <c r="J97" s="49"/>
      <c r="K97" s="49"/>
      <c r="L97" s="49"/>
      <c r="M97" s="136">
        <f>SUM(J97:L97)</f>
        <v>0</v>
      </c>
      <c r="N97" s="49"/>
      <c r="O97" s="49"/>
      <c r="P97" s="136">
        <f>SUM(N97:O97)</f>
        <v>0</v>
      </c>
      <c r="Q97" s="68"/>
      <c r="R97" s="68"/>
      <c r="S97" s="49"/>
      <c r="T97" s="136">
        <f>SUM(Q97:S97)</f>
        <v>0</v>
      </c>
      <c r="U97" s="68"/>
      <c r="V97" s="49"/>
      <c r="W97" s="136">
        <f>SUM(U97:V97)</f>
        <v>0</v>
      </c>
      <c r="X97" s="68"/>
      <c r="Y97" s="49"/>
      <c r="Z97" s="136">
        <f>SUM(X97:Y97)</f>
        <v>0</v>
      </c>
      <c r="AA97" s="136"/>
      <c r="AB97" s="49"/>
      <c r="AC97" s="49"/>
      <c r="AD97" s="49">
        <f t="shared" si="64"/>
        <v>0</v>
      </c>
      <c r="AE97" s="49"/>
      <c r="AF97" s="49"/>
      <c r="AG97" s="49">
        <f>SUM(AD97:AF97)</f>
        <v>0</v>
      </c>
    </row>
    <row r="98" spans="2:33" s="40" customFormat="1" ht="13">
      <c r="B98" s="60" t="s">
        <v>153</v>
      </c>
      <c r="C98" s="61"/>
      <c r="E98" s="73">
        <f>SUM(E93:E97)</f>
        <v>220917807969</v>
      </c>
      <c r="F98" s="73">
        <f>SUM(F93:F97)</f>
        <v>11156573944</v>
      </c>
      <c r="G98" s="73"/>
      <c r="H98" s="73"/>
      <c r="I98" s="73">
        <f t="shared" ref="I98" si="65">SUM(I93:I97)</f>
        <v>251445346429.59094</v>
      </c>
      <c r="J98" s="73">
        <f>J83</f>
        <v>343810988410</v>
      </c>
      <c r="K98" s="73">
        <f>K83</f>
        <v>-100072389485</v>
      </c>
      <c r="L98" s="73"/>
      <c r="M98" s="73">
        <f>M83</f>
        <v>243676524429.64999</v>
      </c>
      <c r="N98" s="73">
        <f>N83</f>
        <v>10891649906</v>
      </c>
      <c r="O98" s="73"/>
      <c r="P98" s="73">
        <f>P83</f>
        <v>10891649906</v>
      </c>
      <c r="Q98" s="73">
        <f>Q90</f>
        <v>-2160990000</v>
      </c>
      <c r="R98" s="73">
        <f>R90</f>
        <v>38259791827</v>
      </c>
      <c r="S98" s="73"/>
      <c r="T98" s="73">
        <f>T90</f>
        <v>36098801827</v>
      </c>
      <c r="U98" s="73">
        <f>U90</f>
        <v>-19620377169.028999</v>
      </c>
      <c r="V98" s="73"/>
      <c r="W98" s="73">
        <f>W90</f>
        <v>9090908461.6209927</v>
      </c>
      <c r="X98" s="73">
        <f>X90</f>
        <v>-897156804.60000002</v>
      </c>
      <c r="Y98" s="73"/>
      <c r="Z98" s="73">
        <f>Z90</f>
        <v>-897156804.60000002</v>
      </c>
      <c r="AA98" s="73"/>
      <c r="AB98" s="73"/>
      <c r="AC98" s="73"/>
      <c r="AD98" s="73">
        <f>AD83</f>
        <v>550306074249.26196</v>
      </c>
      <c r="AE98" s="73"/>
      <c r="AF98" s="73"/>
      <c r="AG98" s="73">
        <f>AG79</f>
        <v>515450372495.56183</v>
      </c>
    </row>
    <row r="99" spans="2:33" s="40" customFormat="1" ht="13">
      <c r="B99" s="137"/>
      <c r="C99" s="63"/>
      <c r="E99" s="138">
        <f>E98-E79</f>
        <v>0</v>
      </c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>
        <f>Q98-Q79</f>
        <v>0</v>
      </c>
      <c r="R99" s="138"/>
      <c r="S99" s="138"/>
      <c r="T99" s="138"/>
      <c r="U99" s="138">
        <f>U98-U79</f>
        <v>0</v>
      </c>
      <c r="V99" s="138"/>
      <c r="W99" s="138"/>
      <c r="X99" s="138">
        <f>X98-X79</f>
        <v>0</v>
      </c>
      <c r="Y99" s="138"/>
      <c r="Z99" s="138"/>
      <c r="AA99" s="138"/>
      <c r="AB99" s="138"/>
      <c r="AC99" s="138"/>
      <c r="AD99" s="138"/>
      <c r="AE99" s="138"/>
      <c r="AF99" s="138"/>
      <c r="AG99" s="138">
        <f>AG98-AG79</f>
        <v>0</v>
      </c>
    </row>
    <row r="100" spans="2:33" s="40" customFormat="1" ht="13">
      <c r="B100" s="137"/>
      <c r="C100" s="63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</row>
    <row r="101" spans="2:33">
      <c r="B101" s="133"/>
      <c r="I101" s="28"/>
      <c r="M101" s="28"/>
      <c r="P101" s="28"/>
      <c r="T101" s="28"/>
      <c r="W101" s="28"/>
      <c r="Z101" s="28"/>
      <c r="AA101" s="28"/>
      <c r="AD101" s="28"/>
      <c r="AE101" s="28"/>
    </row>
    <row r="102" spans="2:33" s="139" customFormat="1">
      <c r="AG102" s="140"/>
    </row>
    <row r="108" spans="2:33">
      <c r="E108" s="141"/>
      <c r="F108" s="141"/>
      <c r="Q108" s="141"/>
      <c r="R108" s="141"/>
      <c r="U108" s="141"/>
      <c r="X108" s="141"/>
    </row>
    <row r="109" spans="2:33">
      <c r="E109" s="141"/>
      <c r="F109" s="141"/>
      <c r="Q109" s="141"/>
      <c r="R109" s="141"/>
      <c r="U109" s="141"/>
      <c r="X109" s="141"/>
    </row>
  </sheetData>
  <mergeCells count="10">
    <mergeCell ref="S12:S13"/>
    <mergeCell ref="V12:V13"/>
    <mergeCell ref="Y12:Y13"/>
    <mergeCell ref="AB12:AC12"/>
    <mergeCell ref="AE12:AF12"/>
    <mergeCell ref="O12:O13"/>
    <mergeCell ref="B12:C13"/>
    <mergeCell ref="G12:G13"/>
    <mergeCell ref="H12:H13"/>
    <mergeCell ref="L12:L13"/>
  </mergeCells>
  <pageMargins left="0.70866141732283472" right="0.70866141732283472" top="0.74803149606299213" bottom="0.74803149606299213" header="0.31496062992125984" footer="0.31496062992125984"/>
  <pageSetup paperSize="9" scale="76"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EAEE-EEAD-4BD5-A2E3-04457E76ED85}">
  <dimension ref="B2:BI120"/>
  <sheetViews>
    <sheetView workbookViewId="0"/>
  </sheetViews>
  <sheetFormatPr defaultColWidth="8.26953125" defaultRowHeight="12.5" outlineLevelCol="2"/>
  <cols>
    <col min="1" max="1" width="3" style="27" bestFit="1" customWidth="1"/>
    <col min="2" max="2" width="12.7265625" style="27" customWidth="1"/>
    <col min="3" max="3" width="38.81640625" style="27" customWidth="1"/>
    <col min="4" max="4" width="1.7265625" style="27" customWidth="1"/>
    <col min="5" max="5" width="20.7265625" style="27" hidden="1" customWidth="1" outlineLevel="2"/>
    <col min="6" max="7" width="17" style="27" hidden="1" customWidth="1" outlineLevel="2"/>
    <col min="8" max="8" width="19.7265625" style="27" customWidth="1" outlineLevel="1" collapsed="1"/>
    <col min="9" max="9" width="19.7265625" style="27" hidden="1" customWidth="1" outlineLevel="2"/>
    <col min="10" max="10" width="17" style="27" hidden="1" customWidth="1" outlineLevel="2"/>
    <col min="11" max="11" width="19.7265625" style="27" customWidth="1" outlineLevel="1" collapsed="1"/>
    <col min="12" max="12" width="19.7265625" style="27" hidden="1" customWidth="1" outlineLevel="2"/>
    <col min="13" max="13" width="17" style="27" hidden="1" customWidth="1" outlineLevel="2"/>
    <col min="14" max="14" width="19.7265625" style="27" customWidth="1" outlineLevel="1" collapsed="1"/>
    <col min="15" max="15" width="17.81640625" style="27" hidden="1" customWidth="1" outlineLevel="2"/>
    <col min="16" max="16" width="17" style="27" hidden="1" customWidth="1" outlineLevel="2"/>
    <col min="17" max="17" width="19.7265625" style="27" customWidth="1" outlineLevel="1" collapsed="1"/>
    <col min="18" max="18" width="19.7265625" style="27" hidden="1" customWidth="1" outlineLevel="2"/>
    <col min="19" max="19" width="17" style="27" hidden="1" customWidth="1" outlineLevel="2"/>
    <col min="20" max="20" width="19.7265625" style="27" customWidth="1" outlineLevel="1" collapsed="1"/>
    <col min="21" max="21" width="17.81640625" style="27" hidden="1" customWidth="1" outlineLevel="2"/>
    <col min="22" max="22" width="17" style="27" hidden="1" customWidth="1" outlineLevel="2"/>
    <col min="23" max="23" width="19.7265625" style="27" customWidth="1" outlineLevel="1" collapsed="1"/>
    <col min="24" max="25" width="17" style="27" hidden="1" customWidth="1" outlineLevel="2"/>
    <col min="26" max="26" width="19.7265625" style="27" hidden="1" customWidth="1" outlineLevel="2" collapsed="1"/>
    <col min="27" max="27" width="20.453125" style="27" hidden="1" customWidth="1" outlineLevel="2"/>
    <col min="28" max="28" width="24.453125" style="27" customWidth="1" outlineLevel="1" collapsed="1"/>
    <col min="29" max="29" width="20.453125" style="27" customWidth="1" outlineLevel="1"/>
    <col min="30" max="30" width="19.26953125" style="27" customWidth="1" outlineLevel="1"/>
    <col min="31" max="31" width="21.26953125" style="27" customWidth="1"/>
    <col min="32" max="32" width="1.7265625" style="27" customWidth="1"/>
    <col min="33" max="33" width="20.7265625" style="27" hidden="1" customWidth="1" outlineLevel="2"/>
    <col min="34" max="35" width="17" style="27" hidden="1" customWidth="1" outlineLevel="2"/>
    <col min="36" max="36" width="19.7265625" style="27" hidden="1" customWidth="1" outlineLevel="1"/>
    <col min="37" max="37" width="19.7265625" style="27" hidden="1" customWidth="1" outlineLevel="2"/>
    <col min="38" max="38" width="17" style="27" hidden="1" customWidth="1" outlineLevel="2"/>
    <col min="39" max="39" width="19.7265625" style="27" hidden="1" customWidth="1" outlineLevel="1"/>
    <col min="40" max="40" width="19.7265625" style="27" hidden="1" customWidth="1" outlineLevel="2"/>
    <col min="41" max="41" width="17" style="27" hidden="1" customWidth="1" outlineLevel="2"/>
    <col min="42" max="42" width="19.7265625" style="27" hidden="1" customWidth="1" outlineLevel="1"/>
    <col min="43" max="43" width="19.7265625" style="27" hidden="1" customWidth="1" outlineLevel="2"/>
    <col min="44" max="44" width="17" style="27" hidden="1" customWidth="1" outlineLevel="2"/>
    <col min="45" max="45" width="19.7265625" style="27" hidden="1" customWidth="1" outlineLevel="1"/>
    <col min="46" max="46" width="19.7265625" style="27" hidden="1" customWidth="1" outlineLevel="2"/>
    <col min="47" max="47" width="17" style="27" hidden="1" customWidth="1" outlineLevel="2"/>
    <col min="48" max="48" width="19.7265625" style="27" hidden="1" customWidth="1" outlineLevel="1"/>
    <col min="49" max="49" width="19.7265625" style="27" hidden="1" customWidth="1" outlineLevel="2"/>
    <col min="50" max="50" width="17" style="27" hidden="1" customWidth="1" outlineLevel="2"/>
    <col min="51" max="51" width="19.7265625" style="27" hidden="1" customWidth="1" outlineLevel="1"/>
    <col min="52" max="52" width="21.453125" style="27" hidden="1" customWidth="1" outlineLevel="2"/>
    <col min="53" max="53" width="21.453125" style="27" hidden="1" customWidth="1" outlineLevel="2" collapsed="1"/>
    <col min="54" max="54" width="21.453125" style="27" hidden="1" customWidth="1" outlineLevel="2"/>
    <col min="55" max="55" width="24.453125" style="27" hidden="1" customWidth="1" outlineLevel="1"/>
    <col min="56" max="56" width="20.453125" style="27" hidden="1" customWidth="1" outlineLevel="1"/>
    <col min="57" max="57" width="19.26953125" style="27" hidden="1" customWidth="1" outlineLevel="1"/>
    <col min="58" max="58" width="21.26953125" style="27" customWidth="1" collapsed="1"/>
    <col min="59" max="59" width="1.26953125" style="27" customWidth="1"/>
    <col min="60" max="60" width="8.26953125" style="27"/>
    <col min="61" max="61" width="15.453125" style="27" bestFit="1" customWidth="1"/>
    <col min="62" max="16384" width="8.26953125" style="27"/>
  </cols>
  <sheetData>
    <row r="2" spans="2:60">
      <c r="B2" s="516"/>
      <c r="C2" s="516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48"/>
    </row>
    <row r="3" spans="2:60" s="7" customFormat="1" ht="14.9" customHeight="1">
      <c r="B3" s="8"/>
      <c r="C3" s="9" t="s">
        <v>472</v>
      </c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1"/>
      <c r="AE3" s="14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</row>
    <row r="4" spans="2:60" s="7" customFormat="1" ht="14.9" customHeight="1">
      <c r="B4" s="15"/>
      <c r="C4" s="2" t="s">
        <v>0</v>
      </c>
      <c r="D4" s="16"/>
      <c r="E4" s="1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6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</row>
    <row r="5" spans="2:60" s="7" customFormat="1" ht="14.9" customHeight="1">
      <c r="B5" s="9"/>
      <c r="C5" s="17" t="s">
        <v>459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9" t="s">
        <v>161</v>
      </c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</row>
    <row r="6" spans="2:60" s="7" customFormat="1" ht="14.9" customHeight="1">
      <c r="B6" s="20"/>
      <c r="C6" s="21"/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4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</row>
    <row r="7" spans="2:60" ht="14.5">
      <c r="B7" s="25"/>
      <c r="C7" s="26"/>
      <c r="E7" s="26"/>
      <c r="F7" s="26"/>
      <c r="G7" s="26"/>
      <c r="H7" s="26"/>
      <c r="I7" s="26"/>
      <c r="J7" s="26"/>
      <c r="K7" s="26" t="s">
        <v>2</v>
      </c>
      <c r="L7" s="26"/>
      <c r="M7" s="26"/>
      <c r="N7" s="26" t="s">
        <v>2</v>
      </c>
      <c r="O7" s="464"/>
      <c r="P7" s="26"/>
      <c r="Q7" s="26"/>
      <c r="R7" s="26"/>
      <c r="S7" s="26"/>
      <c r="T7" s="26"/>
      <c r="U7" s="26"/>
      <c r="V7" s="26"/>
      <c r="W7" s="26"/>
      <c r="X7" s="26"/>
      <c r="Y7" s="26"/>
      <c r="AD7" s="28"/>
      <c r="AG7" s="26"/>
      <c r="AH7" s="26"/>
      <c r="AI7" s="26"/>
      <c r="AJ7" s="26"/>
      <c r="AK7" s="26"/>
      <c r="AL7" s="26"/>
      <c r="AM7" s="26" t="s">
        <v>460</v>
      </c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</row>
    <row r="8" spans="2:60" ht="13">
      <c r="B8" s="29"/>
      <c r="C8" s="30"/>
      <c r="E8" s="31"/>
      <c r="F8" s="31"/>
      <c r="G8" s="31"/>
      <c r="H8" s="31" t="s">
        <v>640</v>
      </c>
      <c r="I8" s="31"/>
      <c r="J8" s="31"/>
      <c r="K8" s="31" t="s">
        <v>688</v>
      </c>
      <c r="L8" s="31"/>
      <c r="M8" s="31"/>
      <c r="N8" s="31" t="s">
        <v>740</v>
      </c>
      <c r="O8" s="31"/>
      <c r="P8" s="31"/>
      <c r="Q8" s="31" t="s">
        <v>465</v>
      </c>
      <c r="R8" s="31"/>
      <c r="S8" s="31"/>
      <c r="T8" s="31" t="s">
        <v>609</v>
      </c>
      <c r="U8" s="31"/>
      <c r="V8" s="31"/>
      <c r="W8" s="31" t="s">
        <v>461</v>
      </c>
      <c r="X8" s="26"/>
      <c r="Y8" s="26"/>
      <c r="AB8" s="28"/>
      <c r="AG8" s="31"/>
      <c r="AH8" s="31"/>
      <c r="AI8" s="31"/>
      <c r="AJ8" s="31" t="s">
        <v>462</v>
      </c>
      <c r="AK8" s="31"/>
      <c r="AL8" s="31"/>
      <c r="AM8" s="31" t="s">
        <v>463</v>
      </c>
      <c r="AN8" s="31"/>
      <c r="AO8" s="31"/>
      <c r="AP8" s="31" t="s">
        <v>464</v>
      </c>
      <c r="AQ8" s="31"/>
      <c r="AR8" s="31"/>
      <c r="AS8" s="31" t="s">
        <v>465</v>
      </c>
      <c r="AT8" s="31"/>
      <c r="AU8" s="31"/>
      <c r="AV8" s="31" t="s">
        <v>466</v>
      </c>
      <c r="AW8" s="31"/>
      <c r="AX8" s="31"/>
      <c r="AY8" s="31" t="s">
        <v>461</v>
      </c>
      <c r="AZ8" s="26"/>
      <c r="BC8" s="28"/>
    </row>
    <row r="9" spans="2:60" ht="13">
      <c r="B9" s="32" t="s">
        <v>3</v>
      </c>
      <c r="C9" s="30"/>
      <c r="E9" s="22">
        <f>E114+E54</f>
        <v>-0.1748046875</v>
      </c>
      <c r="F9" s="22"/>
      <c r="G9" s="22"/>
      <c r="H9" s="22">
        <f>H114+H54</f>
        <v>-0.1748046875</v>
      </c>
      <c r="I9" s="22">
        <f>I114+I54</f>
        <v>-7.75146484375E-3</v>
      </c>
      <c r="J9" s="22"/>
      <c r="K9" s="22">
        <f t="shared" ref="K9:W9" si="0">K114+K54</f>
        <v>-7.75146484375E-3</v>
      </c>
      <c r="L9" s="22">
        <f t="shared" si="0"/>
        <v>-0.57500076293945313</v>
      </c>
      <c r="M9" s="22">
        <f t="shared" si="0"/>
        <v>0</v>
      </c>
      <c r="N9" s="22">
        <f t="shared" si="0"/>
        <v>-0.57500076293945313</v>
      </c>
      <c r="O9" s="22">
        <f t="shared" si="0"/>
        <v>1.2750015258789063</v>
      </c>
      <c r="P9" s="22">
        <f t="shared" si="0"/>
        <v>0</v>
      </c>
      <c r="Q9" s="22">
        <f t="shared" si="0"/>
        <v>1.2750015258789063</v>
      </c>
      <c r="R9" s="22">
        <f t="shared" si="0"/>
        <v>1.328857421875</v>
      </c>
      <c r="S9" s="22">
        <f t="shared" si="0"/>
        <v>0</v>
      </c>
      <c r="T9" s="22">
        <f t="shared" si="0"/>
        <v>1.328857421875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/>
      <c r="Y9" s="22"/>
      <c r="Z9" s="22">
        <f>SUM(Z12:Z114)</f>
        <v>0</v>
      </c>
      <c r="AA9" s="22">
        <f>SUM(AA12:AA114)</f>
        <v>0</v>
      </c>
      <c r="AB9" s="22">
        <f>AB114+AB54</f>
        <v>1.846435546875</v>
      </c>
      <c r="AC9" s="22">
        <f>SUM(AC12:AC114)</f>
        <v>2821644586688.4043</v>
      </c>
      <c r="AD9" s="22">
        <f>SUM(AD12:AD114)</f>
        <v>-2821644585896.0547</v>
      </c>
      <c r="AE9" s="22">
        <f>AE114+AE54</f>
        <v>-0.3123779296875</v>
      </c>
      <c r="AG9" s="22">
        <f>AG114+AG54</f>
        <v>-0.27490234375</v>
      </c>
      <c r="AH9" s="22"/>
      <c r="AI9" s="22"/>
      <c r="AJ9" s="22">
        <f>AJ114+AJ54</f>
        <v>-0.27490234375</v>
      </c>
      <c r="AK9" s="22">
        <f>AK114+AK54</f>
        <v>-0.1097412109375</v>
      </c>
      <c r="AL9" s="22"/>
      <c r="AM9" s="22">
        <f>AM114+AM54</f>
        <v>-0.1097412109375</v>
      </c>
      <c r="AN9" s="22">
        <f>AN114+AN54</f>
        <v>0</v>
      </c>
      <c r="AO9" s="22"/>
      <c r="AP9" s="22">
        <f>AP114+AP54</f>
        <v>0</v>
      </c>
      <c r="AQ9" s="22">
        <f>AQ114+AQ54</f>
        <v>-0.47500038146972656</v>
      </c>
      <c r="AR9" s="22"/>
      <c r="AS9" s="22">
        <f>AS114+AS54</f>
        <v>-0.47500038146972656</v>
      </c>
      <c r="AT9" s="22">
        <f>AT114+AT54</f>
        <v>0</v>
      </c>
      <c r="AU9" s="22"/>
      <c r="AV9" s="22">
        <f>AV114+AV54</f>
        <v>0</v>
      </c>
      <c r="AW9" s="22">
        <f>AW114+AW54</f>
        <v>0</v>
      </c>
      <c r="AX9" s="22"/>
      <c r="AY9" s="22">
        <f>AY114+AY54</f>
        <v>0</v>
      </c>
      <c r="AZ9" s="22"/>
      <c r="BA9" s="22">
        <f>SUM(BA12:BA114)</f>
        <v>0</v>
      </c>
      <c r="BB9" s="22">
        <f>SUM(BB12:BB114)</f>
        <v>0</v>
      </c>
      <c r="BC9" s="22">
        <f>BC114+BC54</f>
        <v>0</v>
      </c>
      <c r="BD9" s="22">
        <f>SUM(BD12:BD114)</f>
        <v>1385397059276.8506</v>
      </c>
      <c r="BE9" s="22">
        <f>SUM(BE12:BE114)</f>
        <v>-1385397059276.2842</v>
      </c>
      <c r="BF9" s="22">
        <f>BF114+BF54</f>
        <v>0</v>
      </c>
    </row>
    <row r="10" spans="2:60" s="40" customFormat="1" ht="12.75" customHeight="1">
      <c r="B10" s="33" t="s">
        <v>4</v>
      </c>
      <c r="C10" s="34"/>
      <c r="E10" s="35" t="s">
        <v>640</v>
      </c>
      <c r="F10" s="36" t="s">
        <v>7</v>
      </c>
      <c r="G10" s="36" t="s">
        <v>8</v>
      </c>
      <c r="H10" s="37" t="s">
        <v>640</v>
      </c>
      <c r="I10" s="35" t="s">
        <v>688</v>
      </c>
      <c r="J10" s="36" t="s">
        <v>8</v>
      </c>
      <c r="K10" s="37" t="s">
        <v>688</v>
      </c>
      <c r="L10" s="35" t="s">
        <v>740</v>
      </c>
      <c r="M10" s="36" t="s">
        <v>8</v>
      </c>
      <c r="N10" s="37" t="s">
        <v>740</v>
      </c>
      <c r="O10" s="35" t="s">
        <v>465</v>
      </c>
      <c r="P10" s="36" t="s">
        <v>8</v>
      </c>
      <c r="Q10" s="37" t="s">
        <v>465</v>
      </c>
      <c r="R10" s="35" t="s">
        <v>609</v>
      </c>
      <c r="S10" s="36" t="s">
        <v>8</v>
      </c>
      <c r="T10" s="37" t="s">
        <v>609</v>
      </c>
      <c r="U10" s="35" t="s">
        <v>461</v>
      </c>
      <c r="V10" s="36" t="s">
        <v>8</v>
      </c>
      <c r="W10" s="37" t="s">
        <v>461</v>
      </c>
      <c r="X10" s="658" t="s">
        <v>9</v>
      </c>
      <c r="Y10" s="660"/>
      <c r="Z10" s="651" t="s">
        <v>10</v>
      </c>
      <c r="AA10" s="665"/>
      <c r="AB10" s="37" t="s">
        <v>11</v>
      </c>
      <c r="AC10" s="651" t="s">
        <v>12</v>
      </c>
      <c r="AD10" s="665"/>
      <c r="AE10" s="37" t="s">
        <v>13</v>
      </c>
      <c r="AG10" s="35" t="s">
        <v>462</v>
      </c>
      <c r="AH10" s="36" t="s">
        <v>7</v>
      </c>
      <c r="AI10" s="36" t="s">
        <v>8</v>
      </c>
      <c r="AJ10" s="37" t="s">
        <v>462</v>
      </c>
      <c r="AK10" s="35" t="s">
        <v>463</v>
      </c>
      <c r="AL10" s="36" t="s">
        <v>8</v>
      </c>
      <c r="AM10" s="37" t="s">
        <v>463</v>
      </c>
      <c r="AN10" s="35" t="s">
        <v>464</v>
      </c>
      <c r="AO10" s="36" t="s">
        <v>8</v>
      </c>
      <c r="AP10" s="37" t="s">
        <v>464</v>
      </c>
      <c r="AQ10" s="35" t="s">
        <v>465</v>
      </c>
      <c r="AR10" s="36" t="s">
        <v>8</v>
      </c>
      <c r="AS10" s="37" t="s">
        <v>465</v>
      </c>
      <c r="AT10" s="35" t="s">
        <v>466</v>
      </c>
      <c r="AU10" s="36" t="s">
        <v>8</v>
      </c>
      <c r="AV10" s="37" t="s">
        <v>466</v>
      </c>
      <c r="AW10" s="35" t="s">
        <v>467</v>
      </c>
      <c r="AX10" s="36" t="s">
        <v>8</v>
      </c>
      <c r="AY10" s="37" t="s">
        <v>461</v>
      </c>
      <c r="AZ10" s="38" t="s">
        <v>9</v>
      </c>
      <c r="BA10" s="39" t="s">
        <v>10</v>
      </c>
      <c r="BB10" s="106"/>
      <c r="BC10" s="37" t="s">
        <v>11</v>
      </c>
      <c r="BD10" s="39" t="s">
        <v>12</v>
      </c>
      <c r="BE10" s="39"/>
      <c r="BF10" s="37" t="s">
        <v>13</v>
      </c>
    </row>
    <row r="11" spans="2:60" s="40" customFormat="1" ht="13">
      <c r="B11" s="41"/>
      <c r="C11" s="42"/>
      <c r="E11" s="43">
        <v>45291</v>
      </c>
      <c r="F11" s="44"/>
      <c r="G11" s="44"/>
      <c r="H11" s="45">
        <v>45291</v>
      </c>
      <c r="I11" s="43">
        <v>45291</v>
      </c>
      <c r="J11" s="44"/>
      <c r="K11" s="45">
        <v>45291</v>
      </c>
      <c r="L11" s="43">
        <v>45291</v>
      </c>
      <c r="M11" s="44"/>
      <c r="N11" s="45">
        <v>45291</v>
      </c>
      <c r="O11" s="43">
        <v>45291</v>
      </c>
      <c r="P11" s="44"/>
      <c r="Q11" s="45">
        <v>45291</v>
      </c>
      <c r="R11" s="43">
        <v>45291</v>
      </c>
      <c r="S11" s="44"/>
      <c r="T11" s="45">
        <v>45291</v>
      </c>
      <c r="U11" s="43">
        <v>45291</v>
      </c>
      <c r="V11" s="44"/>
      <c r="W11" s="45">
        <v>45291</v>
      </c>
      <c r="X11" s="46">
        <v>44926</v>
      </c>
      <c r="Y11" s="46">
        <v>45291</v>
      </c>
      <c r="Z11" s="43" t="s">
        <v>14</v>
      </c>
      <c r="AA11" s="43" t="s">
        <v>15</v>
      </c>
      <c r="AB11" s="45">
        <v>45291</v>
      </c>
      <c r="AC11" s="43" t="s">
        <v>14</v>
      </c>
      <c r="AD11" s="43" t="s">
        <v>15</v>
      </c>
      <c r="AE11" s="45">
        <v>45291</v>
      </c>
      <c r="AG11" s="43">
        <v>44926</v>
      </c>
      <c r="AH11" s="44"/>
      <c r="AI11" s="44"/>
      <c r="AJ11" s="45">
        <v>44926</v>
      </c>
      <c r="AK11" s="43">
        <v>44926</v>
      </c>
      <c r="AL11" s="44"/>
      <c r="AM11" s="45">
        <v>44926</v>
      </c>
      <c r="AN11" s="43">
        <v>44926</v>
      </c>
      <c r="AO11" s="44"/>
      <c r="AP11" s="45">
        <v>44926</v>
      </c>
      <c r="AQ11" s="43">
        <v>44926</v>
      </c>
      <c r="AR11" s="44"/>
      <c r="AS11" s="45">
        <v>44926</v>
      </c>
      <c r="AT11" s="43">
        <v>44926</v>
      </c>
      <c r="AU11" s="44"/>
      <c r="AV11" s="45">
        <v>44926</v>
      </c>
      <c r="AW11" s="43">
        <v>44926</v>
      </c>
      <c r="AX11" s="44"/>
      <c r="AY11" s="45">
        <v>44926</v>
      </c>
      <c r="AZ11" s="46">
        <v>44926</v>
      </c>
      <c r="BA11" s="43" t="s">
        <v>14</v>
      </c>
      <c r="BB11" s="43" t="s">
        <v>15</v>
      </c>
      <c r="BC11" s="45">
        <v>44926</v>
      </c>
      <c r="BD11" s="43" t="s">
        <v>14</v>
      </c>
      <c r="BE11" s="43" t="s">
        <v>15</v>
      </c>
      <c r="BF11" s="45">
        <v>44926</v>
      </c>
    </row>
    <row r="12" spans="2:60">
      <c r="B12" s="47"/>
      <c r="C12" s="48"/>
      <c r="E12" s="49"/>
      <c r="F12" s="49"/>
      <c r="G12" s="49"/>
      <c r="H12" s="50"/>
      <c r="I12" s="49"/>
      <c r="J12" s="49"/>
      <c r="K12" s="50"/>
      <c r="L12" s="49"/>
      <c r="M12" s="49"/>
      <c r="N12" s="50"/>
      <c r="O12" s="49"/>
      <c r="P12" s="49"/>
      <c r="Q12" s="50"/>
      <c r="R12" s="49"/>
      <c r="S12" s="49"/>
      <c r="T12" s="50"/>
      <c r="U12" s="49"/>
      <c r="V12" s="49"/>
      <c r="W12" s="50"/>
      <c r="X12" s="49"/>
      <c r="Y12" s="49"/>
      <c r="Z12" s="49"/>
      <c r="AA12" s="49"/>
      <c r="AB12" s="50"/>
      <c r="AC12" s="49"/>
      <c r="AD12" s="49"/>
      <c r="AE12" s="50"/>
      <c r="AG12" s="49"/>
      <c r="AH12" s="49"/>
      <c r="AI12" s="49"/>
      <c r="AJ12" s="50"/>
      <c r="AK12" s="49"/>
      <c r="AL12" s="49"/>
      <c r="AM12" s="50"/>
      <c r="AN12" s="49"/>
      <c r="AO12" s="49"/>
      <c r="AP12" s="50"/>
      <c r="AQ12" s="49"/>
      <c r="AR12" s="49"/>
      <c r="AS12" s="50"/>
      <c r="AT12" s="49"/>
      <c r="AU12" s="49"/>
      <c r="AV12" s="50"/>
      <c r="AW12" s="49"/>
      <c r="AX12" s="49"/>
      <c r="AY12" s="50"/>
      <c r="AZ12" s="49"/>
      <c r="BA12" s="49"/>
      <c r="BB12" s="49"/>
      <c r="BC12" s="50"/>
      <c r="BD12" s="49"/>
      <c r="BE12" s="49"/>
      <c r="BF12" s="50"/>
    </row>
    <row r="13" spans="2:60" ht="13">
      <c r="B13" s="51" t="s">
        <v>16</v>
      </c>
      <c r="C13" s="52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</row>
    <row r="14" spans="2:60" ht="13">
      <c r="B14" s="53" t="s">
        <v>17</v>
      </c>
      <c r="C14" s="52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</row>
    <row r="15" spans="2:60">
      <c r="B15" s="54" t="s">
        <v>18</v>
      </c>
      <c r="C15" s="52"/>
      <c r="E15" s="49">
        <v>41026163646</v>
      </c>
      <c r="F15" s="49"/>
      <c r="G15" s="49"/>
      <c r="H15" s="49">
        <v>41026163646</v>
      </c>
      <c r="I15" s="49">
        <v>14609918281</v>
      </c>
      <c r="J15" s="49"/>
      <c r="K15" s="49">
        <v>14609918281</v>
      </c>
      <c r="L15" s="49">
        <v>8815278530</v>
      </c>
      <c r="M15" s="49"/>
      <c r="N15" s="49">
        <v>8815278530</v>
      </c>
      <c r="O15" s="49">
        <v>745329690</v>
      </c>
      <c r="P15" s="49"/>
      <c r="Q15" s="49">
        <v>745329690</v>
      </c>
      <c r="R15" s="49">
        <v>9912795948</v>
      </c>
      <c r="S15" s="49"/>
      <c r="T15" s="49">
        <v>9912795948</v>
      </c>
      <c r="U15" s="49">
        <v>0</v>
      </c>
      <c r="V15" s="49"/>
      <c r="W15" s="49">
        <v>0</v>
      </c>
      <c r="X15" s="49"/>
      <c r="Y15" s="49"/>
      <c r="Z15" s="49"/>
      <c r="AA15" s="49"/>
      <c r="AB15" s="49">
        <f>SUM(H15,K15,X15,Y15,Z15:AA15,N15,Q15,T15,W15)</f>
        <v>75109486095</v>
      </c>
      <c r="AC15" s="49"/>
      <c r="AD15" s="49"/>
      <c r="AE15" s="49">
        <f>ROUND(SUM(AB15:AD15),0)</f>
        <v>75109486095</v>
      </c>
      <c r="AG15" s="49">
        <v>25526565333</v>
      </c>
      <c r="AH15" s="49"/>
      <c r="AI15" s="49"/>
      <c r="AJ15" s="49">
        <v>25526565333</v>
      </c>
      <c r="AK15" s="49">
        <v>9450630157</v>
      </c>
      <c r="AL15" s="49"/>
      <c r="AM15" s="49">
        <v>9450630157</v>
      </c>
      <c r="AN15" s="49">
        <v>232458488.32499999</v>
      </c>
      <c r="AO15" s="49"/>
      <c r="AP15" s="49">
        <v>232458488.32499999</v>
      </c>
      <c r="AQ15" s="49">
        <v>36209184</v>
      </c>
      <c r="AR15" s="49"/>
      <c r="AS15" s="49">
        <v>36209184</v>
      </c>
      <c r="AT15" s="49">
        <v>5415395174.3290005</v>
      </c>
      <c r="AU15" s="49"/>
      <c r="AV15" s="49">
        <v>5415395174.3290005</v>
      </c>
      <c r="AW15" s="49">
        <v>0</v>
      </c>
      <c r="AX15" s="49"/>
      <c r="AY15" s="49">
        <v>0</v>
      </c>
      <c r="AZ15" s="49"/>
      <c r="BA15" s="49"/>
      <c r="BB15" s="49"/>
      <c r="BC15" s="49">
        <f>ROUND(SUM(AJ15,AM15,AP15,AS15,AV15,AY15,AZ15),0)</f>
        <v>40661258337</v>
      </c>
      <c r="BD15" s="49"/>
      <c r="BE15" s="49"/>
      <c r="BF15" s="49">
        <f>ROUND(SUM(BC15:BE15),0)</f>
        <v>40661258337</v>
      </c>
      <c r="BH15" s="27" t="s">
        <v>959</v>
      </c>
    </row>
    <row r="16" spans="2:60">
      <c r="B16" s="54" t="s">
        <v>19</v>
      </c>
      <c r="C16" s="52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>
        <v>0</v>
      </c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</row>
    <row r="17" spans="2:60">
      <c r="B17" s="56" t="s">
        <v>20</v>
      </c>
      <c r="C17" s="52"/>
      <c r="E17" s="49">
        <v>22570871222</v>
      </c>
      <c r="F17" s="49"/>
      <c r="G17" s="49"/>
      <c r="H17" s="49">
        <v>22570871222</v>
      </c>
      <c r="I17" s="49">
        <v>81172049227</v>
      </c>
      <c r="J17" s="49"/>
      <c r="K17" s="49">
        <v>81172049227</v>
      </c>
      <c r="L17" s="49">
        <v>4378731777</v>
      </c>
      <c r="M17" s="49"/>
      <c r="N17" s="49">
        <v>4378731777</v>
      </c>
      <c r="O17" s="49">
        <v>52187509409</v>
      </c>
      <c r="P17" s="49"/>
      <c r="Q17" s="49">
        <v>52187509409</v>
      </c>
      <c r="R17" s="49">
        <v>112397037300</v>
      </c>
      <c r="S17" s="49"/>
      <c r="T17" s="49">
        <v>112397037300</v>
      </c>
      <c r="U17" s="49">
        <v>0</v>
      </c>
      <c r="V17" s="49"/>
      <c r="W17" s="49">
        <v>0</v>
      </c>
      <c r="X17" s="49"/>
      <c r="Y17" s="49"/>
      <c r="Z17" s="49"/>
      <c r="AA17" s="49"/>
      <c r="AB17" s="49">
        <f t="shared" ref="AB17:AB35" si="1">SUM(H17,K17,X17,Y17,Z17:AA17,N17,Q17,T17,W17)</f>
        <v>272706198935</v>
      </c>
      <c r="AC17" s="49"/>
      <c r="AD17" s="49"/>
      <c r="AE17" s="49">
        <f t="shared" ref="AE17:AE35" si="2">ROUND(SUM(AB17:AD17),0)</f>
        <v>272706198935</v>
      </c>
      <c r="AG17" s="49">
        <v>67255836494</v>
      </c>
      <c r="AH17" s="49"/>
      <c r="AI17" s="49"/>
      <c r="AJ17" s="49">
        <v>67255836494</v>
      </c>
      <c r="AK17" s="49">
        <v>66788139360</v>
      </c>
      <c r="AL17" s="49"/>
      <c r="AM17" s="49">
        <v>66788139360</v>
      </c>
      <c r="AN17" s="49">
        <v>1120852339.425</v>
      </c>
      <c r="AO17" s="49"/>
      <c r="AP17" s="49">
        <v>1120852339.425</v>
      </c>
      <c r="AQ17" s="49">
        <v>13466</v>
      </c>
      <c r="AR17" s="49"/>
      <c r="AS17" s="49">
        <v>13466</v>
      </c>
      <c r="AT17" s="49">
        <v>43413315906</v>
      </c>
      <c r="AU17" s="49"/>
      <c r="AV17" s="49">
        <v>43413315906</v>
      </c>
      <c r="AW17" s="49">
        <v>0</v>
      </c>
      <c r="AX17" s="49"/>
      <c r="AY17" s="49">
        <v>0</v>
      </c>
      <c r="AZ17" s="49"/>
      <c r="BA17" s="49"/>
      <c r="BB17" s="49"/>
      <c r="BC17" s="49">
        <f t="shared" ref="BC17:BC35" si="3">ROUND(SUM(AJ17,AM17,AP17,AS17,AV17,AY17,AZ17),0)</f>
        <v>178578157565</v>
      </c>
      <c r="BD17" s="49"/>
      <c r="BE17" s="49"/>
      <c r="BF17" s="49">
        <f t="shared" ref="BF17:BF35" si="4">ROUND(SUM(BC17:BE17),0)</f>
        <v>178578157565</v>
      </c>
      <c r="BH17" s="27" t="s">
        <v>959</v>
      </c>
    </row>
    <row r="18" spans="2:60">
      <c r="B18" s="56" t="s">
        <v>21</v>
      </c>
      <c r="C18" s="52"/>
      <c r="E18" s="49">
        <v>30542833417</v>
      </c>
      <c r="F18" s="49"/>
      <c r="G18" s="49"/>
      <c r="H18" s="49">
        <v>30542833417</v>
      </c>
      <c r="I18" s="49">
        <v>3513008908</v>
      </c>
      <c r="J18" s="49"/>
      <c r="K18" s="49">
        <v>3513008908</v>
      </c>
      <c r="L18" s="49">
        <v>0</v>
      </c>
      <c r="M18" s="49"/>
      <c r="N18" s="49">
        <v>0</v>
      </c>
      <c r="O18" s="49">
        <v>0</v>
      </c>
      <c r="P18" s="49"/>
      <c r="Q18" s="49">
        <v>0</v>
      </c>
      <c r="R18" s="49">
        <v>18820641340</v>
      </c>
      <c r="S18" s="49"/>
      <c r="T18" s="49">
        <v>18820641340</v>
      </c>
      <c r="U18" s="49">
        <v>0</v>
      </c>
      <c r="V18" s="49"/>
      <c r="W18" s="49">
        <v>0</v>
      </c>
      <c r="X18" s="49"/>
      <c r="Y18" s="49"/>
      <c r="Z18" s="49"/>
      <c r="AA18" s="49"/>
      <c r="AB18" s="49">
        <f t="shared" si="1"/>
        <v>52876483665</v>
      </c>
      <c r="AC18" s="49"/>
      <c r="AD18" s="49">
        <f>'Elimination 23'!H72+'Elimination 23'!H64</f>
        <v>-3514139521.1999998</v>
      </c>
      <c r="AE18" s="49">
        <f t="shared" si="2"/>
        <v>49362344144</v>
      </c>
      <c r="AG18" s="49">
        <v>30542833417</v>
      </c>
      <c r="AH18" s="49"/>
      <c r="AI18" s="49"/>
      <c r="AJ18" s="49">
        <v>30542833417</v>
      </c>
      <c r="AK18" s="49">
        <v>0</v>
      </c>
      <c r="AL18" s="49"/>
      <c r="AM18" s="49">
        <v>0</v>
      </c>
      <c r="AN18" s="49">
        <v>0</v>
      </c>
      <c r="AO18" s="49"/>
      <c r="AP18" s="49">
        <v>0</v>
      </c>
      <c r="AQ18" s="49">
        <v>0</v>
      </c>
      <c r="AR18" s="49"/>
      <c r="AS18" s="49">
        <v>0</v>
      </c>
      <c r="AT18" s="49">
        <v>18819510726</v>
      </c>
      <c r="AU18" s="49"/>
      <c r="AV18" s="49">
        <v>18819510726</v>
      </c>
      <c r="AW18" s="49">
        <v>0</v>
      </c>
      <c r="AX18" s="49"/>
      <c r="AY18" s="49">
        <v>0</v>
      </c>
      <c r="AZ18" s="49"/>
      <c r="BA18" s="49"/>
      <c r="BB18" s="49"/>
      <c r="BC18" s="49">
        <f t="shared" si="3"/>
        <v>49362344143</v>
      </c>
      <c r="BD18" s="49"/>
      <c r="BE18" s="49"/>
      <c r="BF18" s="49">
        <f t="shared" si="4"/>
        <v>49362344143</v>
      </c>
      <c r="BH18" s="27" t="s">
        <v>959</v>
      </c>
    </row>
    <row r="19" spans="2:60">
      <c r="B19" s="54" t="s">
        <v>22</v>
      </c>
      <c r="C19" s="52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</row>
    <row r="20" spans="2:60">
      <c r="B20" s="56" t="s">
        <v>23</v>
      </c>
      <c r="C20" s="52"/>
      <c r="E20" s="49">
        <v>0</v>
      </c>
      <c r="F20" s="49"/>
      <c r="G20" s="49"/>
      <c r="H20" s="49">
        <v>0</v>
      </c>
      <c r="I20" s="49">
        <v>0</v>
      </c>
      <c r="J20" s="49"/>
      <c r="K20" s="49">
        <v>0</v>
      </c>
      <c r="L20" s="49">
        <v>0</v>
      </c>
      <c r="M20" s="49"/>
      <c r="N20" s="49">
        <v>0</v>
      </c>
      <c r="O20" s="49">
        <v>1191821441</v>
      </c>
      <c r="P20" s="49"/>
      <c r="Q20" s="49">
        <v>1191821441</v>
      </c>
      <c r="R20" s="49">
        <v>0</v>
      </c>
      <c r="S20" s="49"/>
      <c r="T20" s="49">
        <v>0</v>
      </c>
      <c r="U20" s="49">
        <v>0</v>
      </c>
      <c r="V20" s="49"/>
      <c r="W20" s="49">
        <v>0</v>
      </c>
      <c r="X20" s="49"/>
      <c r="Y20" s="49"/>
      <c r="Z20" s="49"/>
      <c r="AA20" s="49"/>
      <c r="AB20" s="49">
        <f t="shared" si="1"/>
        <v>1191821441</v>
      </c>
      <c r="AC20" s="49"/>
      <c r="AD20" s="49"/>
      <c r="AE20" s="49">
        <f t="shared" si="2"/>
        <v>1191821441</v>
      </c>
      <c r="AG20" s="49">
        <v>0</v>
      </c>
      <c r="AH20" s="49"/>
      <c r="AI20" s="49"/>
      <c r="AJ20" s="49">
        <v>0</v>
      </c>
      <c r="AK20" s="49">
        <v>0</v>
      </c>
      <c r="AL20" s="49"/>
      <c r="AM20" s="49">
        <v>0</v>
      </c>
      <c r="AN20" s="49">
        <v>0</v>
      </c>
      <c r="AO20" s="49"/>
      <c r="AP20" s="49">
        <v>0</v>
      </c>
      <c r="AQ20" s="49">
        <v>0</v>
      </c>
      <c r="AR20" s="49"/>
      <c r="AS20" s="49">
        <v>0</v>
      </c>
      <c r="AT20" s="49">
        <v>0</v>
      </c>
      <c r="AU20" s="49"/>
      <c r="AV20" s="49">
        <v>0</v>
      </c>
      <c r="AW20" s="49">
        <v>0</v>
      </c>
      <c r="AX20" s="49"/>
      <c r="AY20" s="49">
        <v>0</v>
      </c>
      <c r="AZ20" s="49"/>
      <c r="BA20" s="49"/>
      <c r="BB20" s="49"/>
      <c r="BC20" s="49">
        <f t="shared" si="3"/>
        <v>0</v>
      </c>
      <c r="BD20" s="49"/>
      <c r="BE20" s="49"/>
      <c r="BF20" s="49">
        <f t="shared" si="4"/>
        <v>0</v>
      </c>
    </row>
    <row r="21" spans="2:60">
      <c r="B21" s="56" t="s">
        <v>24</v>
      </c>
      <c r="C21" s="52"/>
      <c r="E21" s="49">
        <v>0</v>
      </c>
      <c r="F21" s="49"/>
      <c r="G21" s="49"/>
      <c r="H21" s="49">
        <v>0</v>
      </c>
      <c r="I21" s="49">
        <v>0</v>
      </c>
      <c r="J21" s="49"/>
      <c r="K21" s="49">
        <v>0</v>
      </c>
      <c r="L21" s="49">
        <v>0</v>
      </c>
      <c r="M21" s="49"/>
      <c r="N21" s="49">
        <v>0</v>
      </c>
      <c r="O21" s="49">
        <v>0</v>
      </c>
      <c r="P21" s="49"/>
      <c r="Q21" s="49">
        <v>0</v>
      </c>
      <c r="R21" s="49">
        <v>0</v>
      </c>
      <c r="S21" s="49"/>
      <c r="T21" s="49">
        <v>0</v>
      </c>
      <c r="U21" s="49">
        <v>0</v>
      </c>
      <c r="V21" s="49"/>
      <c r="W21" s="49">
        <v>0</v>
      </c>
      <c r="X21" s="49"/>
      <c r="Y21" s="49"/>
      <c r="Z21" s="49"/>
      <c r="AA21" s="49"/>
      <c r="AB21" s="49">
        <f t="shared" si="1"/>
        <v>0</v>
      </c>
      <c r="AC21" s="49"/>
      <c r="AD21" s="49"/>
      <c r="AE21" s="49">
        <f t="shared" si="2"/>
        <v>0</v>
      </c>
      <c r="AG21" s="49">
        <v>0</v>
      </c>
      <c r="AH21" s="49"/>
      <c r="AI21" s="49"/>
      <c r="AJ21" s="49">
        <v>0</v>
      </c>
      <c r="AK21" s="49">
        <v>0</v>
      </c>
      <c r="AL21" s="49"/>
      <c r="AM21" s="49">
        <v>0</v>
      </c>
      <c r="AN21" s="49">
        <v>0</v>
      </c>
      <c r="AO21" s="49"/>
      <c r="AP21" s="49">
        <v>0</v>
      </c>
      <c r="AQ21" s="49">
        <v>0</v>
      </c>
      <c r="AR21" s="49"/>
      <c r="AS21" s="49">
        <v>0</v>
      </c>
      <c r="AT21" s="49">
        <v>0</v>
      </c>
      <c r="AU21" s="49"/>
      <c r="AV21" s="49">
        <v>0</v>
      </c>
      <c r="AW21" s="49">
        <v>0</v>
      </c>
      <c r="AX21" s="49"/>
      <c r="AY21" s="49">
        <v>0</v>
      </c>
      <c r="AZ21" s="49"/>
      <c r="BA21" s="49"/>
      <c r="BB21" s="49"/>
      <c r="BC21" s="49">
        <f t="shared" si="3"/>
        <v>0</v>
      </c>
      <c r="BD21" s="49"/>
      <c r="BE21" s="49"/>
      <c r="BF21" s="49">
        <f t="shared" si="4"/>
        <v>0</v>
      </c>
    </row>
    <row r="22" spans="2:60">
      <c r="B22" s="54" t="s">
        <v>25</v>
      </c>
      <c r="C22" s="52"/>
      <c r="E22" s="49">
        <v>0</v>
      </c>
      <c r="F22" s="49"/>
      <c r="G22" s="49"/>
      <c r="H22" s="49">
        <v>0</v>
      </c>
      <c r="I22" s="49">
        <v>15830303102</v>
      </c>
      <c r="J22" s="49"/>
      <c r="K22" s="49">
        <v>15830303102</v>
      </c>
      <c r="L22" s="49">
        <v>0</v>
      </c>
      <c r="M22" s="49"/>
      <c r="N22" s="49">
        <v>0</v>
      </c>
      <c r="O22" s="49">
        <v>0</v>
      </c>
      <c r="P22" s="49"/>
      <c r="Q22" s="49">
        <v>0</v>
      </c>
      <c r="R22" s="49">
        <v>0</v>
      </c>
      <c r="S22" s="49"/>
      <c r="T22" s="49">
        <v>0</v>
      </c>
      <c r="U22" s="49">
        <v>0</v>
      </c>
      <c r="V22" s="49"/>
      <c r="W22" s="49">
        <v>0</v>
      </c>
      <c r="X22" s="49"/>
      <c r="Y22" s="49"/>
      <c r="Z22" s="49"/>
      <c r="AA22" s="49"/>
      <c r="AB22" s="49">
        <f t="shared" si="1"/>
        <v>15830303102</v>
      </c>
      <c r="AC22" s="49"/>
      <c r="AD22" s="49"/>
      <c r="AE22" s="49">
        <f t="shared" si="2"/>
        <v>15830303102</v>
      </c>
      <c r="AG22" s="49">
        <v>0</v>
      </c>
      <c r="AH22" s="49"/>
      <c r="AI22" s="49"/>
      <c r="AJ22" s="49">
        <v>0</v>
      </c>
      <c r="AK22" s="49">
        <v>14442442151</v>
      </c>
      <c r="AL22" s="49"/>
      <c r="AM22" s="49">
        <v>14442442151</v>
      </c>
      <c r="AN22" s="49">
        <v>0</v>
      </c>
      <c r="AO22" s="49"/>
      <c r="AP22" s="49">
        <v>0</v>
      </c>
      <c r="AQ22" s="49">
        <v>0</v>
      </c>
      <c r="AR22" s="49"/>
      <c r="AS22" s="49">
        <v>0</v>
      </c>
      <c r="AT22" s="49">
        <v>0</v>
      </c>
      <c r="AU22" s="49"/>
      <c r="AV22" s="49">
        <v>0</v>
      </c>
      <c r="AW22" s="49">
        <v>0</v>
      </c>
      <c r="AX22" s="49"/>
      <c r="AY22" s="49">
        <v>0</v>
      </c>
      <c r="AZ22" s="49"/>
      <c r="BA22" s="49"/>
      <c r="BB22" s="49"/>
      <c r="BC22" s="49">
        <f t="shared" si="3"/>
        <v>14442442151</v>
      </c>
      <c r="BD22" s="49"/>
      <c r="BE22" s="49"/>
      <c r="BF22" s="49">
        <f t="shared" si="4"/>
        <v>14442442151</v>
      </c>
      <c r="BH22" s="27" t="s">
        <v>959</v>
      </c>
    </row>
    <row r="23" spans="2:60">
      <c r="B23" s="54" t="s">
        <v>26</v>
      </c>
      <c r="C23" s="52"/>
      <c r="E23" s="49">
        <v>0</v>
      </c>
      <c r="F23" s="49"/>
      <c r="G23" s="49"/>
      <c r="H23" s="49">
        <v>0</v>
      </c>
      <c r="I23" s="49">
        <v>0</v>
      </c>
      <c r="J23" s="49"/>
      <c r="K23" s="49">
        <v>0</v>
      </c>
      <c r="L23" s="49">
        <v>0</v>
      </c>
      <c r="M23" s="49"/>
      <c r="N23" s="49">
        <v>0</v>
      </c>
      <c r="O23" s="49">
        <v>0</v>
      </c>
      <c r="P23" s="49"/>
      <c r="Q23" s="49">
        <v>0</v>
      </c>
      <c r="R23" s="49">
        <v>0</v>
      </c>
      <c r="S23" s="49"/>
      <c r="T23" s="49">
        <v>0</v>
      </c>
      <c r="U23" s="49">
        <v>0</v>
      </c>
      <c r="V23" s="49"/>
      <c r="W23" s="49">
        <v>0</v>
      </c>
      <c r="X23" s="49"/>
      <c r="Y23" s="49"/>
      <c r="Z23" s="49"/>
      <c r="AA23" s="49"/>
      <c r="AB23" s="49">
        <f t="shared" si="1"/>
        <v>0</v>
      </c>
      <c r="AC23" s="49"/>
      <c r="AD23" s="49"/>
      <c r="AE23" s="49">
        <f t="shared" si="2"/>
        <v>0</v>
      </c>
      <c r="AG23" s="49">
        <v>0</v>
      </c>
      <c r="AH23" s="49"/>
      <c r="AI23" s="49"/>
      <c r="AJ23" s="49">
        <v>0</v>
      </c>
      <c r="AK23" s="49">
        <v>0</v>
      </c>
      <c r="AL23" s="49"/>
      <c r="AM23" s="49">
        <v>0</v>
      </c>
      <c r="AN23" s="49">
        <v>0</v>
      </c>
      <c r="AO23" s="49"/>
      <c r="AP23" s="49">
        <v>0</v>
      </c>
      <c r="AQ23" s="49">
        <v>0</v>
      </c>
      <c r="AR23" s="49"/>
      <c r="AS23" s="49">
        <v>0</v>
      </c>
      <c r="AT23" s="49">
        <v>0</v>
      </c>
      <c r="AU23" s="49"/>
      <c r="AV23" s="49">
        <v>0</v>
      </c>
      <c r="AW23" s="49">
        <v>0</v>
      </c>
      <c r="AX23" s="49"/>
      <c r="AY23" s="49">
        <v>0</v>
      </c>
      <c r="AZ23" s="49"/>
      <c r="BA23" s="49"/>
      <c r="BB23" s="49"/>
      <c r="BC23" s="49">
        <f t="shared" si="3"/>
        <v>0</v>
      </c>
      <c r="BD23" s="49"/>
      <c r="BE23" s="49"/>
      <c r="BF23" s="49">
        <f t="shared" si="4"/>
        <v>0</v>
      </c>
      <c r="BH23" s="27" t="s">
        <v>959</v>
      </c>
    </row>
    <row r="24" spans="2:60">
      <c r="B24" s="54" t="s">
        <v>27</v>
      </c>
      <c r="C24" s="52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</row>
    <row r="25" spans="2:60">
      <c r="B25" s="56" t="s">
        <v>28</v>
      </c>
      <c r="C25" s="52"/>
      <c r="E25" s="49">
        <v>0</v>
      </c>
      <c r="F25" s="49"/>
      <c r="G25" s="49"/>
      <c r="H25" s="49">
        <v>0</v>
      </c>
      <c r="I25" s="49">
        <v>0</v>
      </c>
      <c r="J25" s="49"/>
      <c r="K25" s="49">
        <v>0</v>
      </c>
      <c r="L25" s="49">
        <v>0</v>
      </c>
      <c r="M25" s="49"/>
      <c r="N25" s="49">
        <v>0</v>
      </c>
      <c r="O25" s="49">
        <v>0</v>
      </c>
      <c r="P25" s="49"/>
      <c r="Q25" s="49">
        <v>0</v>
      </c>
      <c r="R25" s="49">
        <v>0</v>
      </c>
      <c r="S25" s="49"/>
      <c r="T25" s="49">
        <v>0</v>
      </c>
      <c r="U25" s="49">
        <v>0</v>
      </c>
      <c r="V25" s="49"/>
      <c r="W25" s="49">
        <v>0</v>
      </c>
      <c r="X25" s="49"/>
      <c r="Y25" s="49"/>
      <c r="Z25" s="49">
        <v>0</v>
      </c>
      <c r="AA25" s="49"/>
      <c r="AB25" s="49">
        <f t="shared" si="1"/>
        <v>0</v>
      </c>
      <c r="AC25" s="49"/>
      <c r="AD25" s="49"/>
      <c r="AE25" s="49">
        <f t="shared" si="2"/>
        <v>0</v>
      </c>
      <c r="AG25" s="49">
        <v>0</v>
      </c>
      <c r="AH25" s="49"/>
      <c r="AI25" s="49"/>
      <c r="AJ25" s="49">
        <v>0</v>
      </c>
      <c r="AK25" s="49">
        <v>0</v>
      </c>
      <c r="AL25" s="49"/>
      <c r="AM25" s="49">
        <v>0</v>
      </c>
      <c r="AN25" s="49">
        <v>0</v>
      </c>
      <c r="AO25" s="49"/>
      <c r="AP25" s="49">
        <v>0</v>
      </c>
      <c r="AQ25" s="49">
        <v>0</v>
      </c>
      <c r="AR25" s="49"/>
      <c r="AS25" s="49">
        <v>0</v>
      </c>
      <c r="AT25" s="49">
        <v>0</v>
      </c>
      <c r="AU25" s="49"/>
      <c r="AV25" s="49">
        <v>0</v>
      </c>
      <c r="AW25" s="49">
        <v>0</v>
      </c>
      <c r="AX25" s="49"/>
      <c r="AY25" s="49">
        <v>0</v>
      </c>
      <c r="AZ25" s="49"/>
      <c r="BA25" s="49">
        <v>0</v>
      </c>
      <c r="BB25" s="49"/>
      <c r="BC25" s="49">
        <f t="shared" si="3"/>
        <v>0</v>
      </c>
      <c r="BD25" s="49"/>
      <c r="BE25" s="49"/>
      <c r="BF25" s="49">
        <f t="shared" si="4"/>
        <v>0</v>
      </c>
    </row>
    <row r="26" spans="2:60">
      <c r="B26" s="56" t="s">
        <v>29</v>
      </c>
      <c r="C26" s="52"/>
      <c r="E26" s="49">
        <v>803982133222</v>
      </c>
      <c r="F26" s="49"/>
      <c r="G26" s="49">
        <v>0</v>
      </c>
      <c r="H26" s="49">
        <v>803982133222</v>
      </c>
      <c r="I26" s="49">
        <v>47074007016</v>
      </c>
      <c r="J26" s="49"/>
      <c r="K26" s="49">
        <v>47074007016</v>
      </c>
      <c r="L26" s="49">
        <v>0</v>
      </c>
      <c r="M26" s="49"/>
      <c r="N26" s="49">
        <v>0</v>
      </c>
      <c r="O26" s="49">
        <v>0</v>
      </c>
      <c r="P26" s="49"/>
      <c r="Q26" s="49">
        <v>0</v>
      </c>
      <c r="R26" s="49">
        <v>0</v>
      </c>
      <c r="S26" s="49"/>
      <c r="T26" s="49">
        <v>0</v>
      </c>
      <c r="U26" s="49">
        <v>0</v>
      </c>
      <c r="V26" s="49"/>
      <c r="W26" s="49">
        <v>0</v>
      </c>
      <c r="X26" s="49"/>
      <c r="Y26" s="49"/>
      <c r="Z26" s="49"/>
      <c r="AA26" s="49"/>
      <c r="AB26" s="49">
        <f t="shared" si="1"/>
        <v>851056140238</v>
      </c>
      <c r="AC26" s="49">
        <f>'Elimination 23'!G109</f>
        <v>0</v>
      </c>
      <c r="AD26" s="49">
        <f>SUM('Elimination 23'!H62:H63)+'Elimination 23'!H73+'Elimination 23'!H75+'Elimination 23'!H84+'Elimination 23'!H85</f>
        <v>-830729733828.39587</v>
      </c>
      <c r="AE26" s="49">
        <f t="shared" si="2"/>
        <v>20326406410</v>
      </c>
      <c r="AG26" s="49">
        <v>5182371035.0999994</v>
      </c>
      <c r="AH26" s="49"/>
      <c r="AI26" s="49"/>
      <c r="AJ26" s="49">
        <v>5182371035.0999994</v>
      </c>
      <c r="AK26" s="49">
        <v>4553935708</v>
      </c>
      <c r="AL26" s="49"/>
      <c r="AM26" s="49">
        <v>4553935708</v>
      </c>
      <c r="AN26" s="49">
        <v>0</v>
      </c>
      <c r="AO26" s="49"/>
      <c r="AP26" s="49">
        <v>0</v>
      </c>
      <c r="AQ26" s="49">
        <v>14058094952</v>
      </c>
      <c r="AR26" s="49"/>
      <c r="AS26" s="49">
        <v>14058094952</v>
      </c>
      <c r="AT26" s="49">
        <v>0</v>
      </c>
      <c r="AU26" s="49"/>
      <c r="AV26" s="49">
        <v>0</v>
      </c>
      <c r="AW26" s="49">
        <v>0</v>
      </c>
      <c r="AX26" s="49"/>
      <c r="AY26" s="49">
        <v>0</v>
      </c>
      <c r="AZ26" s="49"/>
      <c r="BA26" s="49"/>
      <c r="BB26" s="49"/>
      <c r="BC26" s="49">
        <f t="shared" si="3"/>
        <v>23794401695</v>
      </c>
      <c r="BD26" s="49">
        <f>'Elimination 22'!G83</f>
        <v>8728958944.7613792</v>
      </c>
      <c r="BE26" s="49">
        <f>SUM('Elimination 22'!H65,'Elimination 22'!H67)+SUM('Elimination 22'!H73,'Elimination 22'!H76)+SUM('Elimination 22'!H80:H81)</f>
        <v>-27342564605.061382</v>
      </c>
      <c r="BF26" s="49">
        <f t="shared" si="4"/>
        <v>5180796035</v>
      </c>
      <c r="BH26" s="27" t="s">
        <v>959</v>
      </c>
    </row>
    <row r="27" spans="2:60">
      <c r="B27" s="54" t="s">
        <v>30</v>
      </c>
      <c r="C27" s="52"/>
      <c r="E27" s="49"/>
      <c r="F27" s="49"/>
      <c r="G27" s="49"/>
      <c r="H27" s="49"/>
      <c r="I27" s="49"/>
      <c r="J27" s="49"/>
      <c r="K27" s="49"/>
      <c r="L27" s="49">
        <v>0</v>
      </c>
      <c r="M27" s="49"/>
      <c r="N27" s="49"/>
      <c r="O27" s="49"/>
      <c r="P27" s="49"/>
      <c r="Q27" s="49"/>
      <c r="R27" s="49">
        <v>0</v>
      </c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</row>
    <row r="28" spans="2:60">
      <c r="B28" s="56" t="s">
        <v>162</v>
      </c>
      <c r="C28" s="52"/>
      <c r="E28" s="49">
        <v>3195366722</v>
      </c>
      <c r="F28" s="49"/>
      <c r="G28" s="49"/>
      <c r="H28" s="49">
        <v>3195366722</v>
      </c>
      <c r="I28" s="49">
        <v>1683922612</v>
      </c>
      <c r="J28" s="49"/>
      <c r="K28" s="49">
        <v>1683922612</v>
      </c>
      <c r="L28" s="49">
        <v>0</v>
      </c>
      <c r="M28" s="49"/>
      <c r="N28" s="49">
        <v>0</v>
      </c>
      <c r="O28" s="49">
        <v>0</v>
      </c>
      <c r="P28" s="49"/>
      <c r="Q28" s="49">
        <v>0</v>
      </c>
      <c r="R28" s="49">
        <v>0</v>
      </c>
      <c r="S28" s="49"/>
      <c r="T28" s="49">
        <v>0</v>
      </c>
      <c r="U28" s="49">
        <v>0</v>
      </c>
      <c r="V28" s="49"/>
      <c r="W28" s="49">
        <v>0</v>
      </c>
      <c r="X28" s="49"/>
      <c r="Y28" s="49"/>
      <c r="Z28" s="49"/>
      <c r="AA28" s="49"/>
      <c r="AB28" s="49">
        <f t="shared" si="1"/>
        <v>4879289334</v>
      </c>
      <c r="AC28" s="49"/>
      <c r="AD28" s="49"/>
      <c r="AE28" s="49">
        <f t="shared" si="2"/>
        <v>4879289334</v>
      </c>
      <c r="AG28" s="49">
        <v>529736825</v>
      </c>
      <c r="AH28" s="49"/>
      <c r="AI28" s="49"/>
      <c r="AJ28" s="49">
        <v>529736825</v>
      </c>
      <c r="AK28" s="49">
        <v>494847861</v>
      </c>
      <c r="AL28" s="49"/>
      <c r="AM28" s="49">
        <v>494847861</v>
      </c>
      <c r="AN28" s="49">
        <v>0</v>
      </c>
      <c r="AO28" s="49"/>
      <c r="AP28" s="49">
        <v>0</v>
      </c>
      <c r="AQ28" s="49">
        <v>0</v>
      </c>
      <c r="AR28" s="49"/>
      <c r="AS28" s="49">
        <v>0</v>
      </c>
      <c r="AT28" s="49">
        <v>4410000000</v>
      </c>
      <c r="AU28" s="49"/>
      <c r="AV28" s="49">
        <v>4410000000</v>
      </c>
      <c r="AW28" s="49">
        <v>0</v>
      </c>
      <c r="AX28" s="49"/>
      <c r="AY28" s="49">
        <v>0</v>
      </c>
      <c r="AZ28" s="49"/>
      <c r="BA28" s="49"/>
      <c r="BB28" s="49"/>
      <c r="BC28" s="49">
        <f t="shared" si="3"/>
        <v>5434584686</v>
      </c>
      <c r="BD28" s="49"/>
      <c r="BE28" s="49"/>
      <c r="BF28" s="49">
        <f t="shared" si="4"/>
        <v>5434584686</v>
      </c>
      <c r="BH28" s="27" t="s">
        <v>959</v>
      </c>
    </row>
    <row r="29" spans="2:60">
      <c r="B29" s="56" t="s">
        <v>32</v>
      </c>
      <c r="C29" s="52"/>
      <c r="E29" s="49">
        <v>58448443601</v>
      </c>
      <c r="F29" s="49"/>
      <c r="G29" s="49"/>
      <c r="H29" s="49">
        <v>58448443601</v>
      </c>
      <c r="I29" s="49">
        <v>63036055189</v>
      </c>
      <c r="J29" s="49">
        <v>0</v>
      </c>
      <c r="K29" s="49">
        <v>63036055189</v>
      </c>
      <c r="L29" s="49">
        <v>0</v>
      </c>
      <c r="M29" s="49"/>
      <c r="N29" s="49">
        <v>0</v>
      </c>
      <c r="O29" s="49">
        <v>0</v>
      </c>
      <c r="P29" s="49"/>
      <c r="Q29" s="49">
        <v>0</v>
      </c>
      <c r="R29" s="49">
        <v>0</v>
      </c>
      <c r="S29" s="49"/>
      <c r="T29" s="49">
        <v>0</v>
      </c>
      <c r="U29" s="49">
        <v>0</v>
      </c>
      <c r="V29" s="49"/>
      <c r="W29" s="49">
        <v>0</v>
      </c>
      <c r="X29" s="49"/>
      <c r="Y29" s="49"/>
      <c r="Z29" s="49"/>
      <c r="AA29" s="49"/>
      <c r="AB29" s="49">
        <f t="shared" si="1"/>
        <v>121484498790</v>
      </c>
      <c r="AC29" s="49"/>
      <c r="AD29" s="49">
        <f>SUM('Elimination 23'!H65:H66)+'Elimination 23'!H74+'Elimination 23'!H83+'Elimination 23'!H89+SUM('Elimination 23'!H99:H101)+'Elimination 23'!H98+'Elimination 23'!H82+'Elimination 23'!H104</f>
        <v>-88007185981.149414</v>
      </c>
      <c r="AE29" s="49">
        <f t="shared" si="2"/>
        <v>33477312809</v>
      </c>
      <c r="AG29" s="49">
        <v>18267984779</v>
      </c>
      <c r="AH29" s="49"/>
      <c r="AI29" s="49"/>
      <c r="AJ29" s="49">
        <v>18267984779</v>
      </c>
      <c r="AK29" s="49">
        <v>0</v>
      </c>
      <c r="AL29" s="49"/>
      <c r="AM29" s="49">
        <v>0</v>
      </c>
      <c r="AN29" s="49">
        <v>0</v>
      </c>
      <c r="AO29" s="49"/>
      <c r="AP29" s="49">
        <v>0</v>
      </c>
      <c r="AQ29" s="49">
        <v>0</v>
      </c>
      <c r="AR29" s="49"/>
      <c r="AS29" s="49">
        <v>0</v>
      </c>
      <c r="AT29" s="49">
        <v>0</v>
      </c>
      <c r="AU29" s="49"/>
      <c r="AV29" s="49">
        <v>0</v>
      </c>
      <c r="AW29" s="49">
        <v>0</v>
      </c>
      <c r="AX29" s="49"/>
      <c r="AY29" s="49">
        <v>0</v>
      </c>
      <c r="AZ29" s="49"/>
      <c r="BA29" s="49"/>
      <c r="BB29" s="49"/>
      <c r="BC29" s="49">
        <f t="shared" si="3"/>
        <v>18267984779</v>
      </c>
      <c r="BD29" s="49"/>
      <c r="BE29" s="49">
        <f>'Elimination 22'!H66+'Elimination 22'!H75</f>
        <v>-18267984779.145336</v>
      </c>
      <c r="BF29" s="49">
        <f t="shared" si="4"/>
        <v>0</v>
      </c>
    </row>
    <row r="30" spans="2:60">
      <c r="B30" s="54" t="s">
        <v>33</v>
      </c>
      <c r="C30" s="52"/>
      <c r="E30" s="49">
        <v>0</v>
      </c>
      <c r="F30" s="49"/>
      <c r="G30" s="49"/>
      <c r="H30" s="49">
        <v>0</v>
      </c>
      <c r="I30" s="49">
        <v>0</v>
      </c>
      <c r="J30" s="49"/>
      <c r="K30" s="49">
        <v>0</v>
      </c>
      <c r="L30" s="49">
        <v>0</v>
      </c>
      <c r="M30" s="49"/>
      <c r="N30" s="49">
        <v>0</v>
      </c>
      <c r="O30" s="49">
        <v>0</v>
      </c>
      <c r="P30" s="49"/>
      <c r="Q30" s="49">
        <v>0</v>
      </c>
      <c r="R30" s="49">
        <v>0</v>
      </c>
      <c r="S30" s="49"/>
      <c r="T30" s="49">
        <v>0</v>
      </c>
      <c r="U30" s="49">
        <v>0</v>
      </c>
      <c r="V30" s="49"/>
      <c r="W30" s="49">
        <v>0</v>
      </c>
      <c r="X30" s="49"/>
      <c r="Y30" s="49"/>
      <c r="Z30" s="49"/>
      <c r="AA30" s="49"/>
      <c r="AB30" s="49">
        <f t="shared" si="1"/>
        <v>0</v>
      </c>
      <c r="AC30" s="49"/>
      <c r="AD30" s="49"/>
      <c r="AE30" s="49">
        <f t="shared" si="2"/>
        <v>0</v>
      </c>
      <c r="AG30" s="49">
        <v>0</v>
      </c>
      <c r="AH30" s="49"/>
      <c r="AI30" s="49"/>
      <c r="AJ30" s="49">
        <v>0</v>
      </c>
      <c r="AK30" s="49">
        <v>0</v>
      </c>
      <c r="AL30" s="49"/>
      <c r="AM30" s="49">
        <v>0</v>
      </c>
      <c r="AN30" s="49">
        <v>0</v>
      </c>
      <c r="AO30" s="49"/>
      <c r="AP30" s="49">
        <v>0</v>
      </c>
      <c r="AQ30" s="49">
        <v>0</v>
      </c>
      <c r="AR30" s="49"/>
      <c r="AS30" s="49">
        <v>0</v>
      </c>
      <c r="AT30" s="49">
        <v>0</v>
      </c>
      <c r="AU30" s="49"/>
      <c r="AV30" s="49">
        <v>0</v>
      </c>
      <c r="AW30" s="49">
        <v>0</v>
      </c>
      <c r="AX30" s="49"/>
      <c r="AY30" s="49">
        <v>0</v>
      </c>
      <c r="AZ30" s="49"/>
      <c r="BA30" s="49"/>
      <c r="BB30" s="49"/>
      <c r="BC30" s="49">
        <f t="shared" si="3"/>
        <v>0</v>
      </c>
      <c r="BD30" s="49"/>
      <c r="BE30" s="49"/>
      <c r="BF30" s="49">
        <f t="shared" si="4"/>
        <v>0</v>
      </c>
    </row>
    <row r="31" spans="2:60">
      <c r="B31" s="54" t="s">
        <v>34</v>
      </c>
      <c r="C31" s="52"/>
      <c r="E31" s="49">
        <v>0</v>
      </c>
      <c r="F31" s="49"/>
      <c r="G31" s="49"/>
      <c r="H31" s="49">
        <v>0</v>
      </c>
      <c r="I31" s="49">
        <v>2424148440</v>
      </c>
      <c r="J31" s="49"/>
      <c r="K31" s="49">
        <v>2424148440</v>
      </c>
      <c r="L31" s="49">
        <v>2598751</v>
      </c>
      <c r="M31" s="49"/>
      <c r="N31" s="49">
        <v>2598751</v>
      </c>
      <c r="O31" s="49">
        <v>0</v>
      </c>
      <c r="P31" s="49"/>
      <c r="Q31" s="49">
        <v>0</v>
      </c>
      <c r="R31" s="49">
        <v>197229685</v>
      </c>
      <c r="S31" s="49"/>
      <c r="T31" s="49">
        <v>197229685</v>
      </c>
      <c r="U31" s="49">
        <v>0</v>
      </c>
      <c r="V31" s="49"/>
      <c r="W31" s="49">
        <v>0</v>
      </c>
      <c r="X31" s="49"/>
      <c r="Y31" s="49"/>
      <c r="Z31" s="49"/>
      <c r="AA31" s="49"/>
      <c r="AB31" s="49">
        <f t="shared" si="1"/>
        <v>2623976876</v>
      </c>
      <c r="AC31" s="49"/>
      <c r="AD31" s="49"/>
      <c r="AE31" s="49">
        <f t="shared" si="2"/>
        <v>2623976876</v>
      </c>
      <c r="AG31" s="49">
        <v>0</v>
      </c>
      <c r="AH31" s="49"/>
      <c r="AI31" s="49"/>
      <c r="AJ31" s="49">
        <v>0</v>
      </c>
      <c r="AK31" s="49">
        <v>0</v>
      </c>
      <c r="AL31" s="49"/>
      <c r="AM31" s="49">
        <v>0</v>
      </c>
      <c r="AN31" s="49">
        <v>0</v>
      </c>
      <c r="AO31" s="49"/>
      <c r="AP31" s="49">
        <v>0</v>
      </c>
      <c r="AQ31" s="49">
        <v>0</v>
      </c>
      <c r="AR31" s="49"/>
      <c r="AS31" s="49">
        <v>0</v>
      </c>
      <c r="AT31" s="49">
        <v>90969692.309999987</v>
      </c>
      <c r="AU31" s="49"/>
      <c r="AV31" s="49">
        <v>90969692.309999987</v>
      </c>
      <c r="AW31" s="49">
        <v>0</v>
      </c>
      <c r="AX31" s="49"/>
      <c r="AY31" s="49">
        <v>0</v>
      </c>
      <c r="AZ31" s="49"/>
      <c r="BA31" s="49"/>
      <c r="BB31" s="49"/>
      <c r="BC31" s="49">
        <f t="shared" si="3"/>
        <v>90969692</v>
      </c>
      <c r="BD31" s="49"/>
      <c r="BE31" s="49"/>
      <c r="BF31" s="49">
        <f t="shared" si="4"/>
        <v>90969692</v>
      </c>
      <c r="BH31" s="27" t="s">
        <v>959</v>
      </c>
    </row>
    <row r="32" spans="2:60">
      <c r="B32" s="57" t="s">
        <v>35</v>
      </c>
      <c r="C32" s="52"/>
      <c r="E32" s="49">
        <v>0</v>
      </c>
      <c r="F32" s="49"/>
      <c r="G32" s="49"/>
      <c r="H32" s="49">
        <v>0</v>
      </c>
      <c r="I32" s="49">
        <v>11323351672</v>
      </c>
      <c r="J32" s="49"/>
      <c r="K32" s="49">
        <v>11323351672</v>
      </c>
      <c r="L32" s="49">
        <v>10598227</v>
      </c>
      <c r="M32" s="49"/>
      <c r="N32" s="49">
        <v>10598227</v>
      </c>
      <c r="O32" s="49">
        <v>199170563</v>
      </c>
      <c r="P32" s="49"/>
      <c r="Q32" s="49">
        <v>199170563</v>
      </c>
      <c r="R32" s="49">
        <v>278608508</v>
      </c>
      <c r="S32" s="49"/>
      <c r="T32" s="49">
        <v>278608508</v>
      </c>
      <c r="U32" s="49">
        <v>0</v>
      </c>
      <c r="V32" s="49"/>
      <c r="W32" s="49">
        <v>0</v>
      </c>
      <c r="X32" s="49"/>
      <c r="Y32" s="49"/>
      <c r="Z32" s="49"/>
      <c r="AA32" s="49"/>
      <c r="AB32" s="49">
        <f t="shared" si="1"/>
        <v>11811728970</v>
      </c>
      <c r="AC32" s="49"/>
      <c r="AD32" s="49"/>
      <c r="AE32" s="49">
        <f t="shared" si="2"/>
        <v>11811728970</v>
      </c>
      <c r="AG32" s="49">
        <v>0</v>
      </c>
      <c r="AH32" s="49"/>
      <c r="AI32" s="49"/>
      <c r="AJ32" s="49">
        <v>0</v>
      </c>
      <c r="AK32" s="49">
        <v>25727138954</v>
      </c>
      <c r="AL32" s="49"/>
      <c r="AM32" s="49">
        <v>25727138954</v>
      </c>
      <c r="AN32" s="49">
        <v>0</v>
      </c>
      <c r="AO32" s="49"/>
      <c r="AP32" s="49">
        <v>0</v>
      </c>
      <c r="AQ32" s="49">
        <v>3189375</v>
      </c>
      <c r="AR32" s="49"/>
      <c r="AS32" s="49">
        <v>3189375</v>
      </c>
      <c r="AT32" s="49">
        <v>20701691630</v>
      </c>
      <c r="AU32" s="49"/>
      <c r="AV32" s="49">
        <v>20701691630</v>
      </c>
      <c r="AW32" s="49">
        <v>0</v>
      </c>
      <c r="AX32" s="49"/>
      <c r="AY32" s="49">
        <v>0</v>
      </c>
      <c r="AZ32" s="49"/>
      <c r="BA32" s="49"/>
      <c r="BB32" s="49"/>
      <c r="BC32" s="49">
        <f t="shared" si="3"/>
        <v>46432019959</v>
      </c>
      <c r="BD32" s="49"/>
      <c r="BE32" s="49"/>
      <c r="BF32" s="49">
        <f t="shared" si="4"/>
        <v>46432019959</v>
      </c>
      <c r="BH32" s="27" t="s">
        <v>959</v>
      </c>
    </row>
    <row r="33" spans="2:60">
      <c r="B33" s="54" t="s">
        <v>36</v>
      </c>
      <c r="C33" s="52"/>
      <c r="E33" s="49">
        <v>0</v>
      </c>
      <c r="F33" s="49"/>
      <c r="G33" s="49"/>
      <c r="H33" s="49">
        <v>0</v>
      </c>
      <c r="I33" s="49">
        <v>0</v>
      </c>
      <c r="J33" s="49"/>
      <c r="K33" s="49">
        <v>0</v>
      </c>
      <c r="L33" s="49">
        <v>0</v>
      </c>
      <c r="M33" s="49"/>
      <c r="N33" s="49">
        <v>0</v>
      </c>
      <c r="O33" s="49">
        <v>0</v>
      </c>
      <c r="P33" s="49"/>
      <c r="Q33" s="49">
        <v>0</v>
      </c>
      <c r="R33" s="49">
        <v>0</v>
      </c>
      <c r="S33" s="49"/>
      <c r="T33" s="49">
        <v>0</v>
      </c>
      <c r="U33" s="49">
        <v>0</v>
      </c>
      <c r="V33" s="49"/>
      <c r="W33" s="49">
        <v>0</v>
      </c>
      <c r="X33" s="49"/>
      <c r="Y33" s="49"/>
      <c r="Z33" s="49"/>
      <c r="AA33" s="49"/>
      <c r="AB33" s="49">
        <f t="shared" si="1"/>
        <v>0</v>
      </c>
      <c r="AC33" s="49"/>
      <c r="AD33" s="49"/>
      <c r="AE33" s="49">
        <f t="shared" si="2"/>
        <v>0</v>
      </c>
      <c r="AG33" s="49">
        <v>0</v>
      </c>
      <c r="AH33" s="49"/>
      <c r="AI33" s="49"/>
      <c r="AJ33" s="49">
        <v>0</v>
      </c>
      <c r="AK33" s="49">
        <v>0</v>
      </c>
      <c r="AL33" s="49"/>
      <c r="AM33" s="49">
        <v>0</v>
      </c>
      <c r="AN33" s="49">
        <v>0</v>
      </c>
      <c r="AO33" s="49"/>
      <c r="AP33" s="49">
        <v>0</v>
      </c>
      <c r="AQ33" s="49">
        <v>0</v>
      </c>
      <c r="AR33" s="49"/>
      <c r="AS33" s="49">
        <v>0</v>
      </c>
      <c r="AT33" s="49">
        <v>0</v>
      </c>
      <c r="AU33" s="49"/>
      <c r="AV33" s="49">
        <v>0</v>
      </c>
      <c r="AW33" s="49">
        <v>0</v>
      </c>
      <c r="AX33" s="49"/>
      <c r="AY33" s="49">
        <v>0</v>
      </c>
      <c r="AZ33" s="49"/>
      <c r="BA33" s="49"/>
      <c r="BB33" s="49"/>
      <c r="BC33" s="49">
        <f t="shared" si="3"/>
        <v>0</v>
      </c>
      <c r="BD33" s="49"/>
      <c r="BE33" s="49"/>
      <c r="BF33" s="49">
        <f t="shared" si="4"/>
        <v>0</v>
      </c>
    </row>
    <row r="34" spans="2:60">
      <c r="B34" s="54" t="s">
        <v>37</v>
      </c>
      <c r="C34" s="52"/>
      <c r="E34" s="49">
        <v>23625000000</v>
      </c>
      <c r="F34" s="49"/>
      <c r="G34" s="49"/>
      <c r="H34" s="49">
        <v>23625000000</v>
      </c>
      <c r="I34" s="49">
        <v>111931554091</v>
      </c>
      <c r="J34" s="49"/>
      <c r="K34" s="49">
        <v>111931554091</v>
      </c>
      <c r="L34" s="49">
        <v>0</v>
      </c>
      <c r="M34" s="49"/>
      <c r="N34" s="49">
        <v>0</v>
      </c>
      <c r="O34" s="49">
        <v>0</v>
      </c>
      <c r="P34" s="49"/>
      <c r="Q34" s="49">
        <v>0</v>
      </c>
      <c r="R34" s="49">
        <v>24032039498</v>
      </c>
      <c r="S34" s="49"/>
      <c r="T34" s="49">
        <v>24032039498</v>
      </c>
      <c r="U34" s="49">
        <v>0</v>
      </c>
      <c r="V34" s="49"/>
      <c r="W34" s="49">
        <v>0</v>
      </c>
      <c r="X34" s="49"/>
      <c r="Y34" s="49"/>
      <c r="Z34" s="49"/>
      <c r="AA34" s="49"/>
      <c r="AB34" s="49">
        <f t="shared" si="1"/>
        <v>159588593589</v>
      </c>
      <c r="AC34" s="49"/>
      <c r="AD34" s="49"/>
      <c r="AE34" s="49">
        <f t="shared" si="2"/>
        <v>159588593589</v>
      </c>
      <c r="AG34" s="49">
        <v>0</v>
      </c>
      <c r="AH34" s="49"/>
      <c r="AI34" s="49"/>
      <c r="AJ34" s="49">
        <v>0</v>
      </c>
      <c r="AK34" s="49">
        <v>31729071673</v>
      </c>
      <c r="AL34" s="49"/>
      <c r="AM34" s="49">
        <v>31729071673</v>
      </c>
      <c r="AN34" s="49">
        <v>0</v>
      </c>
      <c r="AO34" s="49"/>
      <c r="AP34" s="49">
        <v>0</v>
      </c>
      <c r="AQ34" s="49">
        <v>0</v>
      </c>
      <c r="AR34" s="49"/>
      <c r="AS34" s="49">
        <v>0</v>
      </c>
      <c r="AT34" s="49">
        <v>23625000000</v>
      </c>
      <c r="AU34" s="49"/>
      <c r="AV34" s="49">
        <v>23625000000</v>
      </c>
      <c r="AW34" s="49">
        <v>0</v>
      </c>
      <c r="AX34" s="49"/>
      <c r="AY34" s="49">
        <v>0</v>
      </c>
      <c r="AZ34" s="49"/>
      <c r="BA34" s="49"/>
      <c r="BB34" s="49"/>
      <c r="BC34" s="49">
        <f t="shared" si="3"/>
        <v>55354071673</v>
      </c>
      <c r="BD34" s="49"/>
      <c r="BE34" s="49"/>
      <c r="BF34" s="49">
        <f t="shared" si="4"/>
        <v>55354071673</v>
      </c>
      <c r="BH34" s="27" t="s">
        <v>959</v>
      </c>
    </row>
    <row r="35" spans="2:60">
      <c r="B35" s="54" t="s">
        <v>38</v>
      </c>
      <c r="C35" s="52"/>
      <c r="E35" s="49">
        <v>3461328643.5</v>
      </c>
      <c r="F35" s="49"/>
      <c r="G35" s="49"/>
      <c r="H35" s="49">
        <v>3461328643.5</v>
      </c>
      <c r="I35" s="49">
        <v>20551888106</v>
      </c>
      <c r="J35" s="49"/>
      <c r="K35" s="49">
        <v>20551888106</v>
      </c>
      <c r="L35" s="49">
        <v>0</v>
      </c>
      <c r="M35" s="49"/>
      <c r="N35" s="49">
        <v>0</v>
      </c>
      <c r="O35" s="49">
        <v>0</v>
      </c>
      <c r="P35" s="49"/>
      <c r="Q35" s="49">
        <v>0</v>
      </c>
      <c r="R35" s="49">
        <v>0</v>
      </c>
      <c r="S35" s="49"/>
      <c r="T35" s="49">
        <v>0</v>
      </c>
      <c r="U35" s="49">
        <v>0</v>
      </c>
      <c r="V35" s="49"/>
      <c r="W35" s="49">
        <v>0</v>
      </c>
      <c r="X35" s="49"/>
      <c r="Y35" s="49"/>
      <c r="Z35" s="49"/>
      <c r="AA35" s="49"/>
      <c r="AB35" s="49">
        <f t="shared" si="1"/>
        <v>24013216749.5</v>
      </c>
      <c r="AC35" s="49"/>
      <c r="AD35" s="49"/>
      <c r="AE35" s="49">
        <f t="shared" si="2"/>
        <v>24013216750</v>
      </c>
      <c r="AG35" s="49">
        <v>2764138407.9749999</v>
      </c>
      <c r="AH35" s="49"/>
      <c r="AI35" s="49"/>
      <c r="AJ35" s="49">
        <v>2764138407.9749999</v>
      </c>
      <c r="AK35" s="49">
        <v>9673383745</v>
      </c>
      <c r="AL35" s="49"/>
      <c r="AM35" s="49">
        <v>9673383745</v>
      </c>
      <c r="AN35" s="49">
        <v>0</v>
      </c>
      <c r="AO35" s="49"/>
      <c r="AP35" s="49">
        <v>0</v>
      </c>
      <c r="AQ35" s="49">
        <v>0</v>
      </c>
      <c r="AR35" s="49"/>
      <c r="AS35" s="49">
        <v>0</v>
      </c>
      <c r="AT35" s="49">
        <v>196875000</v>
      </c>
      <c r="AU35" s="49"/>
      <c r="AV35" s="49">
        <v>196875000</v>
      </c>
      <c r="AW35" s="49">
        <v>0</v>
      </c>
      <c r="AX35" s="49"/>
      <c r="AY35" s="49">
        <v>0</v>
      </c>
      <c r="AZ35" s="49"/>
      <c r="BA35" s="49"/>
      <c r="BB35" s="49"/>
      <c r="BC35" s="49">
        <f t="shared" si="3"/>
        <v>12634397153</v>
      </c>
      <c r="BD35" s="49"/>
      <c r="BE35" s="49"/>
      <c r="BF35" s="49">
        <f t="shared" si="4"/>
        <v>12634397153</v>
      </c>
      <c r="BH35" s="27" t="s">
        <v>959</v>
      </c>
    </row>
    <row r="36" spans="2:60">
      <c r="B36" s="58"/>
      <c r="C36" s="5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</row>
    <row r="37" spans="2:60" s="63" customFormat="1" ht="13">
      <c r="B37" s="60" t="s">
        <v>39</v>
      </c>
      <c r="C37" s="61"/>
      <c r="E37" s="62">
        <f>SUM(E14:E36)</f>
        <v>986852140473.5</v>
      </c>
      <c r="F37" s="62"/>
      <c r="G37" s="62"/>
      <c r="H37" s="62">
        <f>SUM(H14:H36)</f>
        <v>986852140473.5</v>
      </c>
      <c r="I37" s="62">
        <f>SUM(I14:I36)</f>
        <v>373150206644</v>
      </c>
      <c r="J37" s="62"/>
      <c r="K37" s="62">
        <f>SUM(K14:K36)</f>
        <v>373150206644</v>
      </c>
      <c r="L37" s="62">
        <f>SUM(L14:L36)</f>
        <v>13207207285</v>
      </c>
      <c r="M37" s="62"/>
      <c r="N37" s="62">
        <f>SUM(N14:N36)</f>
        <v>13207207285</v>
      </c>
      <c r="O37" s="62">
        <f>SUM(O14:O36)</f>
        <v>54323831103</v>
      </c>
      <c r="P37" s="62"/>
      <c r="Q37" s="62">
        <f>SUM(Q14:Q36)</f>
        <v>54323831103</v>
      </c>
      <c r="R37" s="62">
        <f>SUM(R14:R36)</f>
        <v>165638352279</v>
      </c>
      <c r="S37" s="62"/>
      <c r="T37" s="62">
        <f>SUM(T14:T36)</f>
        <v>165638352279</v>
      </c>
      <c r="U37" s="62">
        <f>SUM(U14:U36)</f>
        <v>0</v>
      </c>
      <c r="V37" s="62"/>
      <c r="W37" s="62">
        <f>SUM(W14:W36)</f>
        <v>0</v>
      </c>
      <c r="X37" s="62"/>
      <c r="Y37" s="62"/>
      <c r="Z37" s="62"/>
      <c r="AA37" s="62"/>
      <c r="AB37" s="62">
        <f>SUM(AB14:AB36)</f>
        <v>1593171737784.5</v>
      </c>
      <c r="AC37" s="62"/>
      <c r="AD37" s="62"/>
      <c r="AE37" s="62">
        <f>SUM(AE14:AE36)</f>
        <v>670920678455</v>
      </c>
      <c r="AG37" s="62">
        <f>SUM(AG14:AG36)</f>
        <v>150069466291.07501</v>
      </c>
      <c r="AH37" s="62"/>
      <c r="AI37" s="62"/>
      <c r="AJ37" s="62">
        <f>SUM(AJ14:AJ36)</f>
        <v>150069466291.07501</v>
      </c>
      <c r="AK37" s="62">
        <f>SUM(AK14:AK36)</f>
        <v>162859589609</v>
      </c>
      <c r="AL37" s="62"/>
      <c r="AM37" s="62">
        <f>SUM(AM14:AM36)</f>
        <v>162859589609</v>
      </c>
      <c r="AN37" s="62">
        <f>SUM(AN14:AN36)</f>
        <v>1353310827.75</v>
      </c>
      <c r="AO37" s="62"/>
      <c r="AP37" s="62">
        <f>SUM(AP14:AP36)</f>
        <v>1353310827.75</v>
      </c>
      <c r="AQ37" s="62">
        <f>SUM(AQ14:AQ36)</f>
        <v>14097506977</v>
      </c>
      <c r="AR37" s="62"/>
      <c r="AS37" s="62">
        <f>SUM(AS14:AS36)</f>
        <v>14097506977</v>
      </c>
      <c r="AT37" s="62">
        <f>SUM(AT14:AT36)</f>
        <v>116672758128.63901</v>
      </c>
      <c r="AU37" s="62"/>
      <c r="AV37" s="62">
        <f>SUM(AV14:AV36)</f>
        <v>116672758128.63901</v>
      </c>
      <c r="AW37" s="62">
        <f>SUM(AW14:AW36)</f>
        <v>0</v>
      </c>
      <c r="AX37" s="62"/>
      <c r="AY37" s="62">
        <f>SUM(AY14:AY36)</f>
        <v>0</v>
      </c>
      <c r="AZ37" s="62"/>
      <c r="BA37" s="62"/>
      <c r="BB37" s="62"/>
      <c r="BC37" s="62">
        <f>SUM(BC14:BC36)</f>
        <v>445052631833</v>
      </c>
      <c r="BD37" s="62"/>
      <c r="BE37" s="62"/>
      <c r="BF37" s="62">
        <f>SUM(BF14:BF36)</f>
        <v>408171041394</v>
      </c>
    </row>
    <row r="38" spans="2:60" ht="12" customHeight="1">
      <c r="B38" s="47"/>
      <c r="C38" s="48"/>
      <c r="E38" s="64" t="s">
        <v>40</v>
      </c>
      <c r="F38" s="64"/>
      <c r="G38" s="64"/>
      <c r="H38" s="64"/>
      <c r="I38" s="64" t="s">
        <v>40</v>
      </c>
      <c r="J38" s="64"/>
      <c r="K38" s="64"/>
      <c r="L38" s="64" t="s">
        <v>40</v>
      </c>
      <c r="M38" s="64"/>
      <c r="N38" s="64"/>
      <c r="O38" s="64" t="s">
        <v>40</v>
      </c>
      <c r="P38" s="64"/>
      <c r="Q38" s="64"/>
      <c r="R38" s="64" t="s">
        <v>40</v>
      </c>
      <c r="S38" s="64"/>
      <c r="T38" s="64"/>
      <c r="U38" s="64" t="s">
        <v>40</v>
      </c>
      <c r="V38" s="64"/>
      <c r="W38" s="64"/>
      <c r="X38" s="64"/>
      <c r="Y38" s="64"/>
      <c r="Z38" s="64"/>
      <c r="AA38" s="64"/>
      <c r="AB38" s="64" t="s">
        <v>40</v>
      </c>
      <c r="AC38" s="64"/>
      <c r="AD38" s="64"/>
      <c r="AE38" s="64"/>
      <c r="AG38" s="64" t="s">
        <v>40</v>
      </c>
      <c r="AH38" s="64"/>
      <c r="AI38" s="64"/>
      <c r="AJ38" s="64"/>
      <c r="AK38" s="64" t="s">
        <v>40</v>
      </c>
      <c r="AL38" s="64"/>
      <c r="AM38" s="64"/>
      <c r="AN38" s="64" t="s">
        <v>40</v>
      </c>
      <c r="AO38" s="64"/>
      <c r="AP38" s="64"/>
      <c r="AQ38" s="64" t="s">
        <v>40</v>
      </c>
      <c r="AR38" s="64"/>
      <c r="AS38" s="64"/>
      <c r="AT38" s="64" t="s">
        <v>40</v>
      </c>
      <c r="AU38" s="64"/>
      <c r="AV38" s="64"/>
      <c r="AW38" s="64" t="s">
        <v>40</v>
      </c>
      <c r="AX38" s="64"/>
      <c r="AY38" s="64"/>
      <c r="AZ38" s="64"/>
      <c r="BA38" s="64"/>
      <c r="BB38" s="64"/>
      <c r="BC38" s="64" t="s">
        <v>40</v>
      </c>
      <c r="BD38" s="64"/>
      <c r="BE38" s="64"/>
      <c r="BF38" s="64"/>
    </row>
    <row r="39" spans="2:60" ht="13">
      <c r="B39" s="53" t="s">
        <v>41</v>
      </c>
      <c r="C39" s="52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>
        <f>SUM(AB39:AD39)</f>
        <v>0</v>
      </c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</row>
    <row r="40" spans="2:60">
      <c r="B40" s="54" t="s">
        <v>42</v>
      </c>
      <c r="C40" s="52"/>
      <c r="E40" s="49">
        <v>0</v>
      </c>
      <c r="F40" s="49"/>
      <c r="G40" s="49"/>
      <c r="H40" s="49">
        <v>0</v>
      </c>
      <c r="I40" s="49">
        <v>0</v>
      </c>
      <c r="J40" s="49"/>
      <c r="K40" s="49">
        <v>0</v>
      </c>
      <c r="L40" s="49">
        <v>0</v>
      </c>
      <c r="M40" s="49"/>
      <c r="N40" s="49">
        <v>0</v>
      </c>
      <c r="O40" s="49">
        <v>0</v>
      </c>
      <c r="P40" s="49"/>
      <c r="Q40" s="49">
        <v>0</v>
      </c>
      <c r="R40" s="49">
        <v>0</v>
      </c>
      <c r="S40" s="49"/>
      <c r="T40" s="49">
        <v>0</v>
      </c>
      <c r="U40" s="49">
        <v>0</v>
      </c>
      <c r="V40" s="49"/>
      <c r="W40" s="49">
        <v>0</v>
      </c>
      <c r="X40" s="49">
        <v>2093719895.629427</v>
      </c>
      <c r="Y40" s="49">
        <v>-57099484402.259415</v>
      </c>
      <c r="Z40" s="49"/>
      <c r="AA40" s="49"/>
      <c r="AB40" s="49">
        <f t="shared" ref="AB40:AB50" si="5">SUM(H40,K40,X40,Y40,Z40:AA40,N40,Q40,T40,W40)</f>
        <v>-55005764506.62999</v>
      </c>
      <c r="AC40" s="49">
        <f>'Elimination 23'!G11+'Elimination 23'!G54</f>
        <v>86965191419.761948</v>
      </c>
      <c r="AD40" s="49">
        <f>'Elimination 23'!H7+'Elimination 23'!H19+'Elimination 23'!H24+'Elimination 23'!H29+'Elimination 23'!H34+'Elimination 23'!H39+'Elimination 23'!H44+'Elimination 23'!H49</f>
        <v>-31959426914.00325</v>
      </c>
      <c r="AE40" s="49">
        <f>ROUND(SUM(AB40:AD40),0)+1</f>
        <v>0</v>
      </c>
      <c r="AG40" s="49">
        <v>0</v>
      </c>
      <c r="AH40" s="49"/>
      <c r="AI40" s="49">
        <v>0</v>
      </c>
      <c r="AJ40" s="49">
        <v>0</v>
      </c>
      <c r="AK40" s="49">
        <v>0</v>
      </c>
      <c r="AL40" s="49"/>
      <c r="AM40" s="49">
        <v>0</v>
      </c>
      <c r="AN40" s="49">
        <v>0</v>
      </c>
      <c r="AO40" s="49"/>
      <c r="AP40" s="49">
        <v>0</v>
      </c>
      <c r="AQ40" s="49">
        <v>0</v>
      </c>
      <c r="AR40" s="49"/>
      <c r="AS40" s="49">
        <v>0</v>
      </c>
      <c r="AT40" s="49">
        <v>0</v>
      </c>
      <c r="AU40" s="49"/>
      <c r="AV40" s="49">
        <v>0</v>
      </c>
      <c r="AW40" s="49">
        <v>0</v>
      </c>
      <c r="AX40" s="49"/>
      <c r="AY40" s="49">
        <v>0</v>
      </c>
      <c r="AZ40" s="49">
        <f>'Proforma Adjustment'!O15</f>
        <v>2093719895.629427</v>
      </c>
      <c r="BA40" s="49"/>
      <c r="BB40" s="49"/>
      <c r="BC40" s="49">
        <f t="shared" ref="BC40:BC50" si="6">ROUND(SUM(AJ40,AM40,AP40,AS40,AV40,AY40,AZ40),0)</f>
        <v>2093719896</v>
      </c>
      <c r="BD40" s="49">
        <f>'Elimination 22'!G15+'Elimination 22'!G34</f>
        <v>17041327635.961348</v>
      </c>
      <c r="BE40" s="49">
        <f>'Elimination 22'!H8+'Elimination 22'!H23+'Elimination 22'!H31+'Elimination 22'!H39+'Elimination 22'!H43+'Elimination 22'!H48+'Elimination 22'!H27+'Elimination 22'!H53+'Elimination 22'!H58</f>
        <v>-19135047531.380081</v>
      </c>
      <c r="BF40" s="49">
        <f>ROUND(SUM(BC40:BE40),0)-1</f>
        <v>0</v>
      </c>
    </row>
    <row r="41" spans="2:60">
      <c r="B41" s="54" t="s">
        <v>43</v>
      </c>
      <c r="C41" s="52"/>
      <c r="E41" s="49">
        <v>0</v>
      </c>
      <c r="F41" s="49"/>
      <c r="G41" s="49"/>
      <c r="H41" s="49">
        <v>0</v>
      </c>
      <c r="I41" s="49">
        <v>0</v>
      </c>
      <c r="J41" s="49"/>
      <c r="K41" s="49">
        <v>0</v>
      </c>
      <c r="L41" s="49">
        <v>0</v>
      </c>
      <c r="M41" s="49"/>
      <c r="N41" s="49">
        <v>0</v>
      </c>
      <c r="O41" s="49">
        <v>0</v>
      </c>
      <c r="P41" s="49"/>
      <c r="Q41" s="49">
        <v>0</v>
      </c>
      <c r="R41" s="49">
        <v>0</v>
      </c>
      <c r="S41" s="49"/>
      <c r="T41" s="49">
        <v>0</v>
      </c>
      <c r="U41" s="49">
        <v>0</v>
      </c>
      <c r="V41" s="49"/>
      <c r="W41" s="49">
        <v>0</v>
      </c>
      <c r="X41" s="49"/>
      <c r="Y41" s="49"/>
      <c r="Z41" s="49"/>
      <c r="AA41" s="49"/>
      <c r="AB41" s="49">
        <f t="shared" si="5"/>
        <v>0</v>
      </c>
      <c r="AC41" s="49"/>
      <c r="AD41" s="49"/>
      <c r="AE41" s="49">
        <f t="shared" ref="AE41" si="7">SUM(AB41:AD41)</f>
        <v>0</v>
      </c>
      <c r="AG41" s="49">
        <v>0</v>
      </c>
      <c r="AH41" s="49"/>
      <c r="AI41" s="49"/>
      <c r="AJ41" s="49">
        <v>0</v>
      </c>
      <c r="AK41" s="49">
        <v>0</v>
      </c>
      <c r="AL41" s="49"/>
      <c r="AM41" s="49">
        <v>0</v>
      </c>
      <c r="AN41" s="49">
        <v>0</v>
      </c>
      <c r="AO41" s="49"/>
      <c r="AP41" s="49">
        <v>0</v>
      </c>
      <c r="AQ41" s="49">
        <v>0</v>
      </c>
      <c r="AR41" s="49"/>
      <c r="AS41" s="49">
        <v>0</v>
      </c>
      <c r="AT41" s="49">
        <v>0</v>
      </c>
      <c r="AU41" s="49"/>
      <c r="AV41" s="49">
        <v>0</v>
      </c>
      <c r="AW41" s="49">
        <v>0</v>
      </c>
      <c r="AX41" s="49"/>
      <c r="AY41" s="49">
        <v>0</v>
      </c>
      <c r="AZ41" s="49"/>
      <c r="BA41" s="49"/>
      <c r="BB41" s="49"/>
      <c r="BC41" s="49">
        <f t="shared" si="6"/>
        <v>0</v>
      </c>
      <c r="BD41" s="49"/>
      <c r="BE41" s="49"/>
      <c r="BF41" s="49">
        <f t="shared" ref="BF41:BF50" si="8">ROUND(SUM(BC41:BE41),0)</f>
        <v>0</v>
      </c>
    </row>
    <row r="42" spans="2:60">
      <c r="B42" s="54" t="s">
        <v>44</v>
      </c>
      <c r="C42" s="52"/>
      <c r="E42" s="49">
        <v>0</v>
      </c>
      <c r="F42" s="49"/>
      <c r="G42" s="49"/>
      <c r="H42" s="49">
        <v>0</v>
      </c>
      <c r="I42" s="49">
        <v>2156177190</v>
      </c>
      <c r="J42" s="49"/>
      <c r="K42" s="49">
        <v>2156177190</v>
      </c>
      <c r="L42" s="49">
        <v>0</v>
      </c>
      <c r="M42" s="49"/>
      <c r="N42" s="49">
        <v>0</v>
      </c>
      <c r="O42" s="49">
        <v>0</v>
      </c>
      <c r="P42" s="49"/>
      <c r="Q42" s="49">
        <v>0</v>
      </c>
      <c r="R42" s="49">
        <v>0</v>
      </c>
      <c r="S42" s="49"/>
      <c r="T42" s="49">
        <v>0</v>
      </c>
      <c r="U42" s="49">
        <v>0</v>
      </c>
      <c r="V42" s="49"/>
      <c r="W42" s="49">
        <v>0</v>
      </c>
      <c r="X42" s="49"/>
      <c r="Y42" s="49"/>
      <c r="Z42" s="49"/>
      <c r="AA42" s="49"/>
      <c r="AB42" s="49">
        <f t="shared" si="5"/>
        <v>2156177190</v>
      </c>
      <c r="AC42" s="49"/>
      <c r="AD42" s="49"/>
      <c r="AE42" s="49">
        <f t="shared" ref="AE42" si="9">ROUND(SUM(AB42:AD42),0)</f>
        <v>2156177190</v>
      </c>
      <c r="AG42" s="49">
        <v>0</v>
      </c>
      <c r="AH42" s="49"/>
      <c r="AI42" s="49"/>
      <c r="AJ42" s="49">
        <v>0</v>
      </c>
      <c r="AK42" s="49">
        <v>14398163289</v>
      </c>
      <c r="AL42" s="49"/>
      <c r="AM42" s="49">
        <v>14398163289</v>
      </c>
      <c r="AN42" s="49">
        <v>0</v>
      </c>
      <c r="AO42" s="49"/>
      <c r="AP42" s="49">
        <v>0</v>
      </c>
      <c r="AQ42" s="49">
        <v>0</v>
      </c>
      <c r="AR42" s="49"/>
      <c r="AS42" s="49">
        <v>0</v>
      </c>
      <c r="AT42" s="49">
        <v>0</v>
      </c>
      <c r="AU42" s="49"/>
      <c r="AV42" s="49">
        <v>0</v>
      </c>
      <c r="AW42" s="49">
        <v>0</v>
      </c>
      <c r="AX42" s="49"/>
      <c r="AY42" s="49">
        <v>0</v>
      </c>
      <c r="AZ42" s="49"/>
      <c r="BA42" s="49"/>
      <c r="BB42" s="49"/>
      <c r="BC42" s="49">
        <f t="shared" si="6"/>
        <v>14398163289</v>
      </c>
      <c r="BD42" s="49"/>
      <c r="BE42" s="49"/>
      <c r="BF42" s="49">
        <f t="shared" ref="BF42" si="10">ROUND(SUM(BC42:BE42),0)</f>
        <v>14398163289</v>
      </c>
    </row>
    <row r="43" spans="2:60">
      <c r="B43" s="54" t="s">
        <v>468</v>
      </c>
      <c r="C43" s="52"/>
      <c r="E43" s="49">
        <v>0</v>
      </c>
      <c r="F43" s="49"/>
      <c r="G43" s="49"/>
      <c r="H43" s="49">
        <v>0</v>
      </c>
      <c r="I43" s="49">
        <v>0</v>
      </c>
      <c r="J43" s="49"/>
      <c r="K43" s="49">
        <v>0</v>
      </c>
      <c r="L43" s="49">
        <v>0</v>
      </c>
      <c r="M43" s="49"/>
      <c r="N43" s="49">
        <v>0</v>
      </c>
      <c r="O43" s="49">
        <v>0</v>
      </c>
      <c r="P43" s="49"/>
      <c r="Q43" s="49">
        <v>0</v>
      </c>
      <c r="R43" s="49">
        <v>0</v>
      </c>
      <c r="S43" s="49"/>
      <c r="T43" s="49">
        <v>0</v>
      </c>
      <c r="U43" s="49">
        <v>0</v>
      </c>
      <c r="V43" s="49"/>
      <c r="W43" s="49">
        <v>0</v>
      </c>
      <c r="X43" s="49"/>
      <c r="Y43" s="49"/>
      <c r="Z43" s="49"/>
      <c r="AA43" s="49"/>
      <c r="AB43" s="49">
        <f t="shared" si="5"/>
        <v>0</v>
      </c>
      <c r="AC43" s="49"/>
      <c r="AD43" s="49"/>
      <c r="AE43" s="49">
        <f t="shared" ref="AE43:AE49" si="11">ROUND(SUM(AB43:AD43),0)</f>
        <v>0</v>
      </c>
      <c r="AG43" s="49">
        <v>130394112645.825</v>
      </c>
      <c r="AH43" s="49"/>
      <c r="AI43" s="49"/>
      <c r="AJ43" s="49">
        <v>130394112645.825</v>
      </c>
      <c r="AK43" s="49">
        <v>0</v>
      </c>
      <c r="AL43" s="49"/>
      <c r="AM43" s="49">
        <v>0</v>
      </c>
      <c r="AN43" s="49">
        <v>0</v>
      </c>
      <c r="AO43" s="49"/>
      <c r="AP43" s="49">
        <v>0</v>
      </c>
      <c r="AQ43" s="49">
        <v>0</v>
      </c>
      <c r="AR43" s="49"/>
      <c r="AS43" s="49">
        <v>0</v>
      </c>
      <c r="AT43" s="49">
        <v>0</v>
      </c>
      <c r="AU43" s="49"/>
      <c r="AV43" s="49">
        <v>0</v>
      </c>
      <c r="AW43" s="49">
        <v>0</v>
      </c>
      <c r="AX43" s="49"/>
      <c r="AY43" s="49">
        <v>0</v>
      </c>
      <c r="AZ43" s="49"/>
      <c r="BA43" s="49"/>
      <c r="BB43" s="49"/>
      <c r="BC43" s="49">
        <f t="shared" si="6"/>
        <v>130394112646</v>
      </c>
      <c r="BD43" s="49"/>
      <c r="BE43" s="49">
        <f>'Elimination 22'!H74</f>
        <v>-130394112646.51161</v>
      </c>
      <c r="BF43" s="49">
        <f>ROUND(SUM(BC43:BE43),0)+1</f>
        <v>0</v>
      </c>
    </row>
    <row r="44" spans="2:60">
      <c r="B44" s="54" t="s">
        <v>45</v>
      </c>
      <c r="C44" s="52"/>
      <c r="E44" s="49">
        <v>278653421</v>
      </c>
      <c r="F44" s="49"/>
      <c r="G44" s="49"/>
      <c r="H44" s="49">
        <v>278653421</v>
      </c>
      <c r="I44" s="49">
        <v>21360897428</v>
      </c>
      <c r="J44" s="49"/>
      <c r="K44" s="49">
        <v>21360897428</v>
      </c>
      <c r="L44" s="49">
        <v>181298250</v>
      </c>
      <c r="M44" s="49"/>
      <c r="N44" s="49">
        <v>181298250</v>
      </c>
      <c r="O44" s="49">
        <v>0</v>
      </c>
      <c r="P44" s="49"/>
      <c r="Q44" s="49">
        <v>0</v>
      </c>
      <c r="R44" s="49">
        <v>11861883</v>
      </c>
      <c r="S44" s="49"/>
      <c r="T44" s="49">
        <v>11861883</v>
      </c>
      <c r="U44" s="49">
        <v>0</v>
      </c>
      <c r="V44" s="49"/>
      <c r="W44" s="49">
        <v>0</v>
      </c>
      <c r="X44" s="49"/>
      <c r="Y44" s="49"/>
      <c r="Z44" s="49"/>
      <c r="AA44" s="49"/>
      <c r="AB44" s="49">
        <f t="shared" si="5"/>
        <v>21832710982</v>
      </c>
      <c r="AC44" s="49"/>
      <c r="AD44" s="49"/>
      <c r="AE44" s="49">
        <f t="shared" si="11"/>
        <v>21832710982</v>
      </c>
      <c r="AG44" s="49">
        <v>277523469</v>
      </c>
      <c r="AH44" s="49"/>
      <c r="AI44" s="49"/>
      <c r="AJ44" s="49">
        <v>277523469</v>
      </c>
      <c r="AK44" s="49">
        <v>35363492591</v>
      </c>
      <c r="AL44" s="49"/>
      <c r="AM44" s="49">
        <v>35363492591</v>
      </c>
      <c r="AN44" s="49">
        <v>0</v>
      </c>
      <c r="AO44" s="49"/>
      <c r="AP44" s="49">
        <v>0</v>
      </c>
      <c r="AQ44" s="49">
        <v>0</v>
      </c>
      <c r="AR44" s="49"/>
      <c r="AS44" s="49">
        <v>0</v>
      </c>
      <c r="AT44" s="49">
        <v>23017214</v>
      </c>
      <c r="AU44" s="49"/>
      <c r="AV44" s="49">
        <v>23017214</v>
      </c>
      <c r="AW44" s="49">
        <v>0</v>
      </c>
      <c r="AX44" s="49"/>
      <c r="AY44" s="49">
        <v>0</v>
      </c>
      <c r="AZ44" s="49"/>
      <c r="BA44" s="49"/>
      <c r="BB44" s="49"/>
      <c r="BC44" s="49">
        <f t="shared" si="6"/>
        <v>35664033274</v>
      </c>
      <c r="BD44" s="49"/>
      <c r="BE44" s="49"/>
      <c r="BF44" s="49">
        <f t="shared" si="8"/>
        <v>35664033274</v>
      </c>
    </row>
    <row r="45" spans="2:60">
      <c r="B45" s="54" t="s">
        <v>46</v>
      </c>
      <c r="C45" s="52"/>
      <c r="E45" s="49">
        <v>13132539190</v>
      </c>
      <c r="F45" s="49"/>
      <c r="G45" s="49"/>
      <c r="H45" s="49">
        <v>13132539190</v>
      </c>
      <c r="I45" s="49">
        <v>11753548874</v>
      </c>
      <c r="J45" s="49"/>
      <c r="K45" s="49">
        <v>11753548874</v>
      </c>
      <c r="L45" s="49">
        <v>0</v>
      </c>
      <c r="M45" s="49"/>
      <c r="N45" s="49">
        <v>0</v>
      </c>
      <c r="O45" s="49">
        <v>0</v>
      </c>
      <c r="P45" s="49"/>
      <c r="Q45" s="49">
        <v>0</v>
      </c>
      <c r="R45" s="49">
        <v>0</v>
      </c>
      <c r="S45" s="49"/>
      <c r="T45" s="49">
        <v>0</v>
      </c>
      <c r="U45" s="49">
        <v>0</v>
      </c>
      <c r="V45" s="49"/>
      <c r="W45" s="49">
        <v>0</v>
      </c>
      <c r="X45" s="49"/>
      <c r="Y45" s="49"/>
      <c r="Z45" s="49"/>
      <c r="AA45" s="49"/>
      <c r="AB45" s="49">
        <f t="shared" si="5"/>
        <v>24886088064</v>
      </c>
      <c r="AC45" s="49"/>
      <c r="AD45" s="49"/>
      <c r="AE45" s="49">
        <f t="shared" si="11"/>
        <v>24886088064</v>
      </c>
      <c r="AG45" s="49">
        <v>27816908987</v>
      </c>
      <c r="AH45" s="49"/>
      <c r="AI45" s="49"/>
      <c r="AJ45" s="49">
        <v>27816908987</v>
      </c>
      <c r="AK45" s="49">
        <v>15671398500</v>
      </c>
      <c r="AL45" s="49"/>
      <c r="AM45" s="49">
        <v>15671398500</v>
      </c>
      <c r="AN45" s="49">
        <v>0</v>
      </c>
      <c r="AO45" s="49"/>
      <c r="AP45" s="49">
        <v>0</v>
      </c>
      <c r="AQ45" s="49">
        <v>0</v>
      </c>
      <c r="AR45" s="49"/>
      <c r="AS45" s="49">
        <v>0</v>
      </c>
      <c r="AT45" s="49">
        <v>0</v>
      </c>
      <c r="AU45" s="49"/>
      <c r="AV45" s="49">
        <v>0</v>
      </c>
      <c r="AW45" s="49">
        <v>0</v>
      </c>
      <c r="AX45" s="49"/>
      <c r="AY45" s="49">
        <v>0</v>
      </c>
      <c r="AZ45" s="49"/>
      <c r="BA45" s="49"/>
      <c r="BB45" s="49"/>
      <c r="BC45" s="49">
        <f t="shared" si="6"/>
        <v>43488307487</v>
      </c>
      <c r="BD45" s="49"/>
      <c r="BE45" s="49"/>
      <c r="BF45" s="49">
        <f t="shared" si="8"/>
        <v>43488307487</v>
      </c>
    </row>
    <row r="46" spans="2:60">
      <c r="B46" s="54" t="s">
        <v>47</v>
      </c>
      <c r="C46" s="52"/>
      <c r="E46" s="49">
        <v>0</v>
      </c>
      <c r="F46" s="49"/>
      <c r="G46" s="49"/>
      <c r="H46" s="49">
        <v>0</v>
      </c>
      <c r="I46" s="49">
        <v>11843914378</v>
      </c>
      <c r="J46" s="49"/>
      <c r="K46" s="49">
        <v>11843914378</v>
      </c>
      <c r="L46" s="49">
        <v>0</v>
      </c>
      <c r="M46" s="49"/>
      <c r="N46" s="49">
        <v>0</v>
      </c>
      <c r="O46" s="49">
        <v>0</v>
      </c>
      <c r="P46" s="49"/>
      <c r="Q46" s="49">
        <v>0</v>
      </c>
      <c r="R46" s="49">
        <v>0</v>
      </c>
      <c r="S46" s="49"/>
      <c r="T46" s="49">
        <v>0</v>
      </c>
      <c r="U46" s="49">
        <v>0</v>
      </c>
      <c r="V46" s="49"/>
      <c r="W46" s="49">
        <v>0</v>
      </c>
      <c r="X46" s="49"/>
      <c r="Y46" s="49"/>
      <c r="Z46" s="49"/>
      <c r="AA46" s="49"/>
      <c r="AB46" s="49">
        <f t="shared" si="5"/>
        <v>11843914378</v>
      </c>
      <c r="AC46" s="49"/>
      <c r="AD46" s="49"/>
      <c r="AE46" s="49">
        <f t="shared" si="11"/>
        <v>11843914378</v>
      </c>
      <c r="AG46" s="49">
        <v>0</v>
      </c>
      <c r="AH46" s="49"/>
      <c r="AI46" s="49"/>
      <c r="AJ46" s="49">
        <v>0</v>
      </c>
      <c r="AK46" s="49">
        <v>140145541230</v>
      </c>
      <c r="AL46" s="49"/>
      <c r="AM46" s="49">
        <v>140145541230</v>
      </c>
      <c r="AN46" s="49">
        <v>0</v>
      </c>
      <c r="AO46" s="49"/>
      <c r="AP46" s="49">
        <v>0</v>
      </c>
      <c r="AQ46" s="49">
        <v>0</v>
      </c>
      <c r="AR46" s="49"/>
      <c r="AS46" s="49">
        <v>0</v>
      </c>
      <c r="AT46" s="49">
        <v>0</v>
      </c>
      <c r="AU46" s="49"/>
      <c r="AV46" s="49">
        <v>0</v>
      </c>
      <c r="AW46" s="49">
        <v>0</v>
      </c>
      <c r="AX46" s="49"/>
      <c r="AY46" s="49">
        <v>0</v>
      </c>
      <c r="AZ46" s="49"/>
      <c r="BA46" s="49"/>
      <c r="BB46" s="49"/>
      <c r="BC46" s="49">
        <f t="shared" si="6"/>
        <v>140145541230</v>
      </c>
      <c r="BD46" s="49"/>
      <c r="BE46" s="49"/>
      <c r="BF46" s="49">
        <f t="shared" si="8"/>
        <v>140145541230</v>
      </c>
    </row>
    <row r="47" spans="2:60">
      <c r="B47" s="54" t="s">
        <v>48</v>
      </c>
      <c r="C47" s="52"/>
      <c r="E47" s="49">
        <v>0</v>
      </c>
      <c r="F47" s="49"/>
      <c r="G47" s="49"/>
      <c r="H47" s="49">
        <v>0</v>
      </c>
      <c r="I47" s="49">
        <v>0</v>
      </c>
      <c r="J47" s="49"/>
      <c r="K47" s="49">
        <v>0</v>
      </c>
      <c r="L47" s="49">
        <v>23625000</v>
      </c>
      <c r="M47" s="49"/>
      <c r="N47" s="49">
        <v>23625000</v>
      </c>
      <c r="O47" s="49">
        <v>1789200000</v>
      </c>
      <c r="P47" s="49"/>
      <c r="Q47" s="49">
        <v>1789200000</v>
      </c>
      <c r="R47" s="49">
        <v>669375000</v>
      </c>
      <c r="S47" s="49"/>
      <c r="T47" s="49">
        <v>669375000</v>
      </c>
      <c r="U47" s="49">
        <v>0</v>
      </c>
      <c r="V47" s="49"/>
      <c r="W47" s="49">
        <v>0</v>
      </c>
      <c r="X47" s="49"/>
      <c r="Y47" s="49"/>
      <c r="Z47" s="49"/>
      <c r="AA47" s="49">
        <v>0</v>
      </c>
      <c r="AB47" s="49">
        <f t="shared" si="5"/>
        <v>2482200000</v>
      </c>
      <c r="AC47" s="49"/>
      <c r="AD47" s="49"/>
      <c r="AE47" s="49">
        <f t="shared" si="11"/>
        <v>2482200000</v>
      </c>
      <c r="AG47" s="49">
        <v>0</v>
      </c>
      <c r="AH47" s="49"/>
      <c r="AI47" s="49"/>
      <c r="AJ47" s="49">
        <v>0</v>
      </c>
      <c r="AK47" s="49">
        <v>0</v>
      </c>
      <c r="AL47" s="49"/>
      <c r="AM47" s="49">
        <v>0</v>
      </c>
      <c r="AN47" s="49">
        <v>23625000</v>
      </c>
      <c r="AO47" s="49"/>
      <c r="AP47" s="49">
        <v>23625000</v>
      </c>
      <c r="AQ47" s="49">
        <v>0</v>
      </c>
      <c r="AR47" s="49"/>
      <c r="AS47" s="49">
        <v>0</v>
      </c>
      <c r="AT47" s="49">
        <v>850500000</v>
      </c>
      <c r="AU47" s="49"/>
      <c r="AV47" s="49">
        <v>850500000</v>
      </c>
      <c r="AW47" s="49">
        <v>0</v>
      </c>
      <c r="AX47" s="49"/>
      <c r="AY47" s="49">
        <v>0</v>
      </c>
      <c r="AZ47" s="49"/>
      <c r="BA47" s="49"/>
      <c r="BB47" s="49">
        <v>0</v>
      </c>
      <c r="BC47" s="49">
        <f t="shared" si="6"/>
        <v>874125000</v>
      </c>
      <c r="BD47" s="49"/>
      <c r="BE47" s="49"/>
      <c r="BF47" s="49">
        <f t="shared" si="8"/>
        <v>874125000</v>
      </c>
    </row>
    <row r="48" spans="2:60">
      <c r="B48" s="54" t="s">
        <v>49</v>
      </c>
      <c r="C48" s="52"/>
      <c r="E48" s="49">
        <v>0</v>
      </c>
      <c r="F48" s="49"/>
      <c r="G48" s="49"/>
      <c r="H48" s="49">
        <v>0</v>
      </c>
      <c r="I48" s="49">
        <v>0</v>
      </c>
      <c r="J48" s="49"/>
      <c r="K48" s="49">
        <v>0</v>
      </c>
      <c r="L48" s="49">
        <v>0</v>
      </c>
      <c r="M48" s="49"/>
      <c r="N48" s="49">
        <v>0</v>
      </c>
      <c r="O48" s="49">
        <v>0</v>
      </c>
      <c r="P48" s="49"/>
      <c r="Q48" s="49">
        <v>0</v>
      </c>
      <c r="R48" s="49">
        <v>0</v>
      </c>
      <c r="S48" s="49"/>
      <c r="T48" s="49">
        <v>0</v>
      </c>
      <c r="U48" s="49">
        <v>0</v>
      </c>
      <c r="V48" s="49"/>
      <c r="W48" s="49">
        <v>0</v>
      </c>
      <c r="X48" s="49"/>
      <c r="Y48" s="49"/>
      <c r="Z48" s="49"/>
      <c r="AA48" s="49">
        <v>0</v>
      </c>
      <c r="AB48" s="49">
        <f t="shared" si="5"/>
        <v>0</v>
      </c>
      <c r="AC48" s="49"/>
      <c r="AD48" s="49"/>
      <c r="AE48" s="49">
        <f t="shared" si="11"/>
        <v>0</v>
      </c>
      <c r="AG48" s="49">
        <v>0</v>
      </c>
      <c r="AH48" s="49"/>
      <c r="AI48" s="49"/>
      <c r="AJ48" s="49">
        <v>0</v>
      </c>
      <c r="AK48" s="49">
        <v>2173500000</v>
      </c>
      <c r="AL48" s="49"/>
      <c r="AM48" s="49">
        <v>2173500000</v>
      </c>
      <c r="AN48" s="49">
        <v>0</v>
      </c>
      <c r="AO48" s="49"/>
      <c r="AP48" s="49">
        <v>0</v>
      </c>
      <c r="AQ48" s="49">
        <v>0</v>
      </c>
      <c r="AR48" s="49"/>
      <c r="AS48" s="49">
        <v>0</v>
      </c>
      <c r="AT48" s="49">
        <v>0</v>
      </c>
      <c r="AU48" s="49"/>
      <c r="AV48" s="49">
        <v>0</v>
      </c>
      <c r="AW48" s="49">
        <v>0</v>
      </c>
      <c r="AX48" s="49"/>
      <c r="AY48" s="49">
        <v>0</v>
      </c>
      <c r="AZ48" s="49"/>
      <c r="BA48" s="49"/>
      <c r="BB48" s="49">
        <v>0</v>
      </c>
      <c r="BC48" s="49">
        <f t="shared" si="6"/>
        <v>2173500000</v>
      </c>
      <c r="BD48" s="49"/>
      <c r="BE48" s="49"/>
      <c r="BF48" s="49">
        <f t="shared" ref="BF48" si="12">ROUND(SUM(BC48:BE48),0)</f>
        <v>2173500000</v>
      </c>
    </row>
    <row r="49" spans="2:60">
      <c r="B49" s="54" t="s">
        <v>50</v>
      </c>
      <c r="C49" s="52"/>
      <c r="E49" s="49">
        <v>0</v>
      </c>
      <c r="F49" s="49"/>
      <c r="G49" s="49"/>
      <c r="H49" s="49">
        <v>0</v>
      </c>
      <c r="I49" s="49">
        <v>0</v>
      </c>
      <c r="J49" s="49"/>
      <c r="K49" s="49">
        <v>0</v>
      </c>
      <c r="L49" s="49">
        <v>0</v>
      </c>
      <c r="M49" s="49"/>
      <c r="N49" s="49">
        <v>0</v>
      </c>
      <c r="O49" s="49">
        <v>0</v>
      </c>
      <c r="P49" s="49"/>
      <c r="Q49" s="49">
        <v>0</v>
      </c>
      <c r="R49" s="49">
        <v>0</v>
      </c>
      <c r="S49" s="49"/>
      <c r="T49" s="49">
        <v>0</v>
      </c>
      <c r="U49" s="49">
        <v>0</v>
      </c>
      <c r="V49" s="49"/>
      <c r="W49" s="49">
        <v>0</v>
      </c>
      <c r="X49" s="49"/>
      <c r="Y49" s="49"/>
      <c r="Z49" s="49"/>
      <c r="AA49" s="49"/>
      <c r="AB49" s="49">
        <f t="shared" si="5"/>
        <v>0</v>
      </c>
      <c r="AC49" s="49"/>
      <c r="AD49" s="49"/>
      <c r="AE49" s="49">
        <f t="shared" si="11"/>
        <v>0</v>
      </c>
      <c r="AG49" s="49">
        <v>0</v>
      </c>
      <c r="AH49" s="49"/>
      <c r="AI49" s="49"/>
      <c r="AJ49" s="49">
        <v>0</v>
      </c>
      <c r="AK49" s="49">
        <v>0</v>
      </c>
      <c r="AL49" s="49"/>
      <c r="AM49" s="49">
        <v>0</v>
      </c>
      <c r="AN49" s="49">
        <v>0</v>
      </c>
      <c r="AO49" s="49"/>
      <c r="AP49" s="49">
        <v>0</v>
      </c>
      <c r="AQ49" s="49">
        <v>0</v>
      </c>
      <c r="AR49" s="49"/>
      <c r="AS49" s="49">
        <v>0</v>
      </c>
      <c r="AT49" s="49">
        <v>0</v>
      </c>
      <c r="AU49" s="49"/>
      <c r="AV49" s="49">
        <v>0</v>
      </c>
      <c r="AW49" s="49">
        <v>0</v>
      </c>
      <c r="AX49" s="49"/>
      <c r="AY49" s="49">
        <v>0</v>
      </c>
      <c r="AZ49" s="49"/>
      <c r="BA49" s="49"/>
      <c r="BB49" s="49"/>
      <c r="BC49" s="49">
        <f t="shared" si="6"/>
        <v>0</v>
      </c>
      <c r="BD49" s="49"/>
      <c r="BE49" s="49"/>
      <c r="BF49" s="49">
        <f t="shared" si="8"/>
        <v>0</v>
      </c>
    </row>
    <row r="50" spans="2:60">
      <c r="B50" s="54" t="s">
        <v>163</v>
      </c>
      <c r="C50" s="52"/>
      <c r="E50" s="49">
        <v>1255362372</v>
      </c>
      <c r="F50" s="49"/>
      <c r="G50" s="49"/>
      <c r="H50" s="49">
        <v>1255362372</v>
      </c>
      <c r="I50" s="49">
        <v>11705633633</v>
      </c>
      <c r="J50" s="49"/>
      <c r="K50" s="49">
        <v>11705633633</v>
      </c>
      <c r="L50" s="49">
        <v>0</v>
      </c>
      <c r="M50" s="49"/>
      <c r="N50" s="49">
        <v>0</v>
      </c>
      <c r="O50" s="49">
        <v>0</v>
      </c>
      <c r="P50" s="49"/>
      <c r="Q50" s="49">
        <v>0</v>
      </c>
      <c r="R50" s="49">
        <v>0</v>
      </c>
      <c r="S50" s="49"/>
      <c r="T50" s="49">
        <v>0</v>
      </c>
      <c r="U50" s="49">
        <v>0</v>
      </c>
      <c r="V50" s="49"/>
      <c r="W50" s="49">
        <v>0</v>
      </c>
      <c r="X50" s="49"/>
      <c r="Y50" s="49"/>
      <c r="Z50" s="49"/>
      <c r="AA50" s="49"/>
      <c r="AB50" s="49">
        <f t="shared" si="5"/>
        <v>12960996005</v>
      </c>
      <c r="AC50" s="49"/>
      <c r="AD50" s="49"/>
      <c r="AE50" s="49">
        <f>ROUND(SUM(AB50:AD50),0)-800</f>
        <v>12960995205</v>
      </c>
      <c r="AG50" s="49">
        <v>1047306519</v>
      </c>
      <c r="AH50" s="49"/>
      <c r="AI50" s="49"/>
      <c r="AJ50" s="49">
        <v>1047306519</v>
      </c>
      <c r="AK50" s="49">
        <v>7726897981</v>
      </c>
      <c r="AL50" s="49"/>
      <c r="AM50" s="49">
        <v>7726897981</v>
      </c>
      <c r="AN50" s="49">
        <v>0</v>
      </c>
      <c r="AO50" s="49"/>
      <c r="AP50" s="49">
        <v>0</v>
      </c>
      <c r="AQ50" s="49">
        <v>0</v>
      </c>
      <c r="AR50" s="49"/>
      <c r="AS50" s="49">
        <v>0</v>
      </c>
      <c r="AT50" s="49">
        <v>0</v>
      </c>
      <c r="AU50" s="49"/>
      <c r="AV50" s="49">
        <v>0</v>
      </c>
      <c r="AW50" s="49">
        <v>0</v>
      </c>
      <c r="AX50" s="49"/>
      <c r="AY50" s="49">
        <v>0</v>
      </c>
      <c r="AZ50" s="49"/>
      <c r="BA50" s="49"/>
      <c r="BB50" s="49"/>
      <c r="BC50" s="49">
        <f t="shared" si="6"/>
        <v>8774204500</v>
      </c>
      <c r="BD50" s="49"/>
      <c r="BE50" s="49"/>
      <c r="BF50" s="49">
        <f t="shared" si="8"/>
        <v>8774204500</v>
      </c>
    </row>
    <row r="51" spans="2:60">
      <c r="B51" s="58"/>
      <c r="C51" s="5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</row>
    <row r="52" spans="2:60" s="63" customFormat="1" ht="13">
      <c r="B52" s="60" t="s">
        <v>52</v>
      </c>
      <c r="C52" s="61"/>
      <c r="E52" s="62">
        <f>SUM(E39:E51)</f>
        <v>14666554983</v>
      </c>
      <c r="F52" s="62"/>
      <c r="G52" s="62"/>
      <c r="H52" s="62">
        <f>SUM(H39:H51)</f>
        <v>14666554983</v>
      </c>
      <c r="I52" s="62">
        <f>SUM(I39:I51)</f>
        <v>58820171503</v>
      </c>
      <c r="J52" s="62"/>
      <c r="K52" s="62">
        <f>SUM(K39:K51)</f>
        <v>58820171503</v>
      </c>
      <c r="L52" s="62">
        <f>SUM(L39:L51)</f>
        <v>204923250</v>
      </c>
      <c r="M52" s="62"/>
      <c r="N52" s="62">
        <f>SUM(N39:N51)</f>
        <v>204923250</v>
      </c>
      <c r="O52" s="62">
        <f>SUM(O39:O51)</f>
        <v>1789200000</v>
      </c>
      <c r="P52" s="62"/>
      <c r="Q52" s="62">
        <f>SUM(Q39:Q51)</f>
        <v>1789200000</v>
      </c>
      <c r="R52" s="62">
        <f>SUM(R39:R51)</f>
        <v>681236883</v>
      </c>
      <c r="S52" s="62"/>
      <c r="T52" s="62">
        <f>SUM(T39:T51)</f>
        <v>681236883</v>
      </c>
      <c r="U52" s="62">
        <f>SUM(U39:U51)</f>
        <v>0</v>
      </c>
      <c r="V52" s="62"/>
      <c r="W52" s="62">
        <f>SUM(W39:W51)</f>
        <v>0</v>
      </c>
      <c r="X52" s="62"/>
      <c r="Y52" s="62"/>
      <c r="Z52" s="62"/>
      <c r="AA52" s="62"/>
      <c r="AB52" s="62">
        <f>SUM(AB39:AB51)</f>
        <v>21156322112.37001</v>
      </c>
      <c r="AC52" s="62"/>
      <c r="AD52" s="62"/>
      <c r="AE52" s="62">
        <f>SUM(AE39:AE51)</f>
        <v>76162085819</v>
      </c>
      <c r="AG52" s="62">
        <f>SUM(AG39:AG51)</f>
        <v>159535851620.82501</v>
      </c>
      <c r="AH52" s="62"/>
      <c r="AI52" s="62"/>
      <c r="AJ52" s="62">
        <f>SUM(AJ39:AJ51)</f>
        <v>159535851620.82501</v>
      </c>
      <c r="AK52" s="62">
        <f>SUM(AK39:AK51)</f>
        <v>215478993591</v>
      </c>
      <c r="AL52" s="62"/>
      <c r="AM52" s="62">
        <f>SUM(AM39:AM51)</f>
        <v>215478993591</v>
      </c>
      <c r="AN52" s="62">
        <f>SUM(AN39:AN51)</f>
        <v>23625000</v>
      </c>
      <c r="AO52" s="62"/>
      <c r="AP52" s="62">
        <f>SUM(AP39:AP51)</f>
        <v>23625000</v>
      </c>
      <c r="AQ52" s="62">
        <f>SUM(AQ39:AQ51)</f>
        <v>0</v>
      </c>
      <c r="AR52" s="62"/>
      <c r="AS52" s="62">
        <f>SUM(AS39:AS51)</f>
        <v>0</v>
      </c>
      <c r="AT52" s="62">
        <f>SUM(AT39:AT51)</f>
        <v>873517214</v>
      </c>
      <c r="AU52" s="62"/>
      <c r="AV52" s="62">
        <f>SUM(AV39:AV51)</f>
        <v>873517214</v>
      </c>
      <c r="AW52" s="62">
        <f>SUM(AW39:AW51)</f>
        <v>0</v>
      </c>
      <c r="AX52" s="62"/>
      <c r="AY52" s="62">
        <f>SUM(AY39:AY51)</f>
        <v>0</v>
      </c>
      <c r="AZ52" s="62"/>
      <c r="BA52" s="62"/>
      <c r="BB52" s="62"/>
      <c r="BC52" s="62">
        <f>SUM(BC39:BC51)</f>
        <v>378005707322</v>
      </c>
      <c r="BD52" s="62"/>
      <c r="BE52" s="62"/>
      <c r="BF52" s="62">
        <f>SUM(BF39:BF51)</f>
        <v>245517874780</v>
      </c>
    </row>
    <row r="53" spans="2:60" ht="12.65" customHeight="1">
      <c r="B53" s="66"/>
      <c r="C53" s="67"/>
      <c r="E53" s="64" t="s">
        <v>40</v>
      </c>
      <c r="F53" s="64"/>
      <c r="G53" s="64"/>
      <c r="H53" s="64"/>
      <c r="I53" s="64" t="s">
        <v>40</v>
      </c>
      <c r="J53" s="64"/>
      <c r="K53" s="64"/>
      <c r="L53" s="64" t="s">
        <v>40</v>
      </c>
      <c r="M53" s="64"/>
      <c r="N53" s="64"/>
      <c r="O53" s="64" t="s">
        <v>40</v>
      </c>
      <c r="P53" s="64"/>
      <c r="Q53" s="64"/>
      <c r="R53" s="64" t="s">
        <v>40</v>
      </c>
      <c r="S53" s="64"/>
      <c r="T53" s="64"/>
      <c r="U53" s="64" t="s">
        <v>40</v>
      </c>
      <c r="V53" s="64"/>
      <c r="W53" s="64"/>
      <c r="X53" s="64"/>
      <c r="Y53" s="64"/>
      <c r="Z53" s="64"/>
      <c r="AA53" s="64"/>
      <c r="AB53" s="64" t="s">
        <v>40</v>
      </c>
      <c r="AC53" s="64"/>
      <c r="AD53" s="64"/>
      <c r="AE53" s="64" t="s">
        <v>40</v>
      </c>
      <c r="AG53" s="64" t="s">
        <v>40</v>
      </c>
      <c r="AH53" s="64"/>
      <c r="AI53" s="64"/>
      <c r="AJ53" s="64"/>
      <c r="AK53" s="64" t="s">
        <v>40</v>
      </c>
      <c r="AL53" s="64"/>
      <c r="AM53" s="64"/>
      <c r="AN53" s="64" t="s">
        <v>40</v>
      </c>
      <c r="AO53" s="64"/>
      <c r="AP53" s="64"/>
      <c r="AQ53" s="64" t="s">
        <v>40</v>
      </c>
      <c r="AR53" s="64"/>
      <c r="AS53" s="64"/>
      <c r="AT53" s="64" t="s">
        <v>40</v>
      </c>
      <c r="AU53" s="64"/>
      <c r="AV53" s="64"/>
      <c r="AW53" s="64" t="s">
        <v>40</v>
      </c>
      <c r="AX53" s="64"/>
      <c r="AY53" s="64"/>
      <c r="AZ53" s="64"/>
      <c r="BA53" s="64"/>
      <c r="BB53" s="64"/>
      <c r="BC53" s="64" t="s">
        <v>40</v>
      </c>
      <c r="BD53" s="64"/>
      <c r="BE53" s="64"/>
      <c r="BF53" s="64" t="s">
        <v>40</v>
      </c>
    </row>
    <row r="54" spans="2:60" s="40" customFormat="1" ht="13">
      <c r="B54" s="60" t="s">
        <v>53</v>
      </c>
      <c r="C54" s="61"/>
      <c r="E54" s="62">
        <f>E37+E52</f>
        <v>1001518695456.5</v>
      </c>
      <c r="F54" s="62"/>
      <c r="G54" s="62"/>
      <c r="H54" s="62">
        <f>H37+H52</f>
        <v>1001518695456.5</v>
      </c>
      <c r="I54" s="62">
        <f>I37+I52</f>
        <v>431970378147</v>
      </c>
      <c r="J54" s="62"/>
      <c r="K54" s="62">
        <f>K37+K52</f>
        <v>431970378147</v>
      </c>
      <c r="L54" s="62">
        <f>L37+L52</f>
        <v>13412130535</v>
      </c>
      <c r="M54" s="62"/>
      <c r="N54" s="62">
        <f>N37+N52</f>
        <v>13412130535</v>
      </c>
      <c r="O54" s="62">
        <f>O37+O52</f>
        <v>56113031103</v>
      </c>
      <c r="P54" s="62"/>
      <c r="Q54" s="62">
        <f>Q37+Q52</f>
        <v>56113031103</v>
      </c>
      <c r="R54" s="62">
        <f>R37+R52</f>
        <v>166319589162</v>
      </c>
      <c r="S54" s="62"/>
      <c r="T54" s="62">
        <f>T37+T52</f>
        <v>166319589162</v>
      </c>
      <c r="U54" s="62">
        <f>U37+U52</f>
        <v>0</v>
      </c>
      <c r="V54" s="62"/>
      <c r="W54" s="62">
        <f>W37+W52</f>
        <v>0</v>
      </c>
      <c r="X54" s="62"/>
      <c r="Y54" s="62"/>
      <c r="Z54" s="62"/>
      <c r="AA54" s="62"/>
      <c r="AB54" s="62">
        <f>AB37+AB52</f>
        <v>1614328059896.8701</v>
      </c>
      <c r="AC54" s="62"/>
      <c r="AD54" s="62"/>
      <c r="AE54" s="62">
        <f>AE37+AE52</f>
        <v>747082764274</v>
      </c>
      <c r="AG54" s="62">
        <f>AG37+AG52</f>
        <v>309605317911.90002</v>
      </c>
      <c r="AH54" s="62"/>
      <c r="AI54" s="62"/>
      <c r="AJ54" s="62">
        <f>AJ37+AJ52</f>
        <v>309605317911.90002</v>
      </c>
      <c r="AK54" s="62">
        <f>AK37+AK52</f>
        <v>378338583200</v>
      </c>
      <c r="AL54" s="62"/>
      <c r="AM54" s="62">
        <f>AM37+AM52</f>
        <v>378338583200</v>
      </c>
      <c r="AN54" s="62">
        <f>AN37+AN52</f>
        <v>1376935827.75</v>
      </c>
      <c r="AO54" s="62"/>
      <c r="AP54" s="62">
        <f>AP37+AP52</f>
        <v>1376935827.75</v>
      </c>
      <c r="AQ54" s="62">
        <f>AQ37+AQ52</f>
        <v>14097506977</v>
      </c>
      <c r="AR54" s="62"/>
      <c r="AS54" s="62">
        <f>AS37+AS52</f>
        <v>14097506977</v>
      </c>
      <c r="AT54" s="62">
        <f>AT37+AT52</f>
        <v>117546275342.63901</v>
      </c>
      <c r="AU54" s="62"/>
      <c r="AV54" s="62">
        <f>AV37+AV52</f>
        <v>117546275342.63901</v>
      </c>
      <c r="AW54" s="62">
        <f>AW37+AW52</f>
        <v>0</v>
      </c>
      <c r="AX54" s="62"/>
      <c r="AY54" s="62">
        <f>AY37+AY52</f>
        <v>0</v>
      </c>
      <c r="AZ54" s="62"/>
      <c r="BA54" s="62"/>
      <c r="BB54" s="62"/>
      <c r="BC54" s="62">
        <f>BC37+BC52</f>
        <v>823058339155</v>
      </c>
      <c r="BD54" s="62"/>
      <c r="BE54" s="62"/>
      <c r="BF54" s="62">
        <f>BF37+BF52</f>
        <v>653688916174</v>
      </c>
    </row>
    <row r="55" spans="2:60" ht="13">
      <c r="B55" s="47"/>
      <c r="C55" s="48"/>
      <c r="E55" s="64" t="s">
        <v>40</v>
      </c>
      <c r="F55" s="64"/>
      <c r="G55" s="64"/>
      <c r="H55" s="64"/>
      <c r="I55" s="64" t="s">
        <v>40</v>
      </c>
      <c r="J55" s="64"/>
      <c r="K55" s="64"/>
      <c r="L55" s="64" t="s">
        <v>40</v>
      </c>
      <c r="M55" s="64"/>
      <c r="N55" s="64"/>
      <c r="O55" s="64" t="s">
        <v>40</v>
      </c>
      <c r="P55" s="64"/>
      <c r="Q55" s="64"/>
      <c r="R55" s="64" t="s">
        <v>40</v>
      </c>
      <c r="S55" s="64"/>
      <c r="T55" s="64"/>
      <c r="U55" s="64" t="s">
        <v>40</v>
      </c>
      <c r="V55" s="64"/>
      <c r="W55" s="64"/>
      <c r="X55" s="64"/>
      <c r="Y55" s="64"/>
      <c r="Z55" s="64"/>
      <c r="AA55" s="64"/>
      <c r="AB55" s="64" t="s">
        <v>40</v>
      </c>
      <c r="AC55" s="64"/>
      <c r="AD55" s="64"/>
      <c r="AE55" s="64"/>
      <c r="AG55" s="64" t="s">
        <v>40</v>
      </c>
      <c r="AH55" s="64"/>
      <c r="AI55" s="64"/>
      <c r="AJ55" s="64"/>
      <c r="AK55" s="64" t="s">
        <v>40</v>
      </c>
      <c r="AL55" s="64"/>
      <c r="AM55" s="64"/>
      <c r="AN55" s="64" t="s">
        <v>40</v>
      </c>
      <c r="AO55" s="64"/>
      <c r="AP55" s="64"/>
      <c r="AQ55" s="64" t="s">
        <v>40</v>
      </c>
      <c r="AR55" s="64"/>
      <c r="AS55" s="64"/>
      <c r="AT55" s="64" t="s">
        <v>40</v>
      </c>
      <c r="AU55" s="64"/>
      <c r="AV55" s="64"/>
      <c r="AW55" s="64" t="s">
        <v>40</v>
      </c>
      <c r="AX55" s="64"/>
      <c r="AY55" s="64"/>
      <c r="AZ55" s="64"/>
      <c r="BA55" s="64"/>
      <c r="BB55" s="64"/>
      <c r="BC55" s="64" t="s">
        <v>40</v>
      </c>
      <c r="BD55" s="64"/>
      <c r="BE55" s="64"/>
      <c r="BF55" s="64"/>
    </row>
    <row r="56" spans="2:60" ht="13">
      <c r="B56" s="51" t="s">
        <v>54</v>
      </c>
      <c r="C56" s="52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</row>
    <row r="57" spans="2:60" ht="13">
      <c r="B57" s="53" t="s">
        <v>55</v>
      </c>
      <c r="C57" s="52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</row>
    <row r="58" spans="2:60">
      <c r="B58" s="54" t="s">
        <v>56</v>
      </c>
      <c r="C58" s="52"/>
      <c r="E58" s="49">
        <v>-23477724917</v>
      </c>
      <c r="F58" s="49"/>
      <c r="G58" s="49"/>
      <c r="H58" s="49">
        <v>-23477724917</v>
      </c>
      <c r="I58" s="49">
        <f>-15716362212-78750000000</f>
        <v>-94466362212</v>
      </c>
      <c r="J58" s="49"/>
      <c r="K58" s="49">
        <f>SUM(I58:J58)</f>
        <v>-94466362212</v>
      </c>
      <c r="L58" s="49">
        <v>0</v>
      </c>
      <c r="M58" s="49"/>
      <c r="N58" s="49">
        <v>0</v>
      </c>
      <c r="O58" s="49">
        <v>0</v>
      </c>
      <c r="P58" s="49"/>
      <c r="Q58" s="49">
        <v>0</v>
      </c>
      <c r="R58" s="49">
        <v>-23497929999</v>
      </c>
      <c r="S58" s="49"/>
      <c r="T58" s="49">
        <v>-23497929999</v>
      </c>
      <c r="U58" s="49">
        <v>0</v>
      </c>
      <c r="V58" s="49"/>
      <c r="W58" s="49">
        <v>0</v>
      </c>
      <c r="X58" s="49"/>
      <c r="Y58" s="49"/>
      <c r="Z58" s="49"/>
      <c r="AA58" s="49"/>
      <c r="AB58" s="49">
        <f t="shared" ref="AB58:AB76" si="13">SUM(H58,K58,X58,Y58,Z58:AA58,N58,Q58,T58,W58)</f>
        <v>-141442017128</v>
      </c>
      <c r="AC58" s="49"/>
      <c r="AD58" s="49"/>
      <c r="AE58" s="49">
        <f t="shared" ref="AE58:AE76" si="14">ROUND(SUM(AB58:AD58),0)</f>
        <v>-141442017128</v>
      </c>
      <c r="AG58" s="49">
        <v>-11025000000</v>
      </c>
      <c r="AH58" s="49"/>
      <c r="AI58" s="49"/>
      <c r="AJ58" s="49">
        <v>-11025000000</v>
      </c>
      <c r="AK58" s="49">
        <f>-15523844204-16647530688</f>
        <v>-32171374892</v>
      </c>
      <c r="AL58" s="49"/>
      <c r="AM58" s="49">
        <v>-32171374892</v>
      </c>
      <c r="AN58" s="49">
        <v>0</v>
      </c>
      <c r="AO58" s="49"/>
      <c r="AP58" s="49">
        <v>0</v>
      </c>
      <c r="AQ58" s="49">
        <v>0</v>
      </c>
      <c r="AR58" s="49"/>
      <c r="AS58" s="49">
        <v>0</v>
      </c>
      <c r="AT58" s="49">
        <v>0</v>
      </c>
      <c r="AU58" s="49"/>
      <c r="AV58" s="49">
        <v>0</v>
      </c>
      <c r="AW58" s="49">
        <v>0</v>
      </c>
      <c r="AX58" s="49"/>
      <c r="AY58" s="49">
        <v>0</v>
      </c>
      <c r="AZ58" s="49"/>
      <c r="BA58" s="49"/>
      <c r="BB58" s="49"/>
      <c r="BC58" s="49">
        <f t="shared" ref="BC58:BC76" si="15">ROUND(SUM(AJ58,AM58,AP58,AS58,AV58,AY58,AZ58),0)</f>
        <v>-43196374892</v>
      </c>
      <c r="BD58" s="49"/>
      <c r="BE58" s="49"/>
      <c r="BF58" s="49">
        <f t="shared" ref="BF58:BF76" si="16">ROUND(SUM(BC58:BE58),0)</f>
        <v>-43196374892</v>
      </c>
      <c r="BH58" s="27" t="s">
        <v>959</v>
      </c>
    </row>
    <row r="59" spans="2:60">
      <c r="B59" s="54" t="s">
        <v>57</v>
      </c>
      <c r="C59" s="52"/>
      <c r="E59" s="68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</row>
    <row r="60" spans="2:60">
      <c r="B60" s="56" t="s">
        <v>58</v>
      </c>
      <c r="C60" s="52"/>
      <c r="E60" s="49">
        <v>-8540007944</v>
      </c>
      <c r="F60" s="49"/>
      <c r="G60" s="49"/>
      <c r="H60" s="49">
        <v>-8540007944</v>
      </c>
      <c r="I60" s="49">
        <v>-23842772056</v>
      </c>
      <c r="J60" s="49"/>
      <c r="K60" s="49">
        <v>-23842772056</v>
      </c>
      <c r="L60" s="49">
        <v>-1306072821</v>
      </c>
      <c r="M60" s="49"/>
      <c r="N60" s="49">
        <v>-1306072821</v>
      </c>
      <c r="O60" s="49">
        <v>-10488095</v>
      </c>
      <c r="P60" s="49"/>
      <c r="Q60" s="49">
        <v>-10488095</v>
      </c>
      <c r="R60" s="49">
        <v>-14056983157</v>
      </c>
      <c r="S60" s="49"/>
      <c r="T60" s="49">
        <v>-14056983157</v>
      </c>
      <c r="U60" s="49">
        <v>0</v>
      </c>
      <c r="V60" s="49"/>
      <c r="W60" s="49">
        <v>0</v>
      </c>
      <c r="X60" s="49"/>
      <c r="Y60" s="49"/>
      <c r="Z60" s="49"/>
      <c r="AA60" s="49"/>
      <c r="AB60" s="49">
        <f t="shared" si="13"/>
        <v>-47756324073</v>
      </c>
      <c r="AC60" s="49"/>
      <c r="AD60" s="49"/>
      <c r="AE60" s="49">
        <f t="shared" si="14"/>
        <v>-47756324073</v>
      </c>
      <c r="AG60" s="49">
        <v>-20939555138</v>
      </c>
      <c r="AH60" s="49"/>
      <c r="AI60" s="49"/>
      <c r="AJ60" s="49">
        <v>-20939555138</v>
      </c>
      <c r="AK60" s="49">
        <v>-14460551044</v>
      </c>
      <c r="AL60" s="49"/>
      <c r="AM60" s="49">
        <v>-14460551044</v>
      </c>
      <c r="AN60" s="49">
        <v>0</v>
      </c>
      <c r="AO60" s="49"/>
      <c r="AP60" s="49">
        <v>0</v>
      </c>
      <c r="AQ60" s="49">
        <v>0</v>
      </c>
      <c r="AR60" s="49"/>
      <c r="AS60" s="49">
        <v>0</v>
      </c>
      <c r="AT60" s="49">
        <v>-233893563.11000001</v>
      </c>
      <c r="AU60" s="49"/>
      <c r="AV60" s="49">
        <v>-233893563.11000001</v>
      </c>
      <c r="AW60" s="49">
        <v>0</v>
      </c>
      <c r="AX60" s="49"/>
      <c r="AY60" s="49">
        <v>0</v>
      </c>
      <c r="AZ60" s="49"/>
      <c r="BA60" s="49"/>
      <c r="BB60" s="49"/>
      <c r="BC60" s="49">
        <f t="shared" si="15"/>
        <v>-35633999745</v>
      </c>
      <c r="BD60" s="49"/>
      <c r="BE60" s="49"/>
      <c r="BF60" s="49">
        <f t="shared" si="16"/>
        <v>-35633999745</v>
      </c>
      <c r="BH60" s="27" t="s">
        <v>959</v>
      </c>
    </row>
    <row r="61" spans="2:60">
      <c r="B61" s="56" t="s">
        <v>59</v>
      </c>
      <c r="C61" s="52"/>
      <c r="E61" s="49">
        <v>-16677146926</v>
      </c>
      <c r="F61" s="49"/>
      <c r="G61" s="49"/>
      <c r="H61" s="49">
        <v>-16677146926</v>
      </c>
      <c r="I61" s="49">
        <v>0</v>
      </c>
      <c r="J61" s="49"/>
      <c r="K61" s="49">
        <v>0</v>
      </c>
      <c r="L61" s="49">
        <v>0</v>
      </c>
      <c r="M61" s="49"/>
      <c r="N61" s="49">
        <v>0</v>
      </c>
      <c r="O61" s="49">
        <v>-64992375</v>
      </c>
      <c r="P61" s="49"/>
      <c r="Q61" s="49">
        <v>-64992375</v>
      </c>
      <c r="R61" s="49">
        <v>-757589512</v>
      </c>
      <c r="S61" s="49"/>
      <c r="T61" s="49">
        <v>-757589512</v>
      </c>
      <c r="U61" s="49">
        <v>0</v>
      </c>
      <c r="V61" s="49"/>
      <c r="W61" s="49">
        <v>0</v>
      </c>
      <c r="X61" s="49"/>
      <c r="Y61" s="49"/>
      <c r="Z61" s="49"/>
      <c r="AA61" s="49"/>
      <c r="AB61" s="49">
        <f t="shared" si="13"/>
        <v>-17499728813</v>
      </c>
      <c r="AC61" s="49">
        <f>SUM('Elimination 23'!G58)+SUM('Elimination 23'!G68:G69)+'Elimination 23'!G78</f>
        <v>16724757163.636618</v>
      </c>
      <c r="AD61" s="69"/>
      <c r="AE61" s="49">
        <f t="shared" si="14"/>
        <v>-774971649</v>
      </c>
      <c r="AG61" s="49">
        <v>-1417500000</v>
      </c>
      <c r="AH61" s="49"/>
      <c r="AI61" s="49"/>
      <c r="AJ61" s="49">
        <v>-1417500000</v>
      </c>
      <c r="AK61" s="49">
        <v>0</v>
      </c>
      <c r="AL61" s="49"/>
      <c r="AM61" s="49">
        <v>0</v>
      </c>
      <c r="AN61" s="49">
        <v>-1575000</v>
      </c>
      <c r="AO61" s="49"/>
      <c r="AP61" s="49">
        <v>-1575000</v>
      </c>
      <c r="AQ61" s="49">
        <v>0</v>
      </c>
      <c r="AR61" s="49"/>
      <c r="AS61" s="49">
        <v>0</v>
      </c>
      <c r="AT61" s="49">
        <v>0</v>
      </c>
      <c r="AU61" s="49"/>
      <c r="AV61" s="49">
        <v>0</v>
      </c>
      <c r="AW61" s="49">
        <v>0</v>
      </c>
      <c r="AX61" s="49"/>
      <c r="AY61" s="49">
        <v>0</v>
      </c>
      <c r="AZ61" s="49"/>
      <c r="BA61" s="49"/>
      <c r="BB61" s="49"/>
      <c r="BC61" s="49">
        <f t="shared" si="15"/>
        <v>-1419075000</v>
      </c>
      <c r="BD61" s="49">
        <f>SUM('Elimination 22'!G62,'Elimination 22'!G64)</f>
        <v>1419075000</v>
      </c>
      <c r="BE61" s="49"/>
      <c r="BF61" s="49">
        <f t="shared" si="16"/>
        <v>0</v>
      </c>
    </row>
    <row r="62" spans="2:60">
      <c r="B62" s="54" t="s">
        <v>60</v>
      </c>
      <c r="C62" s="52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</row>
    <row r="63" spans="2:60">
      <c r="B63" s="56" t="s">
        <v>61</v>
      </c>
      <c r="C63" s="52"/>
      <c r="E63" s="49">
        <v>-25805117827</v>
      </c>
      <c r="F63" s="49"/>
      <c r="G63" s="49"/>
      <c r="H63" s="49">
        <v>-25805117827</v>
      </c>
      <c r="I63" s="49">
        <v>-31584211682</v>
      </c>
      <c r="J63" s="49">
        <v>0</v>
      </c>
      <c r="K63" s="49">
        <v>-31584211682</v>
      </c>
      <c r="L63" s="49">
        <v>0</v>
      </c>
      <c r="M63" s="49">
        <v>0</v>
      </c>
      <c r="N63" s="49">
        <v>0</v>
      </c>
      <c r="O63" s="49">
        <v>-343035000</v>
      </c>
      <c r="P63" s="49"/>
      <c r="Q63" s="49">
        <v>-343035000</v>
      </c>
      <c r="R63" s="49">
        <v>-1691165332.0325799</v>
      </c>
      <c r="S63" s="49">
        <v>0</v>
      </c>
      <c r="T63" s="49">
        <v>-1691165332.0325799</v>
      </c>
      <c r="U63" s="49">
        <v>0</v>
      </c>
      <c r="V63" s="49"/>
      <c r="W63" s="49">
        <v>0</v>
      </c>
      <c r="X63" s="49"/>
      <c r="Y63" s="49"/>
      <c r="Z63" s="49"/>
      <c r="AA63" s="49"/>
      <c r="AB63" s="49">
        <f t="shared" si="13"/>
        <v>-59423529841.032578</v>
      </c>
      <c r="AC63" s="49"/>
      <c r="AD63" s="49"/>
      <c r="AE63" s="49">
        <f t="shared" si="14"/>
        <v>-59423529841</v>
      </c>
      <c r="AG63" s="49">
        <v>-44636984121</v>
      </c>
      <c r="AH63" s="49"/>
      <c r="AI63" s="49"/>
      <c r="AJ63" s="49">
        <v>-44636984121</v>
      </c>
      <c r="AK63" s="49">
        <v>-37320309073</v>
      </c>
      <c r="AL63" s="49"/>
      <c r="AM63" s="49">
        <v>-37320309073</v>
      </c>
      <c r="AN63" s="49">
        <v>-1634162818.05</v>
      </c>
      <c r="AO63" s="49"/>
      <c r="AP63" s="49">
        <v>-1634162818.05</v>
      </c>
      <c r="AQ63" s="49">
        <v>-44887500</v>
      </c>
      <c r="AR63" s="49"/>
      <c r="AS63" s="49">
        <v>-44887500</v>
      </c>
      <c r="AT63" s="49">
        <v>-21262500</v>
      </c>
      <c r="AU63" s="49"/>
      <c r="AV63" s="49">
        <v>-21262500</v>
      </c>
      <c r="AW63" s="49">
        <v>0</v>
      </c>
      <c r="AX63" s="49"/>
      <c r="AY63" s="49">
        <v>0</v>
      </c>
      <c r="AZ63" s="49"/>
      <c r="BA63" s="49"/>
      <c r="BB63" s="49"/>
      <c r="BC63" s="49">
        <f t="shared" si="15"/>
        <v>-83657606012</v>
      </c>
      <c r="BD63" s="49">
        <v>0</v>
      </c>
      <c r="BE63" s="49"/>
      <c r="BF63" s="49">
        <f t="shared" si="16"/>
        <v>-83657606012</v>
      </c>
      <c r="BH63" s="27" t="s">
        <v>959</v>
      </c>
    </row>
    <row r="64" spans="2:60">
      <c r="B64" s="56" t="s">
        <v>62</v>
      </c>
      <c r="C64" s="52"/>
      <c r="E64" s="49">
        <v>0</v>
      </c>
      <c r="F64" s="49"/>
      <c r="G64" s="49"/>
      <c r="H64" s="49">
        <v>0</v>
      </c>
      <c r="I64" s="49">
        <v>0</v>
      </c>
      <c r="J64" s="49"/>
      <c r="K64" s="49">
        <v>0</v>
      </c>
      <c r="L64" s="49">
        <v>0</v>
      </c>
      <c r="M64" s="49"/>
      <c r="N64" s="49">
        <v>0</v>
      </c>
      <c r="O64" s="49">
        <v>0</v>
      </c>
      <c r="P64" s="49"/>
      <c r="Q64" s="49">
        <v>0</v>
      </c>
      <c r="R64" s="49">
        <v>-8417149098.9674196</v>
      </c>
      <c r="S64" s="49"/>
      <c r="T64" s="49">
        <v>-8417149098.9674196</v>
      </c>
      <c r="U64" s="49">
        <v>0</v>
      </c>
      <c r="V64" s="49"/>
      <c r="W64" s="49">
        <v>0</v>
      </c>
      <c r="X64" s="49"/>
      <c r="Y64" s="49"/>
      <c r="Z64" s="49"/>
      <c r="AA64" s="49"/>
      <c r="AB64" s="49">
        <f t="shared" si="13"/>
        <v>-8417149098.9674196</v>
      </c>
      <c r="AC64" s="49">
        <f>'Elimination 23'!G88</f>
        <v>8417149098.75</v>
      </c>
      <c r="AD64" s="49"/>
      <c r="AE64" s="49">
        <f t="shared" si="14"/>
        <v>0</v>
      </c>
      <c r="AG64" s="49">
        <v>0</v>
      </c>
      <c r="AH64" s="49"/>
      <c r="AI64" s="49"/>
      <c r="AJ64" s="49">
        <v>0</v>
      </c>
      <c r="AK64" s="49">
        <v>0</v>
      </c>
      <c r="AL64" s="49"/>
      <c r="AM64" s="49">
        <v>0</v>
      </c>
      <c r="AN64" s="49">
        <v>0</v>
      </c>
      <c r="AO64" s="49"/>
      <c r="AP64" s="49">
        <v>0</v>
      </c>
      <c r="AQ64" s="49">
        <v>0</v>
      </c>
      <c r="AR64" s="49"/>
      <c r="AS64" s="49">
        <v>0</v>
      </c>
      <c r="AT64" s="49">
        <v>-1798008334</v>
      </c>
      <c r="AU64" s="49"/>
      <c r="AV64" s="49">
        <v>-1798008334</v>
      </c>
      <c r="AW64" s="49">
        <v>0</v>
      </c>
      <c r="AX64" s="49"/>
      <c r="AY64" s="49">
        <v>0</v>
      </c>
      <c r="AZ64" s="49"/>
      <c r="BA64" s="49"/>
      <c r="BB64" s="49"/>
      <c r="BC64" s="49">
        <f t="shared" si="15"/>
        <v>-1798008334</v>
      </c>
      <c r="BD64" s="49">
        <f>'Elimination 22'!G71</f>
        <v>1798008334</v>
      </c>
      <c r="BE64" s="49"/>
      <c r="BF64" s="49">
        <f t="shared" si="16"/>
        <v>0</v>
      </c>
    </row>
    <row r="65" spans="2:60">
      <c r="B65" s="54" t="s">
        <v>63</v>
      </c>
      <c r="C65" s="52"/>
      <c r="E65" s="49">
        <v>-3998598175</v>
      </c>
      <c r="F65" s="49"/>
      <c r="G65" s="49"/>
      <c r="H65" s="49">
        <v>-3998598175</v>
      </c>
      <c r="I65" s="49">
        <v>0</v>
      </c>
      <c r="J65" s="49"/>
      <c r="K65" s="49">
        <v>0</v>
      </c>
      <c r="L65" s="49">
        <v>0</v>
      </c>
      <c r="M65" s="49"/>
      <c r="N65" s="49">
        <v>0</v>
      </c>
      <c r="O65" s="49">
        <v>0</v>
      </c>
      <c r="P65" s="49"/>
      <c r="Q65" s="49">
        <v>0</v>
      </c>
      <c r="R65" s="49">
        <v>0</v>
      </c>
      <c r="S65" s="49"/>
      <c r="T65" s="49">
        <v>0</v>
      </c>
      <c r="U65" s="49">
        <v>0</v>
      </c>
      <c r="V65" s="49"/>
      <c r="W65" s="49">
        <v>0</v>
      </c>
      <c r="X65" s="49"/>
      <c r="Y65" s="49"/>
      <c r="Z65" s="49"/>
      <c r="AA65" s="49"/>
      <c r="AB65" s="49">
        <f t="shared" si="13"/>
        <v>-3998598175</v>
      </c>
      <c r="AC65" s="49"/>
      <c r="AD65" s="49"/>
      <c r="AE65" s="49">
        <f t="shared" si="14"/>
        <v>-3998598175</v>
      </c>
      <c r="AG65" s="49">
        <v>-6108774604</v>
      </c>
      <c r="AH65" s="49"/>
      <c r="AI65" s="49"/>
      <c r="AJ65" s="49">
        <v>-6108774604</v>
      </c>
      <c r="AK65" s="49">
        <v>0</v>
      </c>
      <c r="AL65" s="49"/>
      <c r="AM65" s="49">
        <v>0</v>
      </c>
      <c r="AN65" s="49">
        <v>0</v>
      </c>
      <c r="AO65" s="49"/>
      <c r="AP65" s="49">
        <v>0</v>
      </c>
      <c r="AQ65" s="49">
        <v>0</v>
      </c>
      <c r="AR65" s="49"/>
      <c r="AS65" s="49">
        <v>0</v>
      </c>
      <c r="AT65" s="49">
        <v>0</v>
      </c>
      <c r="AU65" s="49"/>
      <c r="AV65" s="49">
        <v>0</v>
      </c>
      <c r="AW65" s="49">
        <v>0</v>
      </c>
      <c r="AX65" s="49"/>
      <c r="AY65" s="49">
        <v>0</v>
      </c>
      <c r="AZ65" s="49"/>
      <c r="BA65" s="49"/>
      <c r="BB65" s="49"/>
      <c r="BC65" s="49">
        <f t="shared" si="15"/>
        <v>-6108774604</v>
      </c>
      <c r="BD65" s="49"/>
      <c r="BE65" s="49"/>
      <c r="BF65" s="49">
        <f t="shared" si="16"/>
        <v>-6108774604</v>
      </c>
      <c r="BH65" s="27" t="s">
        <v>959</v>
      </c>
    </row>
    <row r="66" spans="2:60">
      <c r="B66" s="54" t="s">
        <v>64</v>
      </c>
      <c r="C66" s="52"/>
      <c r="E66" s="49">
        <v>-2190985816</v>
      </c>
      <c r="F66" s="49"/>
      <c r="G66" s="49"/>
      <c r="H66" s="49">
        <v>-2190985816</v>
      </c>
      <c r="I66" s="49">
        <v>-2647943596</v>
      </c>
      <c r="J66" s="49"/>
      <c r="K66" s="49">
        <v>-2647943596</v>
      </c>
      <c r="L66" s="49">
        <v>-210271714</v>
      </c>
      <c r="M66" s="49"/>
      <c r="N66" s="49">
        <v>-210271714</v>
      </c>
      <c r="O66" s="49">
        <v>-25876398</v>
      </c>
      <c r="P66" s="49"/>
      <c r="Q66" s="49">
        <v>-25876398</v>
      </c>
      <c r="R66" s="49">
        <v>-409166550</v>
      </c>
      <c r="S66" s="49"/>
      <c r="T66" s="49">
        <v>-409166550</v>
      </c>
      <c r="U66" s="49">
        <v>0</v>
      </c>
      <c r="V66" s="49"/>
      <c r="W66" s="49">
        <v>0</v>
      </c>
      <c r="X66" s="49"/>
      <c r="Y66" s="49"/>
      <c r="Z66" s="49"/>
      <c r="AA66" s="49"/>
      <c r="AB66" s="49">
        <f t="shared" si="13"/>
        <v>-5484244074</v>
      </c>
      <c r="AC66" s="49"/>
      <c r="AD66" s="49"/>
      <c r="AE66" s="49">
        <f t="shared" si="14"/>
        <v>-5484244074</v>
      </c>
      <c r="AG66" s="49">
        <v>-3966836088</v>
      </c>
      <c r="AH66" s="49"/>
      <c r="AI66" s="49"/>
      <c r="AJ66" s="49">
        <v>-3966836088</v>
      </c>
      <c r="AK66" s="49">
        <v>-4240362064</v>
      </c>
      <c r="AL66" s="49"/>
      <c r="AM66" s="49">
        <v>-4240362064</v>
      </c>
      <c r="AN66" s="49">
        <v>-191827.125</v>
      </c>
      <c r="AO66" s="49"/>
      <c r="AP66" s="49">
        <v>-191827.125</v>
      </c>
      <c r="AQ66" s="49">
        <v>-18811869</v>
      </c>
      <c r="AR66" s="49"/>
      <c r="AS66" s="49">
        <v>-18811869</v>
      </c>
      <c r="AT66" s="49">
        <v>-548830624</v>
      </c>
      <c r="AU66" s="49"/>
      <c r="AV66" s="49">
        <v>-548830624</v>
      </c>
      <c r="AW66" s="49">
        <v>0</v>
      </c>
      <c r="AX66" s="49"/>
      <c r="AY66" s="49">
        <v>0</v>
      </c>
      <c r="AZ66" s="49"/>
      <c r="BA66" s="49"/>
      <c r="BB66" s="49"/>
      <c r="BC66" s="49">
        <f t="shared" si="15"/>
        <v>-8775032472</v>
      </c>
      <c r="BD66" s="49"/>
      <c r="BE66" s="49"/>
      <c r="BF66" s="49">
        <f t="shared" si="16"/>
        <v>-8775032472</v>
      </c>
      <c r="BH66" s="27" t="s">
        <v>959</v>
      </c>
    </row>
    <row r="67" spans="2:60">
      <c r="B67" s="54" t="s">
        <v>65</v>
      </c>
      <c r="C67" s="52"/>
      <c r="E67" s="49">
        <v>-15877040272</v>
      </c>
      <c r="F67" s="49"/>
      <c r="G67" s="49"/>
      <c r="H67" s="49">
        <v>-15877040272</v>
      </c>
      <c r="I67" s="49">
        <v>-602607420011</v>
      </c>
      <c r="J67" s="49"/>
      <c r="K67" s="49">
        <v>-602607420011</v>
      </c>
      <c r="L67" s="49">
        <v>-9187565842</v>
      </c>
      <c r="M67" s="49"/>
      <c r="N67" s="49">
        <v>-9187565842</v>
      </c>
      <c r="O67" s="49">
        <v>-38975273693</v>
      </c>
      <c r="P67" s="49">
        <v>5120912990.3293056</v>
      </c>
      <c r="Q67" s="49">
        <v>-33854360702.670692</v>
      </c>
      <c r="R67" s="49">
        <v>-40883219693</v>
      </c>
      <c r="S67" s="49"/>
      <c r="T67" s="49">
        <v>-40883219693</v>
      </c>
      <c r="U67" s="49">
        <v>0</v>
      </c>
      <c r="V67" s="49"/>
      <c r="W67" s="49">
        <v>0</v>
      </c>
      <c r="X67" s="49"/>
      <c r="Y67" s="49"/>
      <c r="Z67" s="49"/>
      <c r="AA67" s="49"/>
      <c r="AB67" s="49">
        <f t="shared" si="13"/>
        <v>-702409606520.67065</v>
      </c>
      <c r="AC67" s="49">
        <f>SUM('Elimination 23'!G60:G61)+'Elimination 23'!G70+'Elimination 23'!G79+'Elimination 23'!G81</f>
        <v>686492264023.34558</v>
      </c>
      <c r="AD67" s="49"/>
      <c r="AE67" s="49">
        <f t="shared" si="14"/>
        <v>-15917342497</v>
      </c>
      <c r="AG67" s="49">
        <v>-14058094952</v>
      </c>
      <c r="AH67" s="49"/>
      <c r="AI67" s="49"/>
      <c r="AJ67" s="49">
        <v>-14058094952</v>
      </c>
      <c r="AK67" s="49">
        <v>0</v>
      </c>
      <c r="AL67" s="49"/>
      <c r="AM67" s="49">
        <v>0</v>
      </c>
      <c r="AN67" s="49">
        <v>0</v>
      </c>
      <c r="AO67" s="49"/>
      <c r="AP67" s="49">
        <v>0</v>
      </c>
      <c r="AQ67" s="49">
        <v>-125782200</v>
      </c>
      <c r="AR67" s="49"/>
      <c r="AS67" s="49">
        <v>-125782200</v>
      </c>
      <c r="AT67" s="49">
        <v>-3050955732</v>
      </c>
      <c r="AU67" s="49"/>
      <c r="AV67" s="49">
        <v>-3050955732</v>
      </c>
      <c r="AW67" s="49">
        <v>0</v>
      </c>
      <c r="AX67" s="49"/>
      <c r="AY67" s="49">
        <v>0</v>
      </c>
      <c r="AZ67" s="49"/>
      <c r="BA67" s="49"/>
      <c r="BB67" s="49"/>
      <c r="BC67" s="49">
        <f t="shared" si="15"/>
        <v>-17234832884</v>
      </c>
      <c r="BD67" s="49">
        <f>'Elimination 22'!G69+SUM('Elimination 22'!G78:G79)+'Elimination 22'!G72</f>
        <v>25923489604.71138</v>
      </c>
      <c r="BE67" s="49">
        <f>'Elimination 22'!H87</f>
        <v>-8728958944.7613792</v>
      </c>
      <c r="BF67" s="49">
        <f t="shared" si="16"/>
        <v>-40302224</v>
      </c>
      <c r="BH67" s="27" t="s">
        <v>959</v>
      </c>
    </row>
    <row r="68" spans="2:60">
      <c r="B68" s="54" t="s">
        <v>66</v>
      </c>
      <c r="C68" s="52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</row>
    <row r="69" spans="2:60">
      <c r="B69" s="56" t="s">
        <v>67</v>
      </c>
      <c r="C69" s="52"/>
      <c r="E69" s="49">
        <v>0</v>
      </c>
      <c r="F69" s="49"/>
      <c r="G69" s="49"/>
      <c r="H69" s="49">
        <v>0</v>
      </c>
      <c r="I69" s="49">
        <v>0</v>
      </c>
      <c r="J69" s="49"/>
      <c r="K69" s="49">
        <v>0</v>
      </c>
      <c r="L69" s="49">
        <v>0</v>
      </c>
      <c r="M69" s="49"/>
      <c r="N69" s="49">
        <v>0</v>
      </c>
      <c r="O69" s="49">
        <v>0</v>
      </c>
      <c r="P69" s="49"/>
      <c r="Q69" s="49">
        <v>0</v>
      </c>
      <c r="R69" s="49">
        <v>0</v>
      </c>
      <c r="S69" s="49"/>
      <c r="T69" s="49">
        <v>0</v>
      </c>
      <c r="U69" s="49">
        <v>0</v>
      </c>
      <c r="V69" s="49"/>
      <c r="W69" s="49">
        <v>0</v>
      </c>
      <c r="X69" s="49"/>
      <c r="Y69" s="49"/>
      <c r="Z69" s="49"/>
      <c r="AA69" s="49"/>
      <c r="AB69" s="49">
        <f t="shared" si="13"/>
        <v>0</v>
      </c>
      <c r="AC69" s="49"/>
      <c r="AD69" s="49"/>
      <c r="AE69" s="49">
        <f t="shared" si="14"/>
        <v>0</v>
      </c>
      <c r="AG69" s="49">
        <v>0</v>
      </c>
      <c r="AH69" s="49"/>
      <c r="AI69" s="49"/>
      <c r="AJ69" s="49">
        <v>0</v>
      </c>
      <c r="AK69" s="49">
        <v>0</v>
      </c>
      <c r="AL69" s="49"/>
      <c r="AM69" s="49">
        <v>0</v>
      </c>
      <c r="AN69" s="49">
        <v>0</v>
      </c>
      <c r="AO69" s="49"/>
      <c r="AP69" s="49">
        <v>0</v>
      </c>
      <c r="AQ69" s="49">
        <v>0</v>
      </c>
      <c r="AR69" s="49"/>
      <c r="AS69" s="49">
        <v>0</v>
      </c>
      <c r="AT69" s="49">
        <v>0</v>
      </c>
      <c r="AU69" s="49"/>
      <c r="AV69" s="49">
        <v>0</v>
      </c>
      <c r="AW69" s="49">
        <v>0</v>
      </c>
      <c r="AX69" s="49"/>
      <c r="AY69" s="49">
        <v>0</v>
      </c>
      <c r="AZ69" s="49"/>
      <c r="BA69" s="49"/>
      <c r="BB69" s="49"/>
      <c r="BC69" s="49">
        <f t="shared" si="15"/>
        <v>0</v>
      </c>
      <c r="BD69" s="49"/>
      <c r="BE69" s="49"/>
      <c r="BF69" s="49">
        <f t="shared" ref="BF69:BF71" si="17">ROUND(SUM(BC69:BE69),0)</f>
        <v>0</v>
      </c>
    </row>
    <row r="70" spans="2:60">
      <c r="B70" s="56" t="s">
        <v>68</v>
      </c>
      <c r="C70" s="52"/>
      <c r="E70" s="49">
        <v>0</v>
      </c>
      <c r="F70" s="49"/>
      <c r="G70" s="49"/>
      <c r="H70" s="49">
        <v>0</v>
      </c>
      <c r="I70" s="49">
        <v>-17087265241</v>
      </c>
      <c r="J70" s="49"/>
      <c r="K70" s="49">
        <v>-17087265241</v>
      </c>
      <c r="L70" s="49">
        <v>-289441437</v>
      </c>
      <c r="M70" s="49"/>
      <c r="N70" s="49">
        <v>-289441437</v>
      </c>
      <c r="O70" s="49">
        <v>0</v>
      </c>
      <c r="P70" s="49">
        <v>-5120912990.3293056</v>
      </c>
      <c r="Q70" s="49">
        <v>-5120912990.3293056</v>
      </c>
      <c r="R70" s="49">
        <v>-30256823164</v>
      </c>
      <c r="S70" s="49"/>
      <c r="T70" s="49">
        <v>-30256823164</v>
      </c>
      <c r="U70" s="49">
        <v>0</v>
      </c>
      <c r="V70" s="49"/>
      <c r="W70" s="49">
        <v>0</v>
      </c>
      <c r="X70" s="49"/>
      <c r="Y70" s="49"/>
      <c r="Z70" s="49"/>
      <c r="AA70" s="49"/>
      <c r="AB70" s="49">
        <f t="shared" si="13"/>
        <v>-52754442832.329308</v>
      </c>
      <c r="AC70" s="49">
        <f>'Elimination 23'!G80+'Elimination 23'!G59</f>
        <v>47344088405.25</v>
      </c>
      <c r="AD70" s="49"/>
      <c r="AE70" s="49">
        <f t="shared" si="14"/>
        <v>-5410354427</v>
      </c>
      <c r="AG70" s="49">
        <v>0</v>
      </c>
      <c r="AH70" s="49"/>
      <c r="AI70" s="49"/>
      <c r="AJ70" s="49">
        <v>0</v>
      </c>
      <c r="AK70" s="49">
        <v>-16469976445</v>
      </c>
      <c r="AL70" s="49"/>
      <c r="AM70" s="49">
        <v>-16469976445</v>
      </c>
      <c r="AN70" s="49">
        <v>0</v>
      </c>
      <c r="AO70" s="49"/>
      <c r="AP70" s="49">
        <v>0</v>
      </c>
      <c r="AQ70" s="49">
        <v>0</v>
      </c>
      <c r="AR70" s="49"/>
      <c r="AS70" s="49">
        <v>0</v>
      </c>
      <c r="AT70" s="49">
        <v>0</v>
      </c>
      <c r="AU70" s="49"/>
      <c r="AV70" s="49">
        <v>0</v>
      </c>
      <c r="AW70" s="49">
        <v>0</v>
      </c>
      <c r="AX70" s="49"/>
      <c r="AY70" s="49">
        <v>0</v>
      </c>
      <c r="AZ70" s="49"/>
      <c r="BA70" s="49"/>
      <c r="BB70" s="49"/>
      <c r="BC70" s="49">
        <f t="shared" si="15"/>
        <v>-16469976445</v>
      </c>
      <c r="BD70" s="465">
        <f>'Elimination 22'!G63</f>
        <v>16469976445</v>
      </c>
      <c r="BE70" s="49"/>
      <c r="BF70" s="49">
        <f t="shared" si="17"/>
        <v>0</v>
      </c>
      <c r="BH70" s="27" t="s">
        <v>959</v>
      </c>
    </row>
    <row r="71" spans="2:60">
      <c r="B71" s="70" t="s">
        <v>69</v>
      </c>
      <c r="C71" s="71"/>
      <c r="E71" s="49">
        <v>0</v>
      </c>
      <c r="F71" s="49"/>
      <c r="G71" s="49"/>
      <c r="H71" s="49">
        <v>0</v>
      </c>
      <c r="I71" s="49">
        <v>0</v>
      </c>
      <c r="J71" s="49"/>
      <c r="K71" s="49">
        <v>0</v>
      </c>
      <c r="L71" s="49">
        <v>0</v>
      </c>
      <c r="M71" s="49"/>
      <c r="N71" s="49">
        <v>0</v>
      </c>
      <c r="O71" s="49">
        <v>0</v>
      </c>
      <c r="P71" s="49"/>
      <c r="Q71" s="49">
        <v>0</v>
      </c>
      <c r="R71" s="49">
        <v>0</v>
      </c>
      <c r="S71" s="49"/>
      <c r="T71" s="49">
        <v>0</v>
      </c>
      <c r="U71" s="49">
        <v>0</v>
      </c>
      <c r="V71" s="49"/>
      <c r="W71" s="49">
        <v>0</v>
      </c>
      <c r="X71" s="49"/>
      <c r="Y71" s="49"/>
      <c r="Z71" s="49"/>
      <c r="AA71" s="49"/>
      <c r="AB71" s="49">
        <f t="shared" si="13"/>
        <v>0</v>
      </c>
      <c r="AC71" s="49"/>
      <c r="AD71" s="49"/>
      <c r="AE71" s="49">
        <f t="shared" si="14"/>
        <v>0</v>
      </c>
      <c r="AG71" s="49">
        <v>0</v>
      </c>
      <c r="AH71" s="49"/>
      <c r="AI71" s="49"/>
      <c r="AJ71" s="49">
        <v>0</v>
      </c>
      <c r="AK71" s="49"/>
      <c r="AL71" s="49"/>
      <c r="AM71" s="49">
        <v>0</v>
      </c>
      <c r="AN71" s="49">
        <v>0</v>
      </c>
      <c r="AO71" s="49"/>
      <c r="AP71" s="49">
        <v>0</v>
      </c>
      <c r="AQ71" s="49">
        <v>0</v>
      </c>
      <c r="AR71" s="49"/>
      <c r="AS71" s="49">
        <v>0</v>
      </c>
      <c r="AT71" s="49">
        <v>0</v>
      </c>
      <c r="AU71" s="49"/>
      <c r="AV71" s="49">
        <v>0</v>
      </c>
      <c r="AW71" s="49">
        <v>0</v>
      </c>
      <c r="AX71" s="49"/>
      <c r="AY71" s="49">
        <v>0</v>
      </c>
      <c r="AZ71" s="49"/>
      <c r="BA71" s="49"/>
      <c r="BB71" s="49"/>
      <c r="BC71" s="49">
        <f t="shared" si="15"/>
        <v>0</v>
      </c>
      <c r="BD71" s="49"/>
      <c r="BE71" s="49"/>
      <c r="BF71" s="49">
        <f t="shared" si="17"/>
        <v>0</v>
      </c>
    </row>
    <row r="72" spans="2:60">
      <c r="B72" s="70" t="s">
        <v>71</v>
      </c>
      <c r="C72" s="71"/>
      <c r="E72" s="49">
        <v>0</v>
      </c>
      <c r="F72" s="49"/>
      <c r="G72" s="49"/>
      <c r="H72" s="49">
        <v>0</v>
      </c>
      <c r="I72" s="49">
        <v>0</v>
      </c>
      <c r="J72" s="49"/>
      <c r="K72" s="49">
        <v>0</v>
      </c>
      <c r="L72" s="49">
        <v>0</v>
      </c>
      <c r="M72" s="49"/>
      <c r="N72" s="49">
        <v>0</v>
      </c>
      <c r="O72" s="49">
        <v>0</v>
      </c>
      <c r="P72" s="49"/>
      <c r="Q72" s="49">
        <v>0</v>
      </c>
      <c r="R72" s="49">
        <v>0</v>
      </c>
      <c r="S72" s="49"/>
      <c r="T72" s="49">
        <v>0</v>
      </c>
      <c r="U72" s="49">
        <v>0</v>
      </c>
      <c r="V72" s="49"/>
      <c r="W72" s="49">
        <v>0</v>
      </c>
      <c r="X72" s="49"/>
      <c r="Y72" s="49"/>
      <c r="Z72" s="49"/>
      <c r="AA72" s="49"/>
      <c r="AB72" s="49">
        <f t="shared" si="13"/>
        <v>0</v>
      </c>
      <c r="AC72" s="49"/>
      <c r="AD72" s="49"/>
      <c r="AE72" s="49">
        <f t="shared" si="14"/>
        <v>0</v>
      </c>
      <c r="AG72" s="49">
        <v>0</v>
      </c>
      <c r="AH72" s="49"/>
      <c r="AI72" s="49"/>
      <c r="AJ72" s="49">
        <v>0</v>
      </c>
      <c r="AK72" s="49">
        <v>0</v>
      </c>
      <c r="AL72" s="49"/>
      <c r="AM72" s="49">
        <v>0</v>
      </c>
      <c r="AN72" s="49">
        <v>0</v>
      </c>
      <c r="AO72" s="49"/>
      <c r="AP72" s="49">
        <v>0</v>
      </c>
      <c r="AQ72" s="49">
        <v>0</v>
      </c>
      <c r="AR72" s="49"/>
      <c r="AS72" s="49">
        <v>0</v>
      </c>
      <c r="AT72" s="49">
        <v>0</v>
      </c>
      <c r="AU72" s="49"/>
      <c r="AV72" s="49">
        <v>0</v>
      </c>
      <c r="AW72" s="49">
        <v>0</v>
      </c>
      <c r="AX72" s="49"/>
      <c r="AY72" s="49">
        <v>0</v>
      </c>
      <c r="AZ72" s="49"/>
      <c r="BA72" s="49"/>
      <c r="BB72" s="49"/>
      <c r="BC72" s="49">
        <f t="shared" si="15"/>
        <v>0</v>
      </c>
      <c r="BD72" s="49"/>
      <c r="BE72" s="49"/>
      <c r="BF72" s="49">
        <f t="shared" si="16"/>
        <v>0</v>
      </c>
    </row>
    <row r="73" spans="2:60">
      <c r="B73" s="70" t="s">
        <v>72</v>
      </c>
      <c r="C73" s="71"/>
      <c r="E73" s="49">
        <v>0</v>
      </c>
      <c r="F73" s="49"/>
      <c r="G73" s="49"/>
      <c r="H73" s="49">
        <v>0</v>
      </c>
      <c r="I73" s="49">
        <v>0</v>
      </c>
      <c r="J73" s="49"/>
      <c r="K73" s="49">
        <v>0</v>
      </c>
      <c r="L73" s="49">
        <v>0</v>
      </c>
      <c r="M73" s="49"/>
      <c r="N73" s="49">
        <v>0</v>
      </c>
      <c r="O73" s="49">
        <v>0</v>
      </c>
      <c r="P73" s="49"/>
      <c r="Q73" s="49">
        <v>0</v>
      </c>
      <c r="R73" s="49">
        <v>0</v>
      </c>
      <c r="S73" s="49"/>
      <c r="T73" s="49">
        <v>0</v>
      </c>
      <c r="U73" s="49">
        <v>0</v>
      </c>
      <c r="V73" s="49"/>
      <c r="W73" s="49">
        <v>0</v>
      </c>
      <c r="X73" s="49"/>
      <c r="Y73" s="49"/>
      <c r="Z73" s="49"/>
      <c r="AA73" s="49"/>
      <c r="AB73" s="49">
        <f t="shared" si="13"/>
        <v>0</v>
      </c>
      <c r="AC73" s="49"/>
      <c r="AD73" s="49"/>
      <c r="AE73" s="49">
        <f t="shared" si="14"/>
        <v>0</v>
      </c>
      <c r="AG73" s="49">
        <v>0</v>
      </c>
      <c r="AH73" s="49"/>
      <c r="AI73" s="49"/>
      <c r="AJ73" s="49">
        <v>0</v>
      </c>
      <c r="AK73" s="49">
        <v>0</v>
      </c>
      <c r="AL73" s="49"/>
      <c r="AM73" s="49">
        <v>0</v>
      </c>
      <c r="AN73" s="49">
        <v>0</v>
      </c>
      <c r="AO73" s="49"/>
      <c r="AP73" s="49">
        <v>0</v>
      </c>
      <c r="AQ73" s="49">
        <v>0</v>
      </c>
      <c r="AR73" s="49"/>
      <c r="AS73" s="49">
        <v>0</v>
      </c>
      <c r="AT73" s="49">
        <v>0</v>
      </c>
      <c r="AU73" s="49"/>
      <c r="AV73" s="49">
        <v>0</v>
      </c>
      <c r="AW73" s="49">
        <v>0</v>
      </c>
      <c r="AX73" s="49"/>
      <c r="AY73" s="49">
        <v>0</v>
      </c>
      <c r="AZ73" s="49"/>
      <c r="BA73" s="49"/>
      <c r="BB73" s="49"/>
      <c r="BC73" s="49">
        <f t="shared" si="15"/>
        <v>0</v>
      </c>
      <c r="BD73" s="49"/>
      <c r="BE73" s="49"/>
      <c r="BF73" s="49">
        <f t="shared" si="16"/>
        <v>0</v>
      </c>
    </row>
    <row r="74" spans="2:60">
      <c r="B74" s="54" t="s">
        <v>164</v>
      </c>
      <c r="C74" s="52"/>
      <c r="E74" s="49">
        <v>0</v>
      </c>
      <c r="F74" s="49"/>
      <c r="G74" s="49"/>
      <c r="H74" s="49">
        <v>0</v>
      </c>
      <c r="I74" s="49">
        <v>0</v>
      </c>
      <c r="J74" s="49"/>
      <c r="K74" s="49">
        <v>0</v>
      </c>
      <c r="L74" s="49">
        <v>0</v>
      </c>
      <c r="M74" s="49"/>
      <c r="N74" s="49">
        <v>0</v>
      </c>
      <c r="O74" s="49">
        <v>0</v>
      </c>
      <c r="P74" s="49"/>
      <c r="Q74" s="49">
        <v>0</v>
      </c>
      <c r="R74" s="49">
        <v>0</v>
      </c>
      <c r="S74" s="49"/>
      <c r="T74" s="49">
        <v>0</v>
      </c>
      <c r="U74" s="49">
        <v>0</v>
      </c>
      <c r="V74" s="49"/>
      <c r="W74" s="49">
        <v>0</v>
      </c>
      <c r="X74" s="49"/>
      <c r="Y74" s="49"/>
      <c r="Z74" s="49"/>
      <c r="AA74" s="49"/>
      <c r="AB74" s="49">
        <f t="shared" si="13"/>
        <v>0</v>
      </c>
      <c r="AC74" s="49"/>
      <c r="AD74" s="49"/>
      <c r="AE74" s="49">
        <f t="shared" si="14"/>
        <v>0</v>
      </c>
      <c r="AG74" s="49">
        <v>0</v>
      </c>
      <c r="AH74" s="49"/>
      <c r="AI74" s="49"/>
      <c r="AJ74" s="49">
        <v>0</v>
      </c>
      <c r="AK74" s="49">
        <v>0</v>
      </c>
      <c r="AL74" s="49"/>
      <c r="AM74" s="49">
        <v>0</v>
      </c>
      <c r="AN74" s="49">
        <v>0</v>
      </c>
      <c r="AO74" s="49"/>
      <c r="AP74" s="49">
        <v>0</v>
      </c>
      <c r="AQ74" s="49">
        <v>0</v>
      </c>
      <c r="AR74" s="49"/>
      <c r="AS74" s="49">
        <v>0</v>
      </c>
      <c r="AT74" s="49">
        <v>0</v>
      </c>
      <c r="AU74" s="49"/>
      <c r="AV74" s="49">
        <v>0</v>
      </c>
      <c r="AW74" s="49">
        <v>0</v>
      </c>
      <c r="AX74" s="49"/>
      <c r="AY74" s="49">
        <v>0</v>
      </c>
      <c r="AZ74" s="49"/>
      <c r="BA74" s="49"/>
      <c r="BB74" s="49"/>
      <c r="BC74" s="49">
        <f t="shared" si="15"/>
        <v>0</v>
      </c>
      <c r="BD74" s="49"/>
      <c r="BE74" s="49"/>
      <c r="BF74" s="49">
        <f t="shared" si="16"/>
        <v>0</v>
      </c>
    </row>
    <row r="75" spans="2:60">
      <c r="B75" s="54" t="s">
        <v>74</v>
      </c>
      <c r="C75" s="52"/>
      <c r="E75" s="49">
        <v>0</v>
      </c>
      <c r="F75" s="49"/>
      <c r="G75" s="49"/>
      <c r="H75" s="49">
        <v>0</v>
      </c>
      <c r="I75" s="49">
        <v>-57438550502</v>
      </c>
      <c r="J75" s="49"/>
      <c r="K75" s="49">
        <v>-57438550502</v>
      </c>
      <c r="L75" s="49">
        <v>0</v>
      </c>
      <c r="M75" s="49"/>
      <c r="N75" s="49">
        <v>0</v>
      </c>
      <c r="O75" s="49">
        <v>0</v>
      </c>
      <c r="P75" s="49"/>
      <c r="Q75" s="49">
        <v>0</v>
      </c>
      <c r="R75" s="49">
        <v>0</v>
      </c>
      <c r="S75" s="49"/>
      <c r="T75" s="49">
        <v>0</v>
      </c>
      <c r="U75" s="49">
        <v>0</v>
      </c>
      <c r="V75" s="49"/>
      <c r="W75" s="49">
        <v>0</v>
      </c>
      <c r="X75" s="49"/>
      <c r="Y75" s="49"/>
      <c r="Z75" s="49"/>
      <c r="AA75" s="49"/>
      <c r="AB75" s="49">
        <f t="shared" si="13"/>
        <v>-57438550502</v>
      </c>
      <c r="AC75" s="49"/>
      <c r="AD75" s="49"/>
      <c r="AE75" s="49">
        <f t="shared" si="14"/>
        <v>-57438550502</v>
      </c>
      <c r="AG75" s="49">
        <v>0</v>
      </c>
      <c r="AH75" s="49"/>
      <c r="AI75" s="49"/>
      <c r="AJ75" s="49">
        <v>0</v>
      </c>
      <c r="AK75" s="49">
        <v>-52729712992</v>
      </c>
      <c r="AL75" s="49"/>
      <c r="AM75" s="49">
        <v>-52729712992</v>
      </c>
      <c r="AN75" s="49">
        <v>0</v>
      </c>
      <c r="AO75" s="49"/>
      <c r="AP75" s="49">
        <v>0</v>
      </c>
      <c r="AQ75" s="49">
        <v>0</v>
      </c>
      <c r="AR75" s="49"/>
      <c r="AS75" s="49">
        <v>0</v>
      </c>
      <c r="AT75" s="49">
        <v>0</v>
      </c>
      <c r="AU75" s="49"/>
      <c r="AV75" s="49">
        <v>0</v>
      </c>
      <c r="AW75" s="49">
        <v>0</v>
      </c>
      <c r="AX75" s="49"/>
      <c r="AY75" s="49">
        <v>0</v>
      </c>
      <c r="AZ75" s="49"/>
      <c r="BA75" s="49"/>
      <c r="BB75" s="49"/>
      <c r="BC75" s="49">
        <f t="shared" si="15"/>
        <v>-52729712992</v>
      </c>
      <c r="BD75" s="49"/>
      <c r="BE75" s="49"/>
      <c r="BF75" s="49">
        <f t="shared" si="16"/>
        <v>-52729712992</v>
      </c>
      <c r="BH75" s="27" t="s">
        <v>959</v>
      </c>
    </row>
    <row r="76" spans="2:60">
      <c r="B76" s="54" t="s">
        <v>75</v>
      </c>
      <c r="C76" s="52"/>
      <c r="E76" s="49">
        <v>0</v>
      </c>
      <c r="F76" s="49"/>
      <c r="G76" s="49"/>
      <c r="H76" s="49">
        <v>0</v>
      </c>
      <c r="I76" s="49">
        <v>0</v>
      </c>
      <c r="J76" s="49"/>
      <c r="K76" s="49">
        <v>0</v>
      </c>
      <c r="L76" s="49">
        <v>0</v>
      </c>
      <c r="M76" s="49"/>
      <c r="N76" s="49">
        <v>0</v>
      </c>
      <c r="O76" s="49">
        <v>0</v>
      </c>
      <c r="P76" s="49"/>
      <c r="Q76" s="49">
        <v>0</v>
      </c>
      <c r="R76" s="49">
        <v>0</v>
      </c>
      <c r="S76" s="49"/>
      <c r="T76" s="49">
        <v>0</v>
      </c>
      <c r="U76" s="49">
        <v>0</v>
      </c>
      <c r="V76" s="49"/>
      <c r="W76" s="49">
        <v>0</v>
      </c>
      <c r="X76" s="49"/>
      <c r="Y76" s="49"/>
      <c r="Z76" s="49"/>
      <c r="AA76" s="49"/>
      <c r="AB76" s="49">
        <f t="shared" si="13"/>
        <v>0</v>
      </c>
      <c r="AC76" s="49"/>
      <c r="AD76" s="49"/>
      <c r="AE76" s="49">
        <f t="shared" si="14"/>
        <v>0</v>
      </c>
      <c r="AG76" s="49">
        <v>0</v>
      </c>
      <c r="AH76" s="49"/>
      <c r="AI76" s="49"/>
      <c r="AJ76" s="49">
        <v>0</v>
      </c>
      <c r="AK76" s="49">
        <v>0</v>
      </c>
      <c r="AL76" s="49"/>
      <c r="AM76" s="49">
        <v>0</v>
      </c>
      <c r="AN76" s="49">
        <v>0</v>
      </c>
      <c r="AO76" s="49"/>
      <c r="AP76" s="49">
        <v>0</v>
      </c>
      <c r="AQ76" s="49">
        <v>0</v>
      </c>
      <c r="AR76" s="49"/>
      <c r="AS76" s="49">
        <v>0</v>
      </c>
      <c r="AT76" s="49">
        <v>0</v>
      </c>
      <c r="AU76" s="49"/>
      <c r="AV76" s="49">
        <v>0</v>
      </c>
      <c r="AW76" s="49">
        <v>0</v>
      </c>
      <c r="AX76" s="49"/>
      <c r="AY76" s="49">
        <v>0</v>
      </c>
      <c r="AZ76" s="49"/>
      <c r="BA76" s="49"/>
      <c r="BB76" s="49"/>
      <c r="BC76" s="49">
        <f t="shared" si="15"/>
        <v>0</v>
      </c>
      <c r="BD76" s="49"/>
      <c r="BE76" s="49"/>
      <c r="BF76" s="49">
        <f t="shared" si="16"/>
        <v>0</v>
      </c>
    </row>
    <row r="77" spans="2:60">
      <c r="B77" s="54"/>
      <c r="C77" s="52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72"/>
      <c r="AG77" s="49"/>
      <c r="AH77" s="49"/>
      <c r="AI77" s="49"/>
      <c r="AJ77" s="49"/>
      <c r="AK77" s="49"/>
      <c r="AL77" s="49"/>
      <c r="AM77" s="49"/>
      <c r="AN77" s="49">
        <v>0</v>
      </c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72"/>
    </row>
    <row r="78" spans="2:60" s="40" customFormat="1" ht="13">
      <c r="B78" s="60" t="s">
        <v>76</v>
      </c>
      <c r="C78" s="61"/>
      <c r="E78" s="73">
        <f>SUM(E58:E76)</f>
        <v>-96566621877</v>
      </c>
      <c r="F78" s="73"/>
      <c r="G78" s="73"/>
      <c r="H78" s="73">
        <f>SUM(H58:H76)</f>
        <v>-96566621877</v>
      </c>
      <c r="I78" s="73">
        <f>SUM(I58:I76)</f>
        <v>-829674525300</v>
      </c>
      <c r="J78" s="73"/>
      <c r="K78" s="73">
        <f>SUM(K58:K76)</f>
        <v>-829674525300</v>
      </c>
      <c r="L78" s="73">
        <f>SUM(L58:L76)</f>
        <v>-10993351814</v>
      </c>
      <c r="M78" s="73"/>
      <c r="N78" s="73">
        <f>SUM(N58:N76)</f>
        <v>-10993351814</v>
      </c>
      <c r="O78" s="73">
        <f>SUM(O58:O76)</f>
        <v>-39419665561</v>
      </c>
      <c r="P78" s="73"/>
      <c r="Q78" s="73">
        <f>SUM(Q58:Q76)</f>
        <v>-39419665561</v>
      </c>
      <c r="R78" s="73">
        <f>SUM(R58:R76)</f>
        <v>-119970026506</v>
      </c>
      <c r="S78" s="73"/>
      <c r="T78" s="73">
        <f>SUM(T58:T76)</f>
        <v>-119970026506</v>
      </c>
      <c r="U78" s="73">
        <f>SUM(U58:U76)</f>
        <v>0</v>
      </c>
      <c r="V78" s="73"/>
      <c r="W78" s="73">
        <f>SUM(W58:W76)</f>
        <v>0</v>
      </c>
      <c r="X78" s="73"/>
      <c r="Y78" s="73"/>
      <c r="Z78" s="73"/>
      <c r="AA78" s="73"/>
      <c r="AB78" s="73">
        <f>SUM(AB58:AB76)</f>
        <v>-1096624191058</v>
      </c>
      <c r="AC78" s="73"/>
      <c r="AD78" s="73"/>
      <c r="AE78" s="73">
        <f>SUM(AE58:AE76)</f>
        <v>-337645932366</v>
      </c>
      <c r="AG78" s="73">
        <f>SUM(AG58:AG76)</f>
        <v>-102152744903</v>
      </c>
      <c r="AH78" s="73"/>
      <c r="AI78" s="73"/>
      <c r="AJ78" s="73">
        <f>SUM(AJ58:AJ76)</f>
        <v>-102152744903</v>
      </c>
      <c r="AK78" s="73">
        <f>SUM(AK58:AK76)</f>
        <v>-157392286510</v>
      </c>
      <c r="AL78" s="73"/>
      <c r="AM78" s="73">
        <f>SUM(AM58:AM76)</f>
        <v>-157392286510</v>
      </c>
      <c r="AN78" s="73">
        <f>SUM(AN58:AN76)</f>
        <v>-1635929645.175</v>
      </c>
      <c r="AO78" s="73"/>
      <c r="AP78" s="73">
        <f>SUM(AP58:AP76)</f>
        <v>-1635929645.175</v>
      </c>
      <c r="AQ78" s="73">
        <f>SUM(AQ58:AQ76)</f>
        <v>-189481569</v>
      </c>
      <c r="AR78" s="73"/>
      <c r="AS78" s="73">
        <f>SUM(AS58:AS76)</f>
        <v>-189481569</v>
      </c>
      <c r="AT78" s="73">
        <f>SUM(AT58:AT76)</f>
        <v>-5652950753.1100006</v>
      </c>
      <c r="AU78" s="73"/>
      <c r="AV78" s="73">
        <f>SUM(AV58:AV76)</f>
        <v>-5652950753.1100006</v>
      </c>
      <c r="AW78" s="73">
        <f>SUM(AW58:AW76)</f>
        <v>0</v>
      </c>
      <c r="AX78" s="73"/>
      <c r="AY78" s="73">
        <f>SUM(AY58:AY76)</f>
        <v>0</v>
      </c>
      <c r="AZ78" s="73"/>
      <c r="BA78" s="73"/>
      <c r="BB78" s="73"/>
      <c r="BC78" s="73">
        <f>SUM(BC58:BC76)</f>
        <v>-267023393380</v>
      </c>
      <c r="BD78" s="73"/>
      <c r="BE78" s="73"/>
      <c r="BF78" s="73">
        <f>SUM(BF58:BF76)</f>
        <v>-230141802941</v>
      </c>
    </row>
    <row r="79" spans="2:60" ht="13">
      <c r="B79" s="74"/>
      <c r="C79" s="75"/>
      <c r="E79" s="64" t="s">
        <v>40</v>
      </c>
      <c r="F79" s="64"/>
      <c r="G79" s="64"/>
      <c r="H79" s="64"/>
      <c r="I79" s="64" t="s">
        <v>40</v>
      </c>
      <c r="J79" s="64"/>
      <c r="K79" s="64"/>
      <c r="L79" s="64" t="s">
        <v>40</v>
      </c>
      <c r="M79" s="64"/>
      <c r="N79" s="64"/>
      <c r="O79" s="64" t="s">
        <v>40</v>
      </c>
      <c r="P79" s="64"/>
      <c r="Q79" s="64"/>
      <c r="R79" s="64" t="s">
        <v>40</v>
      </c>
      <c r="S79" s="64"/>
      <c r="T79" s="64"/>
      <c r="U79" s="64" t="s">
        <v>40</v>
      </c>
      <c r="V79" s="64"/>
      <c r="W79" s="64"/>
      <c r="X79" s="64"/>
      <c r="Y79" s="64"/>
      <c r="Z79" s="64"/>
      <c r="AA79" s="64"/>
      <c r="AB79" s="64" t="s">
        <v>40</v>
      </c>
      <c r="AC79" s="64"/>
      <c r="AD79" s="64"/>
      <c r="AE79" s="64"/>
      <c r="AG79" s="64" t="s">
        <v>40</v>
      </c>
      <c r="AH79" s="64"/>
      <c r="AI79" s="64"/>
      <c r="AJ79" s="64"/>
      <c r="AK79" s="64" t="s">
        <v>40</v>
      </c>
      <c r="AL79" s="64"/>
      <c r="AM79" s="64"/>
      <c r="AN79" s="64" t="s">
        <v>40</v>
      </c>
      <c r="AO79" s="64"/>
      <c r="AP79" s="64"/>
      <c r="AQ79" s="64" t="s">
        <v>40</v>
      </c>
      <c r="AR79" s="64"/>
      <c r="AS79" s="64"/>
      <c r="AT79" s="64" t="s">
        <v>40</v>
      </c>
      <c r="AU79" s="64"/>
      <c r="AV79" s="64"/>
      <c r="AW79" s="64" t="s">
        <v>40</v>
      </c>
      <c r="AX79" s="64"/>
      <c r="AY79" s="64"/>
      <c r="AZ79" s="64"/>
      <c r="BA79" s="64"/>
      <c r="BB79" s="64"/>
      <c r="BC79" s="64" t="s">
        <v>40</v>
      </c>
      <c r="BD79" s="64"/>
      <c r="BE79" s="64"/>
      <c r="BF79" s="64"/>
    </row>
    <row r="80" spans="2:60" ht="13">
      <c r="B80" s="76" t="s">
        <v>77</v>
      </c>
      <c r="C80" s="71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</row>
    <row r="81" spans="2:61">
      <c r="B81" s="70" t="s">
        <v>78</v>
      </c>
      <c r="C81" s="71"/>
      <c r="E81" s="49">
        <v>0</v>
      </c>
      <c r="F81" s="49"/>
      <c r="G81" s="49"/>
      <c r="H81" s="49">
        <v>0</v>
      </c>
      <c r="I81" s="49">
        <v>-32226982313</v>
      </c>
      <c r="J81" s="49"/>
      <c r="K81" s="49">
        <v>-32226982313</v>
      </c>
      <c r="L81" s="49">
        <v>0</v>
      </c>
      <c r="M81" s="49"/>
      <c r="N81" s="49">
        <v>0</v>
      </c>
      <c r="O81" s="49">
        <v>0</v>
      </c>
      <c r="P81" s="49"/>
      <c r="Q81" s="49">
        <v>0</v>
      </c>
      <c r="R81" s="49">
        <v>0</v>
      </c>
      <c r="S81" s="49"/>
      <c r="T81" s="49">
        <v>0</v>
      </c>
      <c r="U81" s="49">
        <v>0</v>
      </c>
      <c r="V81" s="49"/>
      <c r="W81" s="49">
        <v>0</v>
      </c>
      <c r="X81" s="49"/>
      <c r="Y81" s="49"/>
      <c r="Z81" s="49"/>
      <c r="AA81" s="49"/>
      <c r="AB81" s="49">
        <f t="shared" ref="AB81:AB85" si="18">SUM(H81,K81,X81,Y81,Z81:AA81,N81,Q81,T81,W81)</f>
        <v>-32226982313</v>
      </c>
      <c r="AC81" s="49"/>
      <c r="AD81" s="49"/>
      <c r="AE81" s="49">
        <f t="shared" ref="AE81:AE85" si="19">ROUND(SUM(AB81:AD81),0)</f>
        <v>-32226982313</v>
      </c>
      <c r="AG81" s="49">
        <v>0</v>
      </c>
      <c r="AH81" s="49"/>
      <c r="AI81" s="49"/>
      <c r="AJ81" s="49">
        <f t="shared" ref="AJ81:AJ85" si="20">SUM(AG81:AH81)</f>
        <v>0</v>
      </c>
      <c r="AK81" s="49">
        <v>-72365951557</v>
      </c>
      <c r="AL81" s="49"/>
      <c r="AM81" s="49">
        <f t="shared" ref="AM81:AM85" si="21">SUM(AK81:AL81)</f>
        <v>-72365951557</v>
      </c>
      <c r="AN81" s="49"/>
      <c r="AO81" s="49"/>
      <c r="AP81" s="49">
        <f t="shared" ref="AP81:AP85" si="22">SUM(AN81:AO81)</f>
        <v>0</v>
      </c>
      <c r="AQ81" s="49">
        <f t="shared" ref="AQ81:AQ85" si="23">SUM(AO81:AP81)</f>
        <v>0</v>
      </c>
      <c r="AR81" s="49"/>
      <c r="AS81" s="49">
        <f t="shared" ref="AS81:AS85" si="24">SUM(AQ81:AR81)</f>
        <v>0</v>
      </c>
      <c r="AT81" s="49">
        <v>0</v>
      </c>
      <c r="AU81" s="49"/>
      <c r="AV81" s="49">
        <f t="shared" ref="AV81:AV85" si="25">SUM(AT81:AU81)</f>
        <v>0</v>
      </c>
      <c r="AW81" s="49"/>
      <c r="AX81" s="49"/>
      <c r="AY81" s="49">
        <f t="shared" ref="AY81:AY85" si="26">SUM(AW81:AX81)</f>
        <v>0</v>
      </c>
      <c r="AZ81" s="49"/>
      <c r="BA81" s="49"/>
      <c r="BB81" s="49"/>
      <c r="BC81" s="49">
        <f t="shared" ref="BC81:BC85" si="27">ROUND(SUM(AJ81,AM81,AP81,AS81,AV81,AY81,AZ81),0)</f>
        <v>-72365951557</v>
      </c>
      <c r="BD81" s="49"/>
      <c r="BE81" s="49"/>
      <c r="BF81" s="49">
        <f>ROUND(SUM(BC81:BE81),0)-2</f>
        <v>-72365951559</v>
      </c>
      <c r="BH81" s="27" t="s">
        <v>959</v>
      </c>
    </row>
    <row r="82" spans="2:61">
      <c r="B82" s="70" t="s">
        <v>80</v>
      </c>
      <c r="C82" s="71"/>
      <c r="E82" s="49">
        <v>-1923132857.625</v>
      </c>
      <c r="F82" s="77"/>
      <c r="G82" s="77"/>
      <c r="H82" s="49">
        <v>-1923132857.625</v>
      </c>
      <c r="I82" s="49">
        <v>-2930169433.2750001</v>
      </c>
      <c r="J82" s="77"/>
      <c r="K82" s="49">
        <v>-2930169433.2750001</v>
      </c>
      <c r="L82" s="49">
        <v>0</v>
      </c>
      <c r="M82" s="77"/>
      <c r="N82" s="49">
        <v>0</v>
      </c>
      <c r="O82" s="49">
        <v>0</v>
      </c>
      <c r="P82" s="77"/>
      <c r="Q82" s="49">
        <v>0</v>
      </c>
      <c r="R82" s="49">
        <v>0</v>
      </c>
      <c r="S82" s="77"/>
      <c r="T82" s="49">
        <v>0</v>
      </c>
      <c r="U82" s="49">
        <v>0</v>
      </c>
      <c r="V82" s="77"/>
      <c r="W82" s="49">
        <v>0</v>
      </c>
      <c r="X82" s="77"/>
      <c r="Y82" s="77"/>
      <c r="Z82" s="49"/>
      <c r="AA82" s="49"/>
      <c r="AB82" s="49">
        <f t="shared" si="18"/>
        <v>-4853302290.8999996</v>
      </c>
      <c r="AC82" s="49"/>
      <c r="AD82" s="49"/>
      <c r="AE82" s="49">
        <f t="shared" si="19"/>
        <v>-4853302291</v>
      </c>
      <c r="AG82" s="49">
        <v>-1421174560.05</v>
      </c>
      <c r="AH82" s="77"/>
      <c r="AI82" s="77"/>
      <c r="AJ82" s="49">
        <f t="shared" si="20"/>
        <v>-1421174560.05</v>
      </c>
      <c r="AK82" s="49">
        <v>-3497072321.9249997</v>
      </c>
      <c r="AL82" s="77"/>
      <c r="AM82" s="49">
        <f t="shared" si="21"/>
        <v>-3497072321.9249997</v>
      </c>
      <c r="AN82" s="49">
        <v>0</v>
      </c>
      <c r="AO82" s="77"/>
      <c r="AP82" s="49">
        <f t="shared" si="22"/>
        <v>0</v>
      </c>
      <c r="AQ82" s="49">
        <f t="shared" si="23"/>
        <v>0</v>
      </c>
      <c r="AR82" s="77"/>
      <c r="AS82" s="49">
        <f t="shared" si="24"/>
        <v>0</v>
      </c>
      <c r="AT82" s="49">
        <v>0</v>
      </c>
      <c r="AU82" s="77"/>
      <c r="AV82" s="49">
        <f t="shared" si="25"/>
        <v>0</v>
      </c>
      <c r="AW82" s="49">
        <v>0</v>
      </c>
      <c r="AX82" s="77"/>
      <c r="AY82" s="49">
        <f t="shared" si="26"/>
        <v>0</v>
      </c>
      <c r="AZ82" s="77"/>
      <c r="BA82" s="49"/>
      <c r="BB82" s="49"/>
      <c r="BC82" s="49">
        <f t="shared" si="27"/>
        <v>-4918246882</v>
      </c>
      <c r="BD82" s="49"/>
      <c r="BE82" s="49"/>
      <c r="BF82" s="49">
        <f t="shared" ref="BF82:BF85" si="28">ROUND(SUM(BC82:BE82),0)</f>
        <v>-4918246882</v>
      </c>
    </row>
    <row r="83" spans="2:61">
      <c r="B83" s="70" t="s">
        <v>81</v>
      </c>
      <c r="C83" s="71"/>
      <c r="E83" s="49">
        <v>0</v>
      </c>
      <c r="F83" s="77"/>
      <c r="G83" s="77"/>
      <c r="H83" s="49">
        <v>0</v>
      </c>
      <c r="I83" s="49">
        <v>0</v>
      </c>
      <c r="J83" s="77"/>
      <c r="K83" s="49">
        <v>0</v>
      </c>
      <c r="L83" s="49">
        <v>0</v>
      </c>
      <c r="M83" s="77"/>
      <c r="N83" s="49">
        <v>0</v>
      </c>
      <c r="O83" s="49">
        <v>0</v>
      </c>
      <c r="P83" s="77"/>
      <c r="Q83" s="49">
        <v>0</v>
      </c>
      <c r="R83" s="49">
        <v>-144237470598</v>
      </c>
      <c r="S83" s="77"/>
      <c r="T83" s="49">
        <v>-144237470598</v>
      </c>
      <c r="U83" s="49">
        <v>0</v>
      </c>
      <c r="V83" s="77"/>
      <c r="W83" s="49">
        <v>0</v>
      </c>
      <c r="X83" s="77"/>
      <c r="Y83" s="77"/>
      <c r="Z83" s="49"/>
      <c r="AA83" s="49"/>
      <c r="AB83" s="49">
        <f t="shared" si="18"/>
        <v>-144237470598</v>
      </c>
      <c r="AC83" s="49">
        <f>'Elimination 23'!G71-1</f>
        <v>144237470597.54578</v>
      </c>
      <c r="AD83" s="49"/>
      <c r="AE83" s="49">
        <f t="shared" si="19"/>
        <v>0</v>
      </c>
      <c r="AG83" s="49">
        <v>0</v>
      </c>
      <c r="AH83" s="77"/>
      <c r="AI83" s="77"/>
      <c r="AJ83" s="49">
        <v>0</v>
      </c>
      <c r="AK83" s="49">
        <v>0</v>
      </c>
      <c r="AL83" s="77"/>
      <c r="AM83" s="49">
        <f t="shared" si="21"/>
        <v>0</v>
      </c>
      <c r="AN83" s="49">
        <v>0</v>
      </c>
      <c r="AO83" s="77"/>
      <c r="AP83" s="49">
        <f t="shared" si="22"/>
        <v>0</v>
      </c>
      <c r="AQ83" s="49">
        <f t="shared" si="23"/>
        <v>0</v>
      </c>
      <c r="AR83" s="77"/>
      <c r="AS83" s="49">
        <f t="shared" si="24"/>
        <v>0</v>
      </c>
      <c r="AT83" s="49">
        <v>-130394112648</v>
      </c>
      <c r="AU83" s="77"/>
      <c r="AV83" s="49">
        <f t="shared" si="25"/>
        <v>-130394112648</v>
      </c>
      <c r="AW83" s="49">
        <v>0</v>
      </c>
      <c r="AX83" s="77"/>
      <c r="AY83" s="49">
        <f t="shared" si="26"/>
        <v>0</v>
      </c>
      <c r="AZ83" s="77"/>
      <c r="BA83" s="49"/>
      <c r="BB83" s="49"/>
      <c r="BC83" s="49">
        <f t="shared" si="27"/>
        <v>-130394112648</v>
      </c>
      <c r="BD83" s="49">
        <f>'Elimination 22'!G70</f>
        <v>130394112647.57324</v>
      </c>
      <c r="BE83" s="49"/>
      <c r="BF83" s="49">
        <f t="shared" si="28"/>
        <v>0</v>
      </c>
    </row>
    <row r="84" spans="2:61">
      <c r="B84" s="70" t="s">
        <v>82</v>
      </c>
      <c r="C84" s="71"/>
      <c r="E84" s="49">
        <v>0</v>
      </c>
      <c r="F84" s="77"/>
      <c r="G84" s="77"/>
      <c r="H84" s="49">
        <v>0</v>
      </c>
      <c r="I84" s="49">
        <v>-11841969435</v>
      </c>
      <c r="J84" s="77"/>
      <c r="K84" s="49">
        <v>-11841969435</v>
      </c>
      <c r="L84" s="49">
        <v>0</v>
      </c>
      <c r="M84" s="77"/>
      <c r="N84" s="49">
        <v>0</v>
      </c>
      <c r="O84" s="49">
        <v>0</v>
      </c>
      <c r="P84" s="77"/>
      <c r="Q84" s="49">
        <v>0</v>
      </c>
      <c r="R84" s="49">
        <v>0</v>
      </c>
      <c r="S84" s="77"/>
      <c r="T84" s="49">
        <v>0</v>
      </c>
      <c r="U84" s="49">
        <v>0</v>
      </c>
      <c r="V84" s="77"/>
      <c r="W84" s="49">
        <v>0</v>
      </c>
      <c r="X84" s="77"/>
      <c r="Y84" s="77"/>
      <c r="Z84" s="49"/>
      <c r="AA84" s="49"/>
      <c r="AB84" s="49">
        <f t="shared" si="18"/>
        <v>-11841969435</v>
      </c>
      <c r="AC84" s="49"/>
      <c r="AD84" s="49"/>
      <c r="AE84" s="49">
        <f t="shared" si="19"/>
        <v>-11841969435</v>
      </c>
      <c r="AG84" s="49">
        <v>0</v>
      </c>
      <c r="AH84" s="77"/>
      <c r="AI84" s="77"/>
      <c r="AJ84" s="49">
        <f t="shared" ref="AJ84" si="29">SUM(AG84:AH84)</f>
        <v>0</v>
      </c>
      <c r="AK84" s="49">
        <v>-3469782201</v>
      </c>
      <c r="AL84" s="77"/>
      <c r="AM84" s="49">
        <f t="shared" si="21"/>
        <v>-3469782201</v>
      </c>
      <c r="AN84" s="49">
        <v>0</v>
      </c>
      <c r="AO84" s="77"/>
      <c r="AP84" s="49">
        <f t="shared" si="22"/>
        <v>0</v>
      </c>
      <c r="AQ84" s="49">
        <f t="shared" si="23"/>
        <v>0</v>
      </c>
      <c r="AR84" s="77"/>
      <c r="AS84" s="49">
        <f t="shared" si="24"/>
        <v>0</v>
      </c>
      <c r="AT84" s="49">
        <v>0</v>
      </c>
      <c r="AU84" s="77"/>
      <c r="AV84" s="49">
        <f t="shared" si="25"/>
        <v>0</v>
      </c>
      <c r="AW84" s="49">
        <v>0</v>
      </c>
      <c r="AX84" s="77"/>
      <c r="AY84" s="49">
        <f t="shared" si="26"/>
        <v>0</v>
      </c>
      <c r="AZ84" s="77"/>
      <c r="BA84" s="49"/>
      <c r="BB84" s="49"/>
      <c r="BC84" s="49">
        <f t="shared" si="27"/>
        <v>-3469782201</v>
      </c>
      <c r="BD84" s="49"/>
      <c r="BE84" s="49"/>
      <c r="BF84" s="49">
        <f t="shared" si="28"/>
        <v>-3469782201</v>
      </c>
      <c r="BH84" s="27" t="s">
        <v>959</v>
      </c>
    </row>
    <row r="85" spans="2:61">
      <c r="B85" s="70" t="s">
        <v>83</v>
      </c>
      <c r="C85" s="71"/>
      <c r="E85" s="49">
        <v>0</v>
      </c>
      <c r="F85" s="77"/>
      <c r="G85" s="77"/>
      <c r="H85" s="49">
        <v>0</v>
      </c>
      <c r="I85" s="49">
        <v>-4735334275</v>
      </c>
      <c r="J85" s="77"/>
      <c r="K85" s="49">
        <v>-4735334275</v>
      </c>
      <c r="L85" s="49">
        <v>0</v>
      </c>
      <c r="M85" s="77"/>
      <c r="N85" s="49">
        <v>0</v>
      </c>
      <c r="O85" s="49">
        <v>0</v>
      </c>
      <c r="P85" s="77"/>
      <c r="Q85" s="49">
        <v>0</v>
      </c>
      <c r="R85" s="49">
        <v>0</v>
      </c>
      <c r="S85" s="77"/>
      <c r="T85" s="49">
        <v>0</v>
      </c>
      <c r="U85" s="49">
        <v>0</v>
      </c>
      <c r="V85" s="77"/>
      <c r="W85" s="49">
        <v>0</v>
      </c>
      <c r="X85" s="77"/>
      <c r="Y85" s="77"/>
      <c r="Z85" s="49"/>
      <c r="AA85" s="49"/>
      <c r="AB85" s="49">
        <f t="shared" si="18"/>
        <v>-4735334275</v>
      </c>
      <c r="AC85" s="49"/>
      <c r="AD85" s="49"/>
      <c r="AE85" s="49">
        <f t="shared" si="19"/>
        <v>-4735334275</v>
      </c>
      <c r="AG85" s="49">
        <v>0</v>
      </c>
      <c r="AH85" s="77"/>
      <c r="AI85" s="77"/>
      <c r="AJ85" s="49">
        <f t="shared" si="20"/>
        <v>0</v>
      </c>
      <c r="AK85" s="49">
        <v>0</v>
      </c>
      <c r="AL85" s="77"/>
      <c r="AM85" s="49">
        <f t="shared" si="21"/>
        <v>0</v>
      </c>
      <c r="AN85" s="49">
        <v>0</v>
      </c>
      <c r="AO85" s="77"/>
      <c r="AP85" s="49">
        <f t="shared" si="22"/>
        <v>0</v>
      </c>
      <c r="AQ85" s="49">
        <f t="shared" si="23"/>
        <v>0</v>
      </c>
      <c r="AR85" s="77"/>
      <c r="AS85" s="49">
        <f t="shared" si="24"/>
        <v>0</v>
      </c>
      <c r="AT85" s="49">
        <v>0</v>
      </c>
      <c r="AU85" s="77"/>
      <c r="AV85" s="49">
        <f t="shared" si="25"/>
        <v>0</v>
      </c>
      <c r="AW85" s="49">
        <v>0</v>
      </c>
      <c r="AX85" s="77"/>
      <c r="AY85" s="49">
        <f t="shared" si="26"/>
        <v>0</v>
      </c>
      <c r="AZ85" s="77"/>
      <c r="BA85" s="49"/>
      <c r="BB85" s="49"/>
      <c r="BC85" s="49">
        <f t="shared" si="27"/>
        <v>0</v>
      </c>
      <c r="BD85" s="49"/>
      <c r="BE85" s="49"/>
      <c r="BF85" s="49">
        <f t="shared" si="28"/>
        <v>0</v>
      </c>
    </row>
    <row r="86" spans="2:61">
      <c r="B86" s="78"/>
      <c r="C86" s="7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</row>
    <row r="87" spans="2:61" s="40" customFormat="1" ht="13">
      <c r="B87" s="60" t="s">
        <v>84</v>
      </c>
      <c r="C87" s="61"/>
      <c r="E87" s="73">
        <f>SUM(E81:E85)</f>
        <v>-1923132857.625</v>
      </c>
      <c r="F87" s="73"/>
      <c r="G87" s="73"/>
      <c r="H87" s="73">
        <f>SUM(H81:H85)</f>
        <v>-1923132857.625</v>
      </c>
      <c r="I87" s="73">
        <f>SUM(I81:I85)</f>
        <v>-51734455456.275002</v>
      </c>
      <c r="J87" s="73"/>
      <c r="K87" s="73">
        <f>SUM(K81:K85)</f>
        <v>-51734455456.275002</v>
      </c>
      <c r="L87" s="73">
        <f>SUM(L81:L85)</f>
        <v>0</v>
      </c>
      <c r="M87" s="73"/>
      <c r="N87" s="73">
        <f>SUM(N81:N85)</f>
        <v>0</v>
      </c>
      <c r="O87" s="73">
        <f>SUM(O81:O85)</f>
        <v>0</v>
      </c>
      <c r="P87" s="73"/>
      <c r="Q87" s="73">
        <f>SUM(Q81:Q85)</f>
        <v>0</v>
      </c>
      <c r="R87" s="73">
        <f>SUM(R81:R85)</f>
        <v>-144237470598</v>
      </c>
      <c r="S87" s="73"/>
      <c r="T87" s="73">
        <f>SUM(T81:T85)</f>
        <v>-144237470598</v>
      </c>
      <c r="U87" s="73">
        <f>SUM(U81:U85)</f>
        <v>0</v>
      </c>
      <c r="V87" s="73"/>
      <c r="W87" s="73">
        <f>SUM(W81:W85)</f>
        <v>0</v>
      </c>
      <c r="X87" s="73"/>
      <c r="Y87" s="73"/>
      <c r="Z87" s="73"/>
      <c r="AA87" s="73"/>
      <c r="AB87" s="73">
        <f>SUM(AB81:AB85)</f>
        <v>-197895058911.89999</v>
      </c>
      <c r="AC87" s="73"/>
      <c r="AD87" s="73"/>
      <c r="AE87" s="73">
        <f>SUM(AE81:AE85)</f>
        <v>-53657588314</v>
      </c>
      <c r="AG87" s="73">
        <f>SUM(AG81:AG85)</f>
        <v>-1421174560.05</v>
      </c>
      <c r="AH87" s="73"/>
      <c r="AI87" s="73"/>
      <c r="AJ87" s="73">
        <f>SUM(AJ81:AJ85)</f>
        <v>-1421174560.05</v>
      </c>
      <c r="AK87" s="73">
        <f>SUM(AK81:AK85)</f>
        <v>-79332806079.925003</v>
      </c>
      <c r="AL87" s="73"/>
      <c r="AM87" s="73">
        <f>SUM(AM81:AM85)</f>
        <v>-79332806079.925003</v>
      </c>
      <c r="AN87" s="73">
        <f>SUM(AN81:AN85)</f>
        <v>0</v>
      </c>
      <c r="AO87" s="73"/>
      <c r="AP87" s="73">
        <f>SUM(AP81:AP85)</f>
        <v>0</v>
      </c>
      <c r="AQ87" s="73">
        <f>SUM(AQ81:AQ85)</f>
        <v>0</v>
      </c>
      <c r="AR87" s="73"/>
      <c r="AS87" s="73">
        <f>SUM(AS81:AS85)</f>
        <v>0</v>
      </c>
      <c r="AT87" s="73">
        <f>SUM(AT81:AT85)</f>
        <v>-130394112648</v>
      </c>
      <c r="AU87" s="73"/>
      <c r="AV87" s="73">
        <f>SUM(AV81:AV85)</f>
        <v>-130394112648</v>
      </c>
      <c r="AW87" s="73">
        <f>SUM(AW81:AW85)</f>
        <v>0</v>
      </c>
      <c r="AX87" s="73"/>
      <c r="AY87" s="73">
        <f>SUM(AY81:AY85)</f>
        <v>0</v>
      </c>
      <c r="AZ87" s="73"/>
      <c r="BA87" s="73"/>
      <c r="BB87" s="73"/>
      <c r="BC87" s="73">
        <f>SUM(BC81:BC85)</f>
        <v>-211148093288</v>
      </c>
      <c r="BD87" s="73"/>
      <c r="BE87" s="73"/>
      <c r="BF87" s="73">
        <f>SUM(BF81:BF85)</f>
        <v>-80753980642</v>
      </c>
    </row>
    <row r="88" spans="2:61" ht="13">
      <c r="B88" s="60"/>
      <c r="C88" s="80"/>
      <c r="E88" s="64" t="s">
        <v>40</v>
      </c>
      <c r="F88" s="64"/>
      <c r="G88" s="64"/>
      <c r="H88" s="64" t="s">
        <v>40</v>
      </c>
      <c r="I88" s="64" t="s">
        <v>40</v>
      </c>
      <c r="J88" s="64"/>
      <c r="K88" s="64" t="s">
        <v>40</v>
      </c>
      <c r="L88" s="64" t="s">
        <v>40</v>
      </c>
      <c r="M88" s="64"/>
      <c r="N88" s="64" t="s">
        <v>40</v>
      </c>
      <c r="O88" s="64" t="s">
        <v>40</v>
      </c>
      <c r="P88" s="64"/>
      <c r="Q88" s="64" t="s">
        <v>40</v>
      </c>
      <c r="R88" s="64" t="s">
        <v>40</v>
      </c>
      <c r="S88" s="64"/>
      <c r="T88" s="64" t="s">
        <v>40</v>
      </c>
      <c r="U88" s="64" t="s">
        <v>40</v>
      </c>
      <c r="V88" s="64"/>
      <c r="W88" s="64" t="s">
        <v>40</v>
      </c>
      <c r="X88" s="64"/>
      <c r="Y88" s="64"/>
      <c r="Z88" s="64"/>
      <c r="AA88" s="64"/>
      <c r="AB88" s="64" t="s">
        <v>40</v>
      </c>
      <c r="AC88" s="64"/>
      <c r="AD88" s="64"/>
      <c r="AE88" s="64" t="s">
        <v>40</v>
      </c>
      <c r="AG88" s="64" t="s">
        <v>40</v>
      </c>
      <c r="AH88" s="64"/>
      <c r="AI88" s="64"/>
      <c r="AJ88" s="64" t="s">
        <v>40</v>
      </c>
      <c r="AK88" s="64" t="s">
        <v>40</v>
      </c>
      <c r="AL88" s="64"/>
      <c r="AM88" s="64" t="s">
        <v>40</v>
      </c>
      <c r="AN88" s="64" t="s">
        <v>40</v>
      </c>
      <c r="AO88" s="64"/>
      <c r="AP88" s="64" t="s">
        <v>40</v>
      </c>
      <c r="AQ88" s="64" t="s">
        <v>40</v>
      </c>
      <c r="AR88" s="64"/>
      <c r="AS88" s="64" t="s">
        <v>40</v>
      </c>
      <c r="AT88" s="64" t="s">
        <v>40</v>
      </c>
      <c r="AU88" s="64"/>
      <c r="AV88" s="64" t="s">
        <v>40</v>
      </c>
      <c r="AW88" s="64" t="s">
        <v>40</v>
      </c>
      <c r="AX88" s="64"/>
      <c r="AY88" s="64" t="s">
        <v>40</v>
      </c>
      <c r="AZ88" s="64"/>
      <c r="BA88" s="64"/>
      <c r="BB88" s="64"/>
      <c r="BC88" s="64" t="s">
        <v>40</v>
      </c>
      <c r="BD88" s="64"/>
      <c r="BE88" s="64"/>
      <c r="BF88" s="64" t="s">
        <v>40</v>
      </c>
    </row>
    <row r="89" spans="2:61" s="40" customFormat="1" ht="13">
      <c r="B89" s="60" t="s">
        <v>85</v>
      </c>
      <c r="C89" s="61"/>
      <c r="E89" s="73">
        <f>E78+E87</f>
        <v>-98489754734.625</v>
      </c>
      <c r="F89" s="73"/>
      <c r="G89" s="73"/>
      <c r="H89" s="73">
        <f>H78+H87</f>
        <v>-98489754734.625</v>
      </c>
      <c r="I89" s="73">
        <f>I78+I87</f>
        <v>-881408980756.27502</v>
      </c>
      <c r="J89" s="73"/>
      <c r="K89" s="73">
        <f>K78+K87</f>
        <v>-881408980756.27502</v>
      </c>
      <c r="L89" s="73">
        <f>L78+L87</f>
        <v>-10993351814</v>
      </c>
      <c r="M89" s="73"/>
      <c r="N89" s="73">
        <f>N78+N87</f>
        <v>-10993351814</v>
      </c>
      <c r="O89" s="73">
        <f>O78+O87</f>
        <v>-39419665561</v>
      </c>
      <c r="P89" s="73"/>
      <c r="Q89" s="73">
        <f>Q78+Q87</f>
        <v>-39419665561</v>
      </c>
      <c r="R89" s="73">
        <f>R78+R87</f>
        <v>-264207497104</v>
      </c>
      <c r="S89" s="73"/>
      <c r="T89" s="73">
        <f>T78+T87</f>
        <v>-264207497104</v>
      </c>
      <c r="U89" s="73">
        <f>U78+U87</f>
        <v>0</v>
      </c>
      <c r="V89" s="73"/>
      <c r="W89" s="73">
        <f>W78+W87</f>
        <v>0</v>
      </c>
      <c r="X89" s="73"/>
      <c r="Y89" s="73"/>
      <c r="Z89" s="73"/>
      <c r="AA89" s="73"/>
      <c r="AB89" s="73">
        <f>AB78+AB87</f>
        <v>-1294519249969.8999</v>
      </c>
      <c r="AC89" s="73"/>
      <c r="AD89" s="73"/>
      <c r="AE89" s="73">
        <f>AE78+AE87</f>
        <v>-391303520680</v>
      </c>
      <c r="AG89" s="73">
        <f>AG78+AG87</f>
        <v>-103573919463.05</v>
      </c>
      <c r="AH89" s="73"/>
      <c r="AI89" s="73"/>
      <c r="AJ89" s="73">
        <f>AJ78+AJ87</f>
        <v>-103573919463.05</v>
      </c>
      <c r="AK89" s="73">
        <f>AK78+AK87</f>
        <v>-236725092589.92499</v>
      </c>
      <c r="AL89" s="73"/>
      <c r="AM89" s="73">
        <f>AM78+AM87</f>
        <v>-236725092589.92499</v>
      </c>
      <c r="AN89" s="73">
        <f>AN78+AN87</f>
        <v>-1635929645.175</v>
      </c>
      <c r="AO89" s="73"/>
      <c r="AP89" s="73">
        <f>AP78+AP87</f>
        <v>-1635929645.175</v>
      </c>
      <c r="AQ89" s="73">
        <f>AQ78+AQ87</f>
        <v>-189481569</v>
      </c>
      <c r="AR89" s="73"/>
      <c r="AS89" s="73">
        <f>AS78+AS87</f>
        <v>-189481569</v>
      </c>
      <c r="AT89" s="73">
        <f>AT78+AT87</f>
        <v>-136047063401.11</v>
      </c>
      <c r="AU89" s="73"/>
      <c r="AV89" s="73">
        <f>AV78+AV87</f>
        <v>-136047063401.11</v>
      </c>
      <c r="AW89" s="73">
        <f>AW78+AW87</f>
        <v>0</v>
      </c>
      <c r="AX89" s="73"/>
      <c r="AY89" s="73">
        <f>AY78+AY87</f>
        <v>0</v>
      </c>
      <c r="AZ89" s="73"/>
      <c r="BA89" s="73"/>
      <c r="BB89" s="73"/>
      <c r="BC89" s="73">
        <f>BC78+BC87</f>
        <v>-478171486668</v>
      </c>
      <c r="BD89" s="73"/>
      <c r="BE89" s="73"/>
      <c r="BF89" s="73">
        <f>BF78+BF87</f>
        <v>-310895783583</v>
      </c>
      <c r="BI89" s="594"/>
    </row>
    <row r="90" spans="2:61" ht="13">
      <c r="B90" s="74"/>
      <c r="C90" s="75"/>
      <c r="E90" s="64" t="s">
        <v>40</v>
      </c>
      <c r="F90" s="64"/>
      <c r="G90" s="64"/>
      <c r="H90" s="64"/>
      <c r="I90" s="64" t="s">
        <v>40</v>
      </c>
      <c r="J90" s="64"/>
      <c r="K90" s="64"/>
      <c r="L90" s="64" t="s">
        <v>40</v>
      </c>
      <c r="M90" s="64"/>
      <c r="N90" s="64"/>
      <c r="O90" s="64" t="s">
        <v>40</v>
      </c>
      <c r="P90" s="64"/>
      <c r="Q90" s="64"/>
      <c r="R90" s="64" t="s">
        <v>40</v>
      </c>
      <c r="S90" s="64"/>
      <c r="T90" s="64"/>
      <c r="U90" s="64" t="s">
        <v>40</v>
      </c>
      <c r="V90" s="64"/>
      <c r="W90" s="64"/>
      <c r="X90" s="64"/>
      <c r="Y90" s="64"/>
      <c r="Z90" s="64"/>
      <c r="AA90" s="64"/>
      <c r="AB90" s="64" t="s">
        <v>40</v>
      </c>
      <c r="AC90" s="64"/>
      <c r="AD90" s="64"/>
      <c r="AE90" s="64" t="s">
        <v>40</v>
      </c>
      <c r="AG90" s="64" t="s">
        <v>40</v>
      </c>
      <c r="AH90" s="64"/>
      <c r="AI90" s="64"/>
      <c r="AJ90" s="64"/>
      <c r="AK90" s="64" t="s">
        <v>40</v>
      </c>
      <c r="AL90" s="64"/>
      <c r="AM90" s="64"/>
      <c r="AN90" s="64" t="s">
        <v>40</v>
      </c>
      <c r="AO90" s="64"/>
      <c r="AP90" s="64"/>
      <c r="AQ90" s="64" t="s">
        <v>40</v>
      </c>
      <c r="AR90" s="64"/>
      <c r="AS90" s="64"/>
      <c r="AT90" s="64" t="s">
        <v>40</v>
      </c>
      <c r="AU90" s="64"/>
      <c r="AV90" s="64"/>
      <c r="AW90" s="64" t="s">
        <v>40</v>
      </c>
      <c r="AX90" s="64"/>
      <c r="AY90" s="64"/>
      <c r="AZ90" s="64"/>
      <c r="BA90" s="64"/>
      <c r="BB90" s="64"/>
      <c r="BC90" s="64" t="s">
        <v>40</v>
      </c>
      <c r="BD90" s="64"/>
      <c r="BE90" s="64"/>
      <c r="BF90" s="64" t="s">
        <v>40</v>
      </c>
      <c r="BI90" s="28"/>
    </row>
    <row r="91" spans="2:61" ht="13">
      <c r="B91" s="81" t="s">
        <v>86</v>
      </c>
      <c r="C91" s="71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</row>
    <row r="92" spans="2:61">
      <c r="B92" s="57" t="s">
        <v>87</v>
      </c>
      <c r="C92" s="71"/>
      <c r="E92" s="49"/>
      <c r="F92" s="49"/>
      <c r="G92" s="49"/>
      <c r="H92" s="49"/>
      <c r="I92" s="49"/>
      <c r="J92" s="49"/>
      <c r="K92" s="49"/>
      <c r="L92" s="49">
        <v>0</v>
      </c>
      <c r="M92" s="49"/>
      <c r="N92" s="49"/>
      <c r="O92" s="49"/>
      <c r="P92" s="49"/>
      <c r="Q92" s="49"/>
      <c r="R92" s="49">
        <v>0</v>
      </c>
      <c r="S92" s="49"/>
      <c r="T92" s="49"/>
      <c r="U92" s="49"/>
      <c r="V92" s="49"/>
      <c r="W92" s="49"/>
      <c r="X92" s="49"/>
      <c r="Y92" s="49"/>
      <c r="Z92" s="49"/>
      <c r="AA92" s="49"/>
      <c r="AB92" s="49">
        <f t="shared" ref="AB92:AB106" si="30">SUM(H92,K92,X92,Y92,Z92:AA92,N92,Q92,T92,W92)</f>
        <v>0</v>
      </c>
      <c r="AC92" s="49"/>
      <c r="AD92" s="49"/>
      <c r="AE92" s="49">
        <f t="shared" ref="AE92:AE95" si="31">SUM(AB92:AD92)</f>
        <v>0</v>
      </c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</row>
    <row r="93" spans="2:61">
      <c r="B93" s="56" t="s">
        <v>88</v>
      </c>
      <c r="C93" s="52"/>
      <c r="E93" s="49">
        <v>-486708075000</v>
      </c>
      <c r="F93" s="49"/>
      <c r="G93" s="49"/>
      <c r="H93" s="49">
        <v>-486708075000</v>
      </c>
      <c r="I93" s="49">
        <v>-651665345625</v>
      </c>
      <c r="J93" s="49"/>
      <c r="K93" s="49">
        <v>-651665345625</v>
      </c>
      <c r="L93" s="49">
        <v>-23625000</v>
      </c>
      <c r="M93" s="49"/>
      <c r="N93" s="49">
        <v>-23625000</v>
      </c>
      <c r="O93" s="49">
        <v>-4921875000</v>
      </c>
      <c r="P93" s="49"/>
      <c r="Q93" s="49">
        <v>-4921875000</v>
      </c>
      <c r="R93" s="49">
        <v>-472500000</v>
      </c>
      <c r="S93" s="49"/>
      <c r="T93" s="49">
        <v>-472500000</v>
      </c>
      <c r="U93" s="49">
        <v>0</v>
      </c>
      <c r="V93" s="49"/>
      <c r="W93" s="49">
        <v>0</v>
      </c>
      <c r="X93" s="49"/>
      <c r="Y93" s="49"/>
      <c r="Z93" s="49"/>
      <c r="AA93" s="49"/>
      <c r="AB93" s="49">
        <f t="shared" si="30"/>
        <v>-1143791420625</v>
      </c>
      <c r="AC93" s="49">
        <f>'Elimination 23'!G6+'Elimination 23'!G28+'Elimination 23'!G38+'Elimination 23'!G48</f>
        <v>657083345625</v>
      </c>
      <c r="AD93" s="49"/>
      <c r="AE93" s="49">
        <f t="shared" ref="AE93:AE94" si="32">ROUND(SUM(AB93:AD93),0)</f>
        <v>-486708075000</v>
      </c>
      <c r="AG93" s="49">
        <v>-142427250000</v>
      </c>
      <c r="AH93" s="49"/>
      <c r="AI93" s="49"/>
      <c r="AJ93" s="49">
        <v>-142427250000</v>
      </c>
      <c r="AK93" s="49">
        <v>-217283295600</v>
      </c>
      <c r="AL93" s="49"/>
      <c r="AM93" s="49">
        <v>-217283295600</v>
      </c>
      <c r="AN93" s="49">
        <v>-23625000</v>
      </c>
      <c r="AO93" s="49"/>
      <c r="AP93" s="49">
        <v>-23625000</v>
      </c>
      <c r="AQ93" s="49">
        <v>-984375000</v>
      </c>
      <c r="AR93" s="49"/>
      <c r="AS93" s="49">
        <v>-984375000</v>
      </c>
      <c r="AT93" s="49">
        <v>-472500000</v>
      </c>
      <c r="AU93" s="49"/>
      <c r="AV93" s="49">
        <v>-472500000</v>
      </c>
      <c r="AW93" s="49">
        <v>0</v>
      </c>
      <c r="AX93" s="49"/>
      <c r="AY93" s="49">
        <v>0</v>
      </c>
      <c r="AZ93" s="49"/>
      <c r="BA93" s="49"/>
      <c r="BB93" s="49"/>
      <c r="BC93" s="49">
        <f t="shared" ref="BC93:BC106" si="33">ROUND(SUM(AJ93,AM93,AP93,AS93,AV93,AY93,AZ93),0)</f>
        <v>-361191045600</v>
      </c>
      <c r="BD93" s="49">
        <f>'Elimination 22'!G6+'Elimination 22'!G30+'Elimination 22'!G38+'Elimination 22'!G52</f>
        <v>218763795600</v>
      </c>
      <c r="BE93" s="49"/>
      <c r="BF93" s="49">
        <f t="shared" ref="BF93:BF98" si="34">ROUND(SUM(BC93:BE93),0)</f>
        <v>-142427250000</v>
      </c>
    </row>
    <row r="94" spans="2:61">
      <c r="B94" s="56" t="s">
        <v>89</v>
      </c>
      <c r="C94" s="52"/>
      <c r="E94" s="49">
        <v>-1003275649843.4249</v>
      </c>
      <c r="F94" s="49"/>
      <c r="G94" s="49"/>
      <c r="H94" s="49">
        <v>-1003275649843.4249</v>
      </c>
      <c r="I94" s="49">
        <v>0</v>
      </c>
      <c r="J94" s="49"/>
      <c r="K94" s="49">
        <v>0</v>
      </c>
      <c r="L94" s="49">
        <v>0</v>
      </c>
      <c r="M94" s="49"/>
      <c r="N94" s="49">
        <v>0</v>
      </c>
      <c r="O94" s="49">
        <v>0</v>
      </c>
      <c r="P94" s="49"/>
      <c r="Q94" s="49">
        <v>0</v>
      </c>
      <c r="R94" s="49">
        <v>0</v>
      </c>
      <c r="S94" s="49"/>
      <c r="T94" s="49">
        <v>0</v>
      </c>
      <c r="U94" s="49">
        <v>0</v>
      </c>
      <c r="V94" s="49"/>
      <c r="W94" s="49">
        <v>0</v>
      </c>
      <c r="X94" s="49"/>
      <c r="Y94" s="49"/>
      <c r="Z94" s="49"/>
      <c r="AA94" s="49"/>
      <c r="AB94" s="49">
        <f t="shared" si="30"/>
        <v>-1003275649843.4249</v>
      </c>
      <c r="AC94" s="49"/>
      <c r="AD94" s="49"/>
      <c r="AE94" s="49">
        <f t="shared" si="32"/>
        <v>-1003275649843</v>
      </c>
      <c r="AG94" s="49">
        <v>-357853579197.97498</v>
      </c>
      <c r="AH94" s="49"/>
      <c r="AI94" s="49"/>
      <c r="AJ94" s="49">
        <v>-357853579197.97498</v>
      </c>
      <c r="AK94" s="49">
        <v>-430082429984.54999</v>
      </c>
      <c r="AL94" s="49"/>
      <c r="AM94" s="49">
        <v>-430082429984.54999</v>
      </c>
      <c r="AN94" s="49">
        <v>0</v>
      </c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>
        <f t="shared" si="33"/>
        <v>-787936009183</v>
      </c>
      <c r="BD94" s="49">
        <f>'Elimination 22'!G7</f>
        <v>430082429984.54999</v>
      </c>
      <c r="BE94" s="49"/>
      <c r="BF94" s="49">
        <f t="shared" si="34"/>
        <v>-357853579198</v>
      </c>
    </row>
    <row r="95" spans="2:61">
      <c r="B95" s="57" t="s">
        <v>90</v>
      </c>
      <c r="C95" s="71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>
        <v>0</v>
      </c>
      <c r="P95" s="49"/>
      <c r="Q95" s="49">
        <v>0</v>
      </c>
      <c r="R95" s="49"/>
      <c r="S95" s="49"/>
      <c r="T95" s="49"/>
      <c r="U95" s="49">
        <v>0</v>
      </c>
      <c r="V95" s="49"/>
      <c r="W95" s="49">
        <v>0</v>
      </c>
      <c r="X95" s="49"/>
      <c r="Y95" s="49"/>
      <c r="Z95" s="49"/>
      <c r="AA95" s="49"/>
      <c r="AB95" s="49">
        <f t="shared" si="30"/>
        <v>0</v>
      </c>
      <c r="AC95" s="49"/>
      <c r="AD95" s="49"/>
      <c r="AE95" s="49">
        <f t="shared" si="31"/>
        <v>0</v>
      </c>
      <c r="AG95" s="49"/>
      <c r="AH95" s="49"/>
      <c r="AI95" s="49"/>
      <c r="AJ95" s="49"/>
      <c r="AK95" s="49">
        <v>0</v>
      </c>
      <c r="AL95" s="49"/>
      <c r="AM95" s="49">
        <v>0</v>
      </c>
      <c r="AN95" s="49">
        <v>0</v>
      </c>
      <c r="AO95" s="49"/>
      <c r="AP95" s="49">
        <v>0</v>
      </c>
      <c r="AQ95" s="49">
        <v>-2165625000</v>
      </c>
      <c r="AR95" s="49"/>
      <c r="AS95" s="49">
        <v>-2165625000</v>
      </c>
      <c r="AT95" s="49">
        <v>0</v>
      </c>
      <c r="AU95" s="49"/>
      <c r="AV95" s="49">
        <v>0</v>
      </c>
      <c r="AW95" s="49">
        <v>0</v>
      </c>
      <c r="AX95" s="49"/>
      <c r="AY95" s="49">
        <v>0</v>
      </c>
      <c r="AZ95" s="49"/>
      <c r="BA95" s="49"/>
      <c r="BB95" s="49"/>
      <c r="BC95" s="49">
        <f t="shared" si="33"/>
        <v>-2165625000</v>
      </c>
      <c r="BD95" s="49">
        <f>'Elimination 22'!G42</f>
        <v>2165625000</v>
      </c>
      <c r="BE95" s="49"/>
      <c r="BF95" s="49">
        <f t="shared" si="34"/>
        <v>0</v>
      </c>
    </row>
    <row r="96" spans="2:61">
      <c r="B96" s="57" t="s">
        <v>92</v>
      </c>
      <c r="C96" s="71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>
        <f t="shared" ref="AE96" si="35">SUM(AB96:AD96)</f>
        <v>0</v>
      </c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</row>
    <row r="97" spans="2:58">
      <c r="B97" s="82" t="s">
        <v>93</v>
      </c>
      <c r="C97" s="71"/>
      <c r="E97" s="49">
        <v>-28533901860.449997</v>
      </c>
      <c r="F97" s="49"/>
      <c r="G97" s="49"/>
      <c r="H97" s="49">
        <v>-28533901860.449997</v>
      </c>
      <c r="I97" s="49">
        <v>-4546525491.8999996</v>
      </c>
      <c r="J97" s="49"/>
      <c r="K97" s="49">
        <v>-4546525491.8999996</v>
      </c>
      <c r="L97" s="49">
        <v>0</v>
      </c>
      <c r="M97" s="49"/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/>
      <c r="T97" s="49">
        <v>0</v>
      </c>
      <c r="U97" s="49">
        <v>0</v>
      </c>
      <c r="V97" s="49">
        <v>0</v>
      </c>
      <c r="W97" s="49">
        <v>0</v>
      </c>
      <c r="X97" s="49">
        <v>0</v>
      </c>
      <c r="Y97" s="49"/>
      <c r="Z97" s="49"/>
      <c r="AA97" s="49"/>
      <c r="AB97" s="49">
        <f t="shared" si="30"/>
        <v>-33080427352.349998</v>
      </c>
      <c r="AC97" s="49">
        <f>'Elimination 23'!G17</f>
        <v>4546525491.8999996</v>
      </c>
      <c r="AD97" s="49"/>
      <c r="AE97" s="49">
        <f t="shared" ref="AE97:AE106" si="36">ROUND(SUM(AB97:AD97),0)</f>
        <v>-28533901860</v>
      </c>
      <c r="AG97" s="49">
        <v>-9104916197.4750004</v>
      </c>
      <c r="AH97" s="49"/>
      <c r="AI97" s="49"/>
      <c r="AJ97" s="49">
        <v>-9104916197.4750004</v>
      </c>
      <c r="AK97" s="49">
        <v>-1287204345</v>
      </c>
      <c r="AL97" s="49"/>
      <c r="AM97" s="49">
        <v>-1287204345</v>
      </c>
      <c r="AN97" s="49">
        <v>0</v>
      </c>
      <c r="AO97" s="49"/>
      <c r="AP97" s="49">
        <v>0</v>
      </c>
      <c r="AQ97" s="49">
        <v>0</v>
      </c>
      <c r="AR97" s="49"/>
      <c r="AS97" s="49">
        <v>0</v>
      </c>
      <c r="AT97" s="49">
        <v>0</v>
      </c>
      <c r="AU97" s="49"/>
      <c r="AV97" s="49">
        <v>0</v>
      </c>
      <c r="AW97" s="49">
        <v>0</v>
      </c>
      <c r="AX97" s="49"/>
      <c r="AY97" s="49">
        <v>0</v>
      </c>
      <c r="AZ97" s="49">
        <v>0</v>
      </c>
      <c r="BA97" s="49"/>
      <c r="BB97" s="49"/>
      <c r="BC97" s="49">
        <f t="shared" si="33"/>
        <v>-10392120542</v>
      </c>
      <c r="BD97" s="49">
        <f>'Elimination 22'!G21</f>
        <v>1287204345</v>
      </c>
      <c r="BE97" s="49"/>
      <c r="BF97" s="49">
        <f t="shared" si="34"/>
        <v>-9104916197</v>
      </c>
    </row>
    <row r="98" spans="2:58">
      <c r="B98" s="82" t="s">
        <v>94</v>
      </c>
      <c r="C98" s="71"/>
      <c r="D98" s="69"/>
      <c r="E98" s="49">
        <v>-13850428636.799999</v>
      </c>
      <c r="F98" s="49"/>
      <c r="G98" s="49"/>
      <c r="H98" s="49">
        <v>-13850428636.799999</v>
      </c>
      <c r="I98" s="49">
        <v>-7005370700.4749994</v>
      </c>
      <c r="J98" s="49"/>
      <c r="K98" s="49">
        <v>-7005370700.4749994</v>
      </c>
      <c r="L98" s="49">
        <v>0</v>
      </c>
      <c r="M98" s="49"/>
      <c r="N98" s="49">
        <v>0</v>
      </c>
      <c r="O98" s="49">
        <v>0</v>
      </c>
      <c r="P98" s="49"/>
      <c r="Q98" s="49">
        <v>0</v>
      </c>
      <c r="R98" s="49">
        <v>0</v>
      </c>
      <c r="S98" s="49"/>
      <c r="T98" s="49">
        <v>0</v>
      </c>
      <c r="U98" s="49">
        <v>0</v>
      </c>
      <c r="V98" s="49"/>
      <c r="W98" s="49">
        <v>0</v>
      </c>
      <c r="X98" s="49"/>
      <c r="Y98" s="49"/>
      <c r="Z98" s="49"/>
      <c r="AA98" s="49"/>
      <c r="AB98" s="49">
        <f t="shared" si="30"/>
        <v>-20855799337.274998</v>
      </c>
      <c r="AC98" s="49">
        <f>'Elimination 23'!G18</f>
        <v>7005370700.4749994</v>
      </c>
      <c r="AD98" s="49"/>
      <c r="AE98" s="49">
        <f t="shared" si="36"/>
        <v>-13850428637</v>
      </c>
      <c r="AF98" s="69"/>
      <c r="AG98" s="49">
        <v>-19428985662.974998</v>
      </c>
      <c r="AH98" s="49"/>
      <c r="AI98" s="49"/>
      <c r="AJ98" s="49">
        <v>-19428985662.974998</v>
      </c>
      <c r="AK98" s="49">
        <v>-3259321146.9000001</v>
      </c>
      <c r="AL98" s="49"/>
      <c r="AM98" s="49">
        <v>-3259321146.9000001</v>
      </c>
      <c r="AN98" s="49">
        <v>0</v>
      </c>
      <c r="AO98" s="49"/>
      <c r="AP98" s="49">
        <v>0</v>
      </c>
      <c r="AQ98" s="49">
        <v>0</v>
      </c>
      <c r="AR98" s="49"/>
      <c r="AS98" s="49">
        <v>0</v>
      </c>
      <c r="AT98" s="49">
        <v>0</v>
      </c>
      <c r="AU98" s="49"/>
      <c r="AV98" s="49">
        <v>0</v>
      </c>
      <c r="AW98" s="49">
        <v>0</v>
      </c>
      <c r="AX98" s="49"/>
      <c r="AY98" s="49">
        <v>0</v>
      </c>
      <c r="AZ98" s="49"/>
      <c r="BA98" s="49"/>
      <c r="BB98" s="49"/>
      <c r="BC98" s="49">
        <f t="shared" si="33"/>
        <v>-22688306810</v>
      </c>
      <c r="BD98" s="49">
        <f>'Elimination 22'!G22</f>
        <v>3259321146.9000001</v>
      </c>
      <c r="BE98" s="49"/>
      <c r="BF98" s="49">
        <f t="shared" si="34"/>
        <v>-19428985663</v>
      </c>
    </row>
    <row r="99" spans="2:58">
      <c r="B99" s="57" t="s">
        <v>165</v>
      </c>
      <c r="C99" s="71"/>
      <c r="E99" s="49"/>
      <c r="F99" s="49"/>
      <c r="G99" s="49"/>
      <c r="H99" s="49"/>
      <c r="I99" s="49">
        <v>0</v>
      </c>
      <c r="J99" s="49"/>
      <c r="K99" s="49">
        <v>0</v>
      </c>
      <c r="L99" s="49">
        <v>0</v>
      </c>
      <c r="M99" s="49"/>
      <c r="N99" s="49">
        <v>0</v>
      </c>
      <c r="O99" s="49"/>
      <c r="P99" s="49"/>
      <c r="Q99" s="49">
        <v>0</v>
      </c>
      <c r="R99" s="49">
        <v>0</v>
      </c>
      <c r="S99" s="49"/>
      <c r="T99" s="49">
        <v>0</v>
      </c>
      <c r="U99" s="49"/>
      <c r="V99" s="49"/>
      <c r="W99" s="49">
        <v>0</v>
      </c>
      <c r="X99" s="49"/>
      <c r="Y99" s="49"/>
      <c r="Z99" s="49"/>
      <c r="AA99" s="49"/>
      <c r="AB99" s="49">
        <f t="shared" si="30"/>
        <v>0</v>
      </c>
      <c r="AC99" s="49"/>
      <c r="AD99" s="49"/>
      <c r="AE99" s="49">
        <f t="shared" si="36"/>
        <v>0</v>
      </c>
      <c r="AG99" s="49"/>
      <c r="AH99" s="49"/>
      <c r="AI99" s="49"/>
      <c r="AJ99" s="49"/>
      <c r="AK99" s="49">
        <v>0</v>
      </c>
      <c r="AL99" s="49"/>
      <c r="AM99" s="49">
        <v>0</v>
      </c>
      <c r="AN99" s="49">
        <v>0</v>
      </c>
      <c r="AO99" s="49"/>
      <c r="AP99" s="49">
        <v>0</v>
      </c>
      <c r="AQ99" s="49">
        <v>0</v>
      </c>
      <c r="AR99" s="49"/>
      <c r="AS99" s="49">
        <v>0</v>
      </c>
      <c r="AT99" s="49">
        <v>0</v>
      </c>
      <c r="AU99" s="49"/>
      <c r="AV99" s="49">
        <v>0</v>
      </c>
      <c r="AW99" s="49">
        <v>0</v>
      </c>
      <c r="AX99" s="49"/>
      <c r="AY99" s="49">
        <v>0</v>
      </c>
      <c r="AZ99" s="49"/>
      <c r="BA99" s="49"/>
      <c r="BB99" s="49"/>
      <c r="BC99" s="49">
        <f t="shared" si="33"/>
        <v>0</v>
      </c>
      <c r="BD99" s="49"/>
      <c r="BE99" s="49"/>
      <c r="BF99" s="49">
        <f t="shared" ref="BF99" si="37">SUM(BC99:BE99)</f>
        <v>0</v>
      </c>
    </row>
    <row r="100" spans="2:58">
      <c r="B100" s="57" t="s">
        <v>95</v>
      </c>
      <c r="C100" s="71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</row>
    <row r="101" spans="2:58">
      <c r="B101" s="82" t="s">
        <v>96</v>
      </c>
      <c r="C101" s="71"/>
      <c r="E101" s="49">
        <f>SUM(AJ101:AJ102)</f>
        <v>323673912324.67499</v>
      </c>
      <c r="F101" s="49"/>
      <c r="G101" s="49"/>
      <c r="H101" s="49">
        <f t="shared" ref="H101:H105" si="38">SUM(E101:G101)</f>
        <v>323673912324.67499</v>
      </c>
      <c r="I101" s="49">
        <f>325102299933*1.575</f>
        <v>512036122394.47498</v>
      </c>
      <c r="J101" s="49"/>
      <c r="K101" s="49">
        <f t="shared" ref="K101:K102" si="39">SUM(I101:J101)</f>
        <v>512036122394.47498</v>
      </c>
      <c r="L101" s="49">
        <f>179440519*1.575</f>
        <v>282618817.42500001</v>
      </c>
      <c r="M101" s="49"/>
      <c r="N101" s="49">
        <f t="shared" ref="N101:N102" si="40">SUM(L101:M101)</f>
        <v>282618817.42500001</v>
      </c>
      <c r="O101" s="49">
        <f>-6830492323*1.575</f>
        <v>-10758025408.725</v>
      </c>
      <c r="P101" s="49">
        <v>0</v>
      </c>
      <c r="Q101" s="49">
        <f>SUM(O101:P101)</f>
        <v>-10758025408.725</v>
      </c>
      <c r="R101" s="49">
        <v>19179424326</v>
      </c>
      <c r="S101" s="49"/>
      <c r="T101" s="49">
        <f t="shared" ref="T101:T102" si="41">SUM(R101:S101)</f>
        <v>19179424326</v>
      </c>
      <c r="U101" s="49">
        <v>0</v>
      </c>
      <c r="V101" s="49">
        <v>0</v>
      </c>
      <c r="W101" s="49">
        <f>SUM(U101:V101)</f>
        <v>0</v>
      </c>
      <c r="X101" s="49">
        <v>0</v>
      </c>
      <c r="Y101" s="49"/>
      <c r="Z101" s="49"/>
      <c r="AA101" s="49"/>
      <c r="AB101" s="49">
        <f t="shared" si="30"/>
        <v>844414052453.84998</v>
      </c>
      <c r="AC101" s="49">
        <f>'Elimination 23'!G42</f>
        <v>10758025408.725</v>
      </c>
      <c r="AD101" s="49">
        <f>'Elimination 23'!H14+'Elimination 23'!H36+'Elimination 23'!H55</f>
        <v>-531498165537.89996</v>
      </c>
      <c r="AE101" s="49">
        <f t="shared" si="36"/>
        <v>323673912325</v>
      </c>
      <c r="AG101" s="49">
        <v>145740154214</v>
      </c>
      <c r="AH101" s="49"/>
      <c r="AI101" s="49"/>
      <c r="AJ101" s="49">
        <f t="shared" ref="AJ101:AJ105" si="42">SUM(AG101:AI101)</f>
        <v>145740154214</v>
      </c>
      <c r="AK101" s="49">
        <v>129961640658.14999</v>
      </c>
      <c r="AL101" s="49"/>
      <c r="AM101" s="49">
        <f t="shared" ref="AM101" si="43">SUM(AK101:AL101)</f>
        <v>129961640658.14999</v>
      </c>
      <c r="AN101" s="49">
        <v>0</v>
      </c>
      <c r="AO101" s="49"/>
      <c r="AP101" s="49">
        <f t="shared" ref="AP101" si="44">SUM(AN101:AO101)</f>
        <v>0</v>
      </c>
      <c r="AQ101" s="49">
        <f>-7195288493*1.575</f>
        <v>-11332579376.475</v>
      </c>
      <c r="AR101" s="49"/>
      <c r="AS101" s="49">
        <f t="shared" ref="AS101" si="45">SUM(AQ101:AR101)</f>
        <v>-11332579376.475</v>
      </c>
      <c r="AT101" s="49">
        <v>-20240927228</v>
      </c>
      <c r="AU101" s="49"/>
      <c r="AV101" s="49">
        <f t="shared" ref="AV101" si="46">SUM(AT101:AU101)</f>
        <v>-20240927228</v>
      </c>
      <c r="AW101" s="49">
        <v>0</v>
      </c>
      <c r="AX101" s="49"/>
      <c r="AY101" s="49">
        <f>SUM(AW101:AX101)</f>
        <v>0</v>
      </c>
      <c r="AZ101" s="49">
        <v>0</v>
      </c>
      <c r="BA101" s="49"/>
      <c r="BB101" s="49"/>
      <c r="BC101" s="49">
        <f t="shared" si="33"/>
        <v>244128288268</v>
      </c>
      <c r="BD101" s="49">
        <f>'Elimination 22'!G46+'Elimination 22'!G56</f>
        <v>31573506604.474998</v>
      </c>
      <c r="BE101" s="49">
        <f>'Elimination 22'!H18</f>
        <v>-129961640658.14999</v>
      </c>
      <c r="BF101" s="49">
        <f t="shared" ref="BF101:BF106" si="47">ROUND(SUM(BC101:BE101),0)</f>
        <v>145740154214</v>
      </c>
    </row>
    <row r="102" spans="2:58">
      <c r="B102" s="82" t="s">
        <v>97</v>
      </c>
      <c r="C102" s="71"/>
      <c r="D102" s="69"/>
      <c r="E102" s="49">
        <f>'Consol SoPL-OCI 23 &amp; 22'!D86</f>
        <v>307170485582.5</v>
      </c>
      <c r="F102" s="49"/>
      <c r="G102" s="49">
        <f>-G26-G29</f>
        <v>0</v>
      </c>
      <c r="H102" s="49">
        <f t="shared" si="38"/>
        <v>307170485582.5</v>
      </c>
      <c r="I102" s="49">
        <f>'Consol SoPL-OCI 23 &amp; 22'!H86</f>
        <v>603198187479.59229</v>
      </c>
      <c r="J102" s="49">
        <f>'Adjustment Consolaa'!G14</f>
        <v>0</v>
      </c>
      <c r="K102" s="49">
        <f t="shared" si="39"/>
        <v>603198187479.59229</v>
      </c>
      <c r="L102" s="49">
        <f>'Consol SoPL-OCI 23 &amp; 22'!K86</f>
        <v>-2677772539</v>
      </c>
      <c r="M102" s="49"/>
      <c r="N102" s="49">
        <f t="shared" si="40"/>
        <v>-2677772539</v>
      </c>
      <c r="O102" s="49">
        <f>'Consol SoPL-OCI 23 &amp; 22'!N86</f>
        <v>-1013465132</v>
      </c>
      <c r="P102" s="49"/>
      <c r="Q102" s="49">
        <f t="shared" ref="Q102" si="48">SUM(O102:P102)</f>
        <v>-1013465132</v>
      </c>
      <c r="R102" s="49">
        <f>'Consol SoPL-OCI 23 &amp; 22'!Q86</f>
        <v>79178338799.328873</v>
      </c>
      <c r="S102" s="49"/>
      <c r="T102" s="49">
        <f t="shared" si="41"/>
        <v>79178338799.328873</v>
      </c>
      <c r="U102" s="49">
        <v>0</v>
      </c>
      <c r="V102" s="49"/>
      <c r="W102" s="49">
        <f t="shared" ref="W102" si="49">SUM(U102:V102)</f>
        <v>0</v>
      </c>
      <c r="X102" s="49"/>
      <c r="Y102" s="49"/>
      <c r="Z102" s="49"/>
      <c r="AA102" s="49"/>
      <c r="AB102" s="49">
        <f t="shared" si="30"/>
        <v>985855774190.42114</v>
      </c>
      <c r="AC102" s="49">
        <f>'Elimination 23'!G32+'Elimination 23'!G43+SUM('Elimination 23'!G95:G97)+'Elimination 23'!G94+'Elimination 23'!G103</f>
        <v>22726568506.416355</v>
      </c>
      <c r="AD102" s="49">
        <f>'Elimination 23'!H15+'Elimination 23'!H56+'Elimination 23'!H110</f>
        <v>-682376526278.92114</v>
      </c>
      <c r="AE102" s="49">
        <f t="shared" si="36"/>
        <v>326205816418</v>
      </c>
      <c r="AF102" s="69"/>
      <c r="AG102" s="49">
        <f>'Consol SoPL-OCI 23 &amp; 22'!AE86</f>
        <v>177933758110.67499</v>
      </c>
      <c r="AH102" s="49"/>
      <c r="AI102" s="49"/>
      <c r="AJ102" s="49">
        <f t="shared" si="42"/>
        <v>177933758110.67499</v>
      </c>
      <c r="AK102" s="49">
        <f>'Consol SoPL-OCI 23 &amp; 22'!AI86</f>
        <v>382074481738.04993</v>
      </c>
      <c r="AL102" s="49"/>
      <c r="AM102" s="49">
        <f>SUM(AK102:AL102)</f>
        <v>382074481738.04993</v>
      </c>
      <c r="AN102" s="49">
        <f>'Consol SoPL-OCI 23 &amp; 22'!AL86</f>
        <v>282618817.42500013</v>
      </c>
      <c r="AO102" s="49"/>
      <c r="AP102" s="49">
        <f>SUM(AN102:AO102)</f>
        <v>282618817.42500013</v>
      </c>
      <c r="AQ102" s="49">
        <f>'Consol SoPL-OCI 23 &amp; 22'!AO86</f>
        <v>574553968</v>
      </c>
      <c r="AR102" s="49"/>
      <c r="AS102" s="49">
        <f>SUM(AQ102:AR102)</f>
        <v>574553968</v>
      </c>
      <c r="AT102" s="49">
        <f>'Consol SoPL-OCI 23 &amp; 22'!AR86</f>
        <v>39420351553.376801</v>
      </c>
      <c r="AU102" s="49"/>
      <c r="AV102" s="49">
        <f>SUM(AT102:AU102)</f>
        <v>39420351553.376801</v>
      </c>
      <c r="AW102" s="49">
        <v>0</v>
      </c>
      <c r="AX102" s="49"/>
      <c r="AY102" s="49">
        <f>SUM(AW102:AX102)</f>
        <v>0</v>
      </c>
      <c r="AZ102" s="49"/>
      <c r="BA102" s="49"/>
      <c r="BB102" s="49"/>
      <c r="BC102" s="49">
        <f t="shared" si="33"/>
        <v>600285764188</v>
      </c>
      <c r="BD102" s="49">
        <f>'Elimination 22'!G47</f>
        <v>-574553968</v>
      </c>
      <c r="BE102" s="49">
        <f>'Elimination 22'!H19+'Elimination 22'!H36+'Elimination 22'!G57</f>
        <v>-421777452108.85168</v>
      </c>
      <c r="BF102" s="49">
        <f t="shared" si="47"/>
        <v>177933758111</v>
      </c>
    </row>
    <row r="103" spans="2:58">
      <c r="B103" s="57" t="s">
        <v>98</v>
      </c>
      <c r="C103" s="71"/>
      <c r="E103" s="49"/>
      <c r="F103" s="49"/>
      <c r="G103" s="49"/>
      <c r="H103" s="49">
        <f t="shared" si="38"/>
        <v>0</v>
      </c>
      <c r="I103" s="49"/>
      <c r="J103" s="49"/>
      <c r="K103" s="49">
        <f>SUM(I103:J103)</f>
        <v>0</v>
      </c>
      <c r="L103" s="49"/>
      <c r="M103" s="49"/>
      <c r="N103" s="49"/>
      <c r="O103" s="49"/>
      <c r="P103" s="49"/>
      <c r="Q103" s="49">
        <f>SUM(O103:P103)</f>
        <v>0</v>
      </c>
      <c r="R103" s="49"/>
      <c r="S103" s="49"/>
      <c r="T103" s="49">
        <f>SUM(R103:S103)</f>
        <v>0</v>
      </c>
      <c r="U103" s="49"/>
      <c r="V103" s="49"/>
      <c r="W103" s="49">
        <f>SUM(U103:V103)</f>
        <v>0</v>
      </c>
      <c r="X103" s="49"/>
      <c r="Y103" s="49"/>
      <c r="Z103" s="49"/>
      <c r="AA103" s="49"/>
      <c r="AB103" s="49">
        <f t="shared" si="30"/>
        <v>0</v>
      </c>
      <c r="AC103" s="49"/>
      <c r="AD103" s="49"/>
      <c r="AE103" s="49"/>
      <c r="AG103" s="49"/>
      <c r="AH103" s="49"/>
      <c r="AI103" s="49"/>
      <c r="AJ103" s="49">
        <f t="shared" si="42"/>
        <v>0</v>
      </c>
      <c r="AK103" s="49"/>
      <c r="AL103" s="49"/>
      <c r="AM103" s="49">
        <f>SUM(AK103:AL103)</f>
        <v>0</v>
      </c>
      <c r="AN103" s="49"/>
      <c r="AO103" s="49"/>
      <c r="AP103" s="49">
        <f>SUM(AN103:AO103)</f>
        <v>0</v>
      </c>
      <c r="AQ103" s="49"/>
      <c r="AR103" s="49"/>
      <c r="AS103" s="49">
        <f>SUM(AQ103:AR103)</f>
        <v>0</v>
      </c>
      <c r="AT103" s="49"/>
      <c r="AU103" s="49"/>
      <c r="AV103" s="49">
        <f>SUM(AT103:AU103)</f>
        <v>0</v>
      </c>
      <c r="AW103" s="49"/>
      <c r="AX103" s="49"/>
      <c r="AY103" s="49">
        <f>SUM(AW103:AX103)</f>
        <v>0</v>
      </c>
      <c r="AZ103" s="49"/>
      <c r="BA103" s="49"/>
      <c r="BB103" s="49"/>
      <c r="BC103" s="49">
        <f t="shared" si="33"/>
        <v>0</v>
      </c>
      <c r="BD103" s="49"/>
      <c r="BE103" s="49"/>
      <c r="BF103" s="49"/>
    </row>
    <row r="104" spans="2:58">
      <c r="B104" s="82" t="s">
        <v>99</v>
      </c>
      <c r="C104" s="71"/>
      <c r="E104" s="49">
        <f>SUM(AG104:AG105)</f>
        <v>-890579715.375</v>
      </c>
      <c r="F104" s="49"/>
      <c r="G104" s="49"/>
      <c r="H104" s="49">
        <f t="shared" si="38"/>
        <v>-890579715.375</v>
      </c>
      <c r="I104" s="49">
        <f>-1103086940*1.575</f>
        <v>-1737361930.5</v>
      </c>
      <c r="J104" s="49"/>
      <c r="K104" s="49">
        <f>SUM(I104:J104)</f>
        <v>-1737361930.5</v>
      </c>
      <c r="L104" s="49">
        <v>0</v>
      </c>
      <c r="M104" s="49"/>
      <c r="N104" s="49">
        <f>SUM(L104:M104)</f>
        <v>0</v>
      </c>
      <c r="O104" s="49">
        <v>0</v>
      </c>
      <c r="P104" s="49">
        <v>0</v>
      </c>
      <c r="Q104" s="49">
        <f>SUM(O104:P104)</f>
        <v>0</v>
      </c>
      <c r="R104" s="49">
        <v>0</v>
      </c>
      <c r="S104" s="49"/>
      <c r="T104" s="49">
        <f>SUM(R104:S104)</f>
        <v>0</v>
      </c>
      <c r="U104" s="49">
        <v>0</v>
      </c>
      <c r="V104" s="49">
        <v>0</v>
      </c>
      <c r="W104" s="49">
        <f>SUM(U104:V104)</f>
        <v>0</v>
      </c>
      <c r="X104" s="49"/>
      <c r="Y104" s="49"/>
      <c r="Z104" s="49"/>
      <c r="AA104" s="49"/>
      <c r="AB104" s="49">
        <f t="shared" si="30"/>
        <v>-2627941645.875</v>
      </c>
      <c r="AC104" s="49">
        <f>'Elimination 23'!G22</f>
        <v>1737361930.5</v>
      </c>
      <c r="AD104" s="49"/>
      <c r="AE104" s="49">
        <f t="shared" si="36"/>
        <v>-890579715</v>
      </c>
      <c r="AG104" s="49">
        <f>-163949065*1.575</f>
        <v>-258219777.375</v>
      </c>
      <c r="AH104" s="49"/>
      <c r="AI104" s="49"/>
      <c r="AJ104" s="49">
        <f t="shared" si="42"/>
        <v>-258219777.375</v>
      </c>
      <c r="AK104" s="49">
        <v>0</v>
      </c>
      <c r="AL104" s="49"/>
      <c r="AM104" s="49">
        <f>SUM(AK104:AL104)</f>
        <v>0</v>
      </c>
      <c r="AN104" s="49">
        <v>0</v>
      </c>
      <c r="AO104" s="49"/>
      <c r="AP104" s="49">
        <f>SUM(AN104:AO104)</f>
        <v>0</v>
      </c>
      <c r="AQ104" s="49">
        <v>0</v>
      </c>
      <c r="AR104" s="49"/>
      <c r="AS104" s="49">
        <f>SUM(AQ104:AR104)</f>
        <v>0</v>
      </c>
      <c r="AT104" s="49">
        <v>0</v>
      </c>
      <c r="AU104" s="49"/>
      <c r="AV104" s="49">
        <f>SUM(AT104:AU104)</f>
        <v>0</v>
      </c>
      <c r="AW104" s="49">
        <v>0</v>
      </c>
      <c r="AX104" s="49"/>
      <c r="AY104" s="49">
        <f>SUM(AW104:AX104)</f>
        <v>0</v>
      </c>
      <c r="AZ104" s="49"/>
      <c r="BA104" s="49"/>
      <c r="BB104" s="49"/>
      <c r="BC104" s="49">
        <f t="shared" si="33"/>
        <v>-258219777</v>
      </c>
      <c r="BD104" s="49"/>
      <c r="BE104" s="49"/>
      <c r="BF104" s="49">
        <f t="shared" si="47"/>
        <v>-258219777</v>
      </c>
    </row>
    <row r="105" spans="2:58">
      <c r="B105" s="82" t="s">
        <v>100</v>
      </c>
      <c r="C105" s="71"/>
      <c r="E105" s="49">
        <f>SUM('Consol SoPL-OCI 23 &amp; 22'!D66:D67)</f>
        <v>-614703573.17499995</v>
      </c>
      <c r="F105" s="49"/>
      <c r="G105" s="49"/>
      <c r="H105" s="49">
        <f t="shared" si="38"/>
        <v>-614703573.17499995</v>
      </c>
      <c r="I105" s="49">
        <f>-534033979*1.575</f>
        <v>-841103516.92499995</v>
      </c>
      <c r="J105" s="49"/>
      <c r="K105" s="49">
        <f>SUM(I105:J105)</f>
        <v>-841103516.92499995</v>
      </c>
      <c r="L105" s="49">
        <v>0</v>
      </c>
      <c r="M105" s="49">
        <f>SUM(L105:L105)</f>
        <v>0</v>
      </c>
      <c r="N105" s="49">
        <f>SUM(L105:M105)</f>
        <v>0</v>
      </c>
      <c r="O105" s="49">
        <v>0</v>
      </c>
      <c r="P105" s="49"/>
      <c r="Q105" s="49">
        <f>SUM(O105:P105)</f>
        <v>0</v>
      </c>
      <c r="R105" s="49">
        <f>'Consol SoPL-OCI 23 &amp; 22'!AC70</f>
        <v>0</v>
      </c>
      <c r="S105" s="49"/>
      <c r="T105" s="49">
        <f>SUM(R105:S105)</f>
        <v>0</v>
      </c>
      <c r="U105" s="49">
        <v>0</v>
      </c>
      <c r="V105" s="49"/>
      <c r="W105" s="49">
        <f>SUM(U105:V105)</f>
        <v>0</v>
      </c>
      <c r="X105" s="49"/>
      <c r="Y105" s="49"/>
      <c r="Z105" s="49"/>
      <c r="AA105" s="49"/>
      <c r="AB105" s="49">
        <f t="shared" si="30"/>
        <v>-1455807090.0999999</v>
      </c>
      <c r="AC105" s="49">
        <f>'Elimination 23'!G23</f>
        <v>841103516.92499995</v>
      </c>
      <c r="AD105" s="49"/>
      <c r="AE105" s="49">
        <f t="shared" si="36"/>
        <v>-614703573</v>
      </c>
      <c r="AG105" s="49">
        <f>ROUND(SUM('Consol SoPL-OCI 23 &amp; 22'!AE66:AE67),0)</f>
        <v>-632359938</v>
      </c>
      <c r="AH105" s="49"/>
      <c r="AI105" s="49"/>
      <c r="AJ105" s="49">
        <f t="shared" si="42"/>
        <v>-632359938</v>
      </c>
      <c r="AK105" s="49">
        <f>SUM('Consol SoPL-OCI 23 &amp; 22'!AI66:AI67)</f>
        <v>-1737361929.9346149</v>
      </c>
      <c r="AL105" s="49"/>
      <c r="AM105" s="49">
        <f>SUM(AK105:AL105)</f>
        <v>-1737361929.9346149</v>
      </c>
      <c r="AN105" s="49">
        <f>'Consol SoPL-OCI 23 &amp; 22'!BU70</f>
        <v>0</v>
      </c>
      <c r="AO105" s="49"/>
      <c r="AP105" s="49">
        <f>SUM(AN105:AO105)</f>
        <v>0</v>
      </c>
      <c r="AQ105" s="49">
        <f>'Consol SoPL-OCI 23 &amp; 22'!BX70</f>
        <v>0</v>
      </c>
      <c r="AR105" s="49"/>
      <c r="AS105" s="49">
        <f>SUM(AQ105:AR105)</f>
        <v>0</v>
      </c>
      <c r="AT105" s="49">
        <v>0</v>
      </c>
      <c r="AU105" s="49"/>
      <c r="AV105" s="49">
        <f>SUM(AT105:AU105)</f>
        <v>0</v>
      </c>
      <c r="AW105" s="49">
        <f>'Consol SoPL-OCI 23 &amp; 22'!CD70</f>
        <v>0</v>
      </c>
      <c r="AX105" s="49"/>
      <c r="AY105" s="49">
        <f>SUM(AW105:AX105)</f>
        <v>0</v>
      </c>
      <c r="AZ105" s="49"/>
      <c r="BA105" s="49"/>
      <c r="BB105" s="49"/>
      <c r="BC105" s="49">
        <f t="shared" si="33"/>
        <v>-2369721868</v>
      </c>
      <c r="BD105" s="49">
        <f>'Elimination 22'!G26</f>
        <v>1737361929.9346149</v>
      </c>
      <c r="BE105" s="49"/>
      <c r="BF105" s="49">
        <f t="shared" si="47"/>
        <v>-632359938</v>
      </c>
    </row>
    <row r="106" spans="2:58">
      <c r="B106" s="57" t="s">
        <v>101</v>
      </c>
      <c r="C106" s="71"/>
      <c r="E106" s="49"/>
      <c r="F106" s="49"/>
      <c r="G106" s="49"/>
      <c r="H106" s="49"/>
      <c r="I106" s="49">
        <v>0</v>
      </c>
      <c r="J106" s="49"/>
      <c r="K106" s="49">
        <f t="shared" ref="K106" si="50">SUM(I106:J106)</f>
        <v>0</v>
      </c>
      <c r="L106" s="49">
        <v>0</v>
      </c>
      <c r="M106" s="49"/>
      <c r="N106" s="49">
        <f t="shared" ref="N106" si="51">SUM(L106:M106)</f>
        <v>0</v>
      </c>
      <c r="O106" s="49">
        <v>0</v>
      </c>
      <c r="P106" s="49"/>
      <c r="Q106" s="49">
        <f t="shared" ref="Q106" si="52">SUM(O106:P106)</f>
        <v>0</v>
      </c>
      <c r="R106" s="49">
        <v>0</v>
      </c>
      <c r="S106" s="49"/>
      <c r="T106" s="49">
        <f t="shared" ref="T106" si="53">SUM(R106:S106)</f>
        <v>0</v>
      </c>
      <c r="U106" s="49">
        <v>0</v>
      </c>
      <c r="V106" s="49"/>
      <c r="W106" s="49">
        <f t="shared" ref="W106" si="54">SUM(U106:V106)</f>
        <v>0</v>
      </c>
      <c r="X106" s="49">
        <v>-2093719895.629427</v>
      </c>
      <c r="Y106" s="49">
        <v>57099484402.259415</v>
      </c>
      <c r="Z106" s="49"/>
      <c r="AA106" s="49"/>
      <c r="AB106" s="49">
        <f t="shared" si="30"/>
        <v>55005764506.62999</v>
      </c>
      <c r="AC106" s="49"/>
      <c r="AD106" s="49"/>
      <c r="AE106" s="49">
        <f t="shared" si="36"/>
        <v>55005764507</v>
      </c>
      <c r="AG106" s="49"/>
      <c r="AH106" s="49"/>
      <c r="AI106" s="49"/>
      <c r="AJ106" s="49"/>
      <c r="AK106" s="49">
        <v>0</v>
      </c>
      <c r="AL106" s="49"/>
      <c r="AM106" s="49">
        <f t="shared" ref="AM106" si="55">SUM(AK106:AL106)</f>
        <v>0</v>
      </c>
      <c r="AN106" s="49">
        <v>0</v>
      </c>
      <c r="AO106" s="49"/>
      <c r="AP106" s="49">
        <f t="shared" ref="AP106" si="56">SUM(AN106:AO106)</f>
        <v>0</v>
      </c>
      <c r="AQ106" s="49">
        <v>0</v>
      </c>
      <c r="AR106" s="49"/>
      <c r="AS106" s="49">
        <f t="shared" ref="AS106" si="57">SUM(AQ106:AR106)</f>
        <v>0</v>
      </c>
      <c r="AT106" s="49">
        <v>0</v>
      </c>
      <c r="AU106" s="49"/>
      <c r="AV106" s="49">
        <f t="shared" ref="AV106" si="58">SUM(AT106:AU106)</f>
        <v>0</v>
      </c>
      <c r="AW106" s="49">
        <v>0</v>
      </c>
      <c r="AX106" s="49"/>
      <c r="AY106" s="49">
        <f t="shared" ref="AY106" si="59">SUM(AW106:AX106)</f>
        <v>0</v>
      </c>
      <c r="AZ106" s="49">
        <f>'Proforma Adjustment'!P15</f>
        <v>-2093719895.629427</v>
      </c>
      <c r="BA106" s="49"/>
      <c r="BB106" s="49"/>
      <c r="BC106" s="49">
        <f t="shared" si="33"/>
        <v>-2093719896</v>
      </c>
      <c r="BD106" s="49"/>
      <c r="BE106" s="49"/>
      <c r="BF106" s="49">
        <f t="shared" si="47"/>
        <v>-2093719896</v>
      </c>
    </row>
    <row r="107" spans="2:58">
      <c r="B107" s="82"/>
      <c r="C107" s="71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</row>
    <row r="108" spans="2:58" ht="12" customHeight="1">
      <c r="B108" s="83"/>
      <c r="C108" s="79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</row>
    <row r="109" spans="2:58" ht="13">
      <c r="B109" s="76" t="s">
        <v>102</v>
      </c>
      <c r="C109" s="71"/>
      <c r="E109" s="49">
        <f>SUM(E92:E108)</f>
        <v>-903028940722.0498</v>
      </c>
      <c r="F109" s="49"/>
      <c r="G109" s="49"/>
      <c r="H109" s="49">
        <f t="shared" ref="H109:Y109" si="60">SUM(H92:H108)</f>
        <v>-903028940722.0498</v>
      </c>
      <c r="I109" s="49">
        <f t="shared" si="60"/>
        <v>449438602609.26727</v>
      </c>
      <c r="J109" s="49">
        <f t="shared" si="60"/>
        <v>0</v>
      </c>
      <c r="K109" s="49">
        <f t="shared" si="60"/>
        <v>449438602609.26727</v>
      </c>
      <c r="L109" s="49">
        <f t="shared" si="60"/>
        <v>-2418778721.5749998</v>
      </c>
      <c r="M109" s="49">
        <f t="shared" si="60"/>
        <v>0</v>
      </c>
      <c r="N109" s="49">
        <f t="shared" si="60"/>
        <v>-2418778721.5749998</v>
      </c>
      <c r="O109" s="49">
        <f t="shared" si="60"/>
        <v>-16693365540.725</v>
      </c>
      <c r="P109" s="49">
        <f t="shared" si="60"/>
        <v>0</v>
      </c>
      <c r="Q109" s="49">
        <f t="shared" si="60"/>
        <v>-16693365540.725</v>
      </c>
      <c r="R109" s="49">
        <f t="shared" si="60"/>
        <v>97885263125.328873</v>
      </c>
      <c r="S109" s="49">
        <f t="shared" si="60"/>
        <v>0</v>
      </c>
      <c r="T109" s="49">
        <f t="shared" si="60"/>
        <v>97885263125.328873</v>
      </c>
      <c r="U109" s="49">
        <f t="shared" si="60"/>
        <v>0</v>
      </c>
      <c r="V109" s="49">
        <f t="shared" si="60"/>
        <v>0</v>
      </c>
      <c r="W109" s="49">
        <f t="shared" si="60"/>
        <v>0</v>
      </c>
      <c r="X109" s="49">
        <f t="shared" si="60"/>
        <v>-2093719895.629427</v>
      </c>
      <c r="Y109" s="49">
        <f t="shared" si="60"/>
        <v>57099484402.259415</v>
      </c>
      <c r="Z109" s="49"/>
      <c r="AA109" s="49"/>
      <c r="AB109" s="49">
        <f t="shared" ref="AB109:AB110" si="61">SUM(H109,K109,X109,Y109,Z109:AA109,N109,Q109,T109,W109)</f>
        <v>-319811454743.12372</v>
      </c>
      <c r="AC109" s="49"/>
      <c r="AD109" s="49"/>
      <c r="AE109" s="49">
        <f>SUM(AE92:AE108)</f>
        <v>-828987845378</v>
      </c>
      <c r="AG109" s="49">
        <f>SUM(AG92:AG108)</f>
        <v>-206031398449.12494</v>
      </c>
      <c r="AH109" s="49">
        <f>SUM(AH92:AH108)</f>
        <v>0</v>
      </c>
      <c r="AI109" s="49"/>
      <c r="AJ109" s="49">
        <f t="shared" ref="AJ109:AZ109" si="62">SUM(AJ92:AJ108)</f>
        <v>-206031398449.12494</v>
      </c>
      <c r="AK109" s="49">
        <f t="shared" si="62"/>
        <v>-141613490610.18472</v>
      </c>
      <c r="AL109" s="49">
        <f t="shared" si="62"/>
        <v>0</v>
      </c>
      <c r="AM109" s="49">
        <f t="shared" si="62"/>
        <v>-141613490610.18472</v>
      </c>
      <c r="AN109" s="49">
        <f t="shared" si="62"/>
        <v>258993817.42500013</v>
      </c>
      <c r="AO109" s="49">
        <f t="shared" si="62"/>
        <v>0</v>
      </c>
      <c r="AP109" s="49">
        <f t="shared" si="62"/>
        <v>258993817.42500013</v>
      </c>
      <c r="AQ109" s="49">
        <f t="shared" si="62"/>
        <v>-13908025408.475</v>
      </c>
      <c r="AR109" s="49">
        <f t="shared" si="62"/>
        <v>0</v>
      </c>
      <c r="AS109" s="49">
        <f t="shared" si="62"/>
        <v>-13908025408.475</v>
      </c>
      <c r="AT109" s="49">
        <f t="shared" si="62"/>
        <v>18706924325.376801</v>
      </c>
      <c r="AU109" s="49">
        <f t="shared" si="62"/>
        <v>0</v>
      </c>
      <c r="AV109" s="49">
        <f t="shared" si="62"/>
        <v>18706924325.376801</v>
      </c>
      <c r="AW109" s="49">
        <f t="shared" si="62"/>
        <v>0</v>
      </c>
      <c r="AX109" s="49">
        <f t="shared" si="62"/>
        <v>0</v>
      </c>
      <c r="AY109" s="49">
        <f t="shared" si="62"/>
        <v>0</v>
      </c>
      <c r="AZ109" s="49">
        <f t="shared" si="62"/>
        <v>-2093719895.629427</v>
      </c>
      <c r="BA109" s="49"/>
      <c r="BB109" s="49"/>
      <c r="BC109" s="49">
        <f>SUM(BC92:BC108)</f>
        <v>-344680716220</v>
      </c>
      <c r="BD109" s="49"/>
      <c r="BE109" s="49"/>
      <c r="BF109" s="49">
        <f>SUM(BF92:BF108)</f>
        <v>-208125118344</v>
      </c>
    </row>
    <row r="110" spans="2:58" s="90" customFormat="1" ht="13">
      <c r="B110" s="85" t="s">
        <v>103</v>
      </c>
      <c r="C110" s="86"/>
      <c r="E110" s="87"/>
      <c r="F110" s="88"/>
      <c r="G110" s="88"/>
      <c r="H110" s="88">
        <f t="shared" ref="H110" si="63">SUM(E110:F110)</f>
        <v>0</v>
      </c>
      <c r="I110" s="88">
        <v>0</v>
      </c>
      <c r="J110" s="88"/>
      <c r="K110" s="88">
        <f t="shared" ref="K110" si="64">SUM(I110:J110)</f>
        <v>0</v>
      </c>
      <c r="L110" s="88">
        <v>0</v>
      </c>
      <c r="M110" s="88"/>
      <c r="N110" s="88">
        <f t="shared" ref="N110" si="65">SUM(L110:M110)</f>
        <v>0</v>
      </c>
      <c r="O110" s="88">
        <v>0</v>
      </c>
      <c r="P110" s="88"/>
      <c r="Q110" s="88">
        <f t="shared" ref="Q110" si="66">SUM(O110:P110)</f>
        <v>0</v>
      </c>
      <c r="R110" s="88">
        <v>2644818</v>
      </c>
      <c r="S110" s="88"/>
      <c r="T110" s="88">
        <f t="shared" ref="T110" si="67">SUM(R110:S110)</f>
        <v>2644818</v>
      </c>
      <c r="U110" s="88">
        <v>0</v>
      </c>
      <c r="V110" s="88"/>
      <c r="W110" s="88">
        <f t="shared" ref="W110" si="68">SUM(U110:V110)</f>
        <v>0</v>
      </c>
      <c r="X110" s="88"/>
      <c r="Y110" s="88"/>
      <c r="Z110" s="88"/>
      <c r="AA110" s="88"/>
      <c r="AB110" s="88">
        <f t="shared" si="61"/>
        <v>2644818</v>
      </c>
      <c r="AC110" s="88">
        <f>SUM('Elimination 23'!G12:G13)+'Elimination 23'!G33+SUM('Elimination 23'!G52:G53)</f>
        <v>1126765364800.1726</v>
      </c>
      <c r="AD110" s="88">
        <f>'Elimination 23'!H9+'Elimination 23'!H20+SUM('Elimination 23'!H25:H26)+'Elimination 23'!H30+'Elimination 23'!H35+'Elimination 23'!H40+SUM('Elimination 23'!H45:H46)+'Elimination 23'!H50</f>
        <v>-653559407834.48499</v>
      </c>
      <c r="AE110" s="88">
        <f>SUM(AB110:AD111)</f>
        <v>473208601783.68762</v>
      </c>
      <c r="AG110" s="87"/>
      <c r="AH110" s="88"/>
      <c r="AI110" s="88"/>
      <c r="AJ110" s="88">
        <f t="shared" ref="AJ110" si="69">SUM(AG110:AH110)</f>
        <v>0</v>
      </c>
      <c r="AK110" s="88">
        <v>0</v>
      </c>
      <c r="AL110" s="88"/>
      <c r="AM110" s="88">
        <f t="shared" ref="AM110" si="70">SUM(AK110:AL110)</f>
        <v>0</v>
      </c>
      <c r="AN110" s="88">
        <v>0</v>
      </c>
      <c r="AO110" s="88"/>
      <c r="AP110" s="88">
        <f t="shared" ref="AP110" si="71">SUM(AN110:AO110)</f>
        <v>0</v>
      </c>
      <c r="AQ110" s="88">
        <v>0</v>
      </c>
      <c r="AR110" s="88"/>
      <c r="AS110" s="88">
        <f t="shared" ref="AS110" si="72">SUM(AQ110:AR110)</f>
        <v>0</v>
      </c>
      <c r="AT110" s="88">
        <v>-206136266.90580001</v>
      </c>
      <c r="AU110" s="88"/>
      <c r="AV110" s="88">
        <f t="shared" ref="AV110" si="73">SUM(AT110:AU110)</f>
        <v>-206136266.90580001</v>
      </c>
      <c r="AW110" s="88">
        <v>0</v>
      </c>
      <c r="AX110" s="88"/>
      <c r="AY110" s="88">
        <f t="shared" ref="AY110" si="74">SUM(AW110:AX110)</f>
        <v>0</v>
      </c>
      <c r="AZ110" s="88"/>
      <c r="BA110" s="88"/>
      <c r="BB110" s="88"/>
      <c r="BC110" s="88">
        <f t="shared" ref="BC110" si="75">ROUND(SUM(AJ110,AM110,AP110,AS110,AV110,AY110,AZ110),0)</f>
        <v>-206136267</v>
      </c>
      <c r="BD110" s="88">
        <f>SUM('Elimination 22'!G16:G17)+'Elimination 22'!G35+'Elimination 22'!H50+'Elimination 22'!H54</f>
        <v>495327420021.98364</v>
      </c>
      <c r="BE110" s="88">
        <f>'Elimination 22'!H10+'Elimination 22'!H24+SUM('Elimination 22'!H28)++'Elimination 22'!H32+'Elimination 22'!H40+'Elimination 22'!H44+'Elimination 22'!H49+'Elimination 22'!H60+'Elimination 22'!H59+'Elimination 22'!H13</f>
        <v>-629789298002.42273</v>
      </c>
      <c r="BF110" s="88">
        <f t="shared" ref="BF110" si="76">ROUND(SUM(BC110:BE110),0)</f>
        <v>-134668014247</v>
      </c>
    </row>
    <row r="111" spans="2:58">
      <c r="B111" s="78"/>
      <c r="C111" s="7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</row>
    <row r="112" spans="2:58" s="40" customFormat="1" ht="13">
      <c r="B112" s="60" t="s">
        <v>104</v>
      </c>
      <c r="C112" s="61"/>
      <c r="E112" s="73">
        <f>SUM(E109:E111)</f>
        <v>-903028940722.0498</v>
      </c>
      <c r="F112" s="73"/>
      <c r="G112" s="73"/>
      <c r="H112" s="73">
        <f>SUM(H109:H111)</f>
        <v>-903028940722.0498</v>
      </c>
      <c r="I112" s="73">
        <f>SUM(I109:I111)</f>
        <v>449438602609.26727</v>
      </c>
      <c r="J112" s="73"/>
      <c r="K112" s="73">
        <f>SUM(K109:K111)</f>
        <v>449438602609.26727</v>
      </c>
      <c r="L112" s="73">
        <f>SUM(L109:L111)</f>
        <v>-2418778721.5749998</v>
      </c>
      <c r="M112" s="73"/>
      <c r="N112" s="73">
        <f>SUM(N109:N111)</f>
        <v>-2418778721.5749998</v>
      </c>
      <c r="O112" s="73">
        <f>SUM(O109:O111)</f>
        <v>-16693365540.725</v>
      </c>
      <c r="P112" s="73"/>
      <c r="Q112" s="73">
        <f>SUM(Q109:Q111)</f>
        <v>-16693365540.725</v>
      </c>
      <c r="R112" s="73">
        <f>SUM(R109:R111)</f>
        <v>97887907943.328873</v>
      </c>
      <c r="S112" s="73"/>
      <c r="T112" s="73">
        <f>SUM(T109:T111)</f>
        <v>97887907943.328873</v>
      </c>
      <c r="U112" s="73">
        <f>SUM(U109:U111)</f>
        <v>0</v>
      </c>
      <c r="V112" s="73"/>
      <c r="W112" s="73">
        <f>SUM(W109:W111)</f>
        <v>0</v>
      </c>
      <c r="X112" s="73"/>
      <c r="Y112" s="73"/>
      <c r="Z112" s="73"/>
      <c r="AA112" s="73"/>
      <c r="AB112" s="73">
        <f>SUM(AB109:AB111)</f>
        <v>-319808809925.12372</v>
      </c>
      <c r="AC112" s="73"/>
      <c r="AD112" s="73"/>
      <c r="AE112" s="73">
        <f>SUM(AE109:AE111)</f>
        <v>-355779243594.31238</v>
      </c>
      <c r="AG112" s="73">
        <f>SUM(AG109:AG111)</f>
        <v>-206031398449.12494</v>
      </c>
      <c r="AH112" s="73"/>
      <c r="AI112" s="73"/>
      <c r="AJ112" s="73">
        <f>SUM(AJ109:AJ111)</f>
        <v>-206031398449.12494</v>
      </c>
      <c r="AK112" s="73">
        <f>SUM(AK109:AK111)</f>
        <v>-141613490610.18472</v>
      </c>
      <c r="AL112" s="73"/>
      <c r="AM112" s="73">
        <f>SUM(AM109:AM111)</f>
        <v>-141613490610.18472</v>
      </c>
      <c r="AN112" s="73">
        <f>SUM(AN109:AN111)</f>
        <v>258993817.42500013</v>
      </c>
      <c r="AO112" s="73"/>
      <c r="AP112" s="73">
        <f>SUM(AP109:AP111)</f>
        <v>258993817.42500013</v>
      </c>
      <c r="AQ112" s="73">
        <f>SUM(AQ109:AQ111)</f>
        <v>-13908025408.475</v>
      </c>
      <c r="AR112" s="73"/>
      <c r="AS112" s="73">
        <f>SUM(AS109:AS111)</f>
        <v>-13908025408.475</v>
      </c>
      <c r="AT112" s="73">
        <f>SUM(AT109:AT111)</f>
        <v>18500788058.471001</v>
      </c>
      <c r="AU112" s="73"/>
      <c r="AV112" s="73">
        <f>SUM(AV109:AV111)</f>
        <v>18500788058.471001</v>
      </c>
      <c r="AW112" s="73">
        <f>SUM(AW109:AW111)</f>
        <v>0</v>
      </c>
      <c r="AX112" s="73"/>
      <c r="AY112" s="73">
        <f>SUM(AY109:AY111)</f>
        <v>0</v>
      </c>
      <c r="AZ112" s="73"/>
      <c r="BA112" s="73"/>
      <c r="BB112" s="73"/>
      <c r="BC112" s="73">
        <f>SUM(BC109:BC111)</f>
        <v>-344886852487</v>
      </c>
      <c r="BD112" s="73"/>
      <c r="BE112" s="73"/>
      <c r="BF112" s="73">
        <f>SUM(BF109:BF111)</f>
        <v>-342793132591</v>
      </c>
    </row>
    <row r="113" spans="2:58" ht="13">
      <c r="B113" s="91"/>
      <c r="C113" s="71"/>
      <c r="E113" s="64" t="s">
        <v>40</v>
      </c>
      <c r="F113" s="64"/>
      <c r="G113" s="64"/>
      <c r="H113" s="64" t="s">
        <v>40</v>
      </c>
      <c r="I113" s="64" t="s">
        <v>40</v>
      </c>
      <c r="J113" s="64"/>
      <c r="K113" s="64" t="s">
        <v>40</v>
      </c>
      <c r="L113" s="64" t="s">
        <v>40</v>
      </c>
      <c r="M113" s="64"/>
      <c r="N113" s="64" t="s">
        <v>40</v>
      </c>
      <c r="O113" s="64" t="s">
        <v>40</v>
      </c>
      <c r="P113" s="64"/>
      <c r="Q113" s="64" t="s">
        <v>40</v>
      </c>
      <c r="R113" s="64" t="s">
        <v>40</v>
      </c>
      <c r="S113" s="64"/>
      <c r="T113" s="64" t="s">
        <v>40</v>
      </c>
      <c r="U113" s="64" t="s">
        <v>40</v>
      </c>
      <c r="V113" s="64"/>
      <c r="W113" s="64" t="s">
        <v>40</v>
      </c>
      <c r="X113" s="64"/>
      <c r="Y113" s="64"/>
      <c r="Z113" s="64"/>
      <c r="AA113" s="64"/>
      <c r="AB113" s="64" t="s">
        <v>40</v>
      </c>
      <c r="AC113" s="64"/>
      <c r="AD113" s="64"/>
      <c r="AE113" s="64" t="s">
        <v>40</v>
      </c>
      <c r="AG113" s="64" t="s">
        <v>40</v>
      </c>
      <c r="AH113" s="64"/>
      <c r="AI113" s="64"/>
      <c r="AJ113" s="64" t="s">
        <v>40</v>
      </c>
      <c r="AK113" s="64" t="s">
        <v>40</v>
      </c>
      <c r="AL113" s="64"/>
      <c r="AM113" s="64" t="s">
        <v>40</v>
      </c>
      <c r="AN113" s="64" t="s">
        <v>40</v>
      </c>
      <c r="AO113" s="64"/>
      <c r="AP113" s="64" t="s">
        <v>40</v>
      </c>
      <c r="AQ113" s="64" t="s">
        <v>40</v>
      </c>
      <c r="AR113" s="64"/>
      <c r="AS113" s="64" t="s">
        <v>40</v>
      </c>
      <c r="AT113" s="64" t="s">
        <v>40</v>
      </c>
      <c r="AU113" s="64"/>
      <c r="AV113" s="64" t="s">
        <v>40</v>
      </c>
      <c r="AW113" s="64" t="s">
        <v>40</v>
      </c>
      <c r="AX113" s="64"/>
      <c r="AY113" s="64" t="s">
        <v>40</v>
      </c>
      <c r="AZ113" s="64"/>
      <c r="BA113" s="64"/>
      <c r="BB113" s="64"/>
      <c r="BC113" s="64" t="s">
        <v>40</v>
      </c>
      <c r="BD113" s="64"/>
      <c r="BE113" s="64"/>
      <c r="BF113" s="64" t="s">
        <v>40</v>
      </c>
    </row>
    <row r="114" spans="2:58" s="40" customFormat="1" ht="13">
      <c r="B114" s="60" t="s">
        <v>105</v>
      </c>
      <c r="C114" s="61"/>
      <c r="E114" s="73">
        <f>E89+E112</f>
        <v>-1001518695456.6748</v>
      </c>
      <c r="F114" s="73"/>
      <c r="G114" s="73"/>
      <c r="H114" s="73">
        <f>H89+H112</f>
        <v>-1001518695456.6748</v>
      </c>
      <c r="I114" s="73">
        <f>I89+I112</f>
        <v>-431970378147.00775</v>
      </c>
      <c r="J114" s="73"/>
      <c r="K114" s="73">
        <f>K89+K112</f>
        <v>-431970378147.00775</v>
      </c>
      <c r="L114" s="73">
        <f>L89+L112</f>
        <v>-13412130535.575001</v>
      </c>
      <c r="M114" s="73"/>
      <c r="N114" s="73">
        <f>N89+N112</f>
        <v>-13412130535.575001</v>
      </c>
      <c r="O114" s="73">
        <f>O89+O112</f>
        <v>-56113031101.724998</v>
      </c>
      <c r="P114" s="73"/>
      <c r="Q114" s="73">
        <f>Q89+Q112</f>
        <v>-56113031101.724998</v>
      </c>
      <c r="R114" s="73">
        <f>R89+R112</f>
        <v>-166319589160.67114</v>
      </c>
      <c r="S114" s="73"/>
      <c r="T114" s="73">
        <f>T89+T112</f>
        <v>-166319589160.67114</v>
      </c>
      <c r="U114" s="73">
        <f>U89+U112</f>
        <v>0</v>
      </c>
      <c r="V114" s="73"/>
      <c r="W114" s="73">
        <f>W89+W112</f>
        <v>0</v>
      </c>
      <c r="X114" s="73"/>
      <c r="Y114" s="73"/>
      <c r="Z114" s="73"/>
      <c r="AA114" s="73"/>
      <c r="AB114" s="73">
        <f>AB89+AB112</f>
        <v>-1614328059895.0237</v>
      </c>
      <c r="AC114" s="73"/>
      <c r="AD114" s="73"/>
      <c r="AE114" s="73">
        <f>AE89+AE112</f>
        <v>-747082764274.31238</v>
      </c>
      <c r="AG114" s="73">
        <f>AG89+AG112</f>
        <v>-309605317912.17493</v>
      </c>
      <c r="AH114" s="73"/>
      <c r="AI114" s="73"/>
      <c r="AJ114" s="73">
        <f>AJ89+AJ112</f>
        <v>-309605317912.17493</v>
      </c>
      <c r="AK114" s="73">
        <f>AK89+AK112</f>
        <v>-378338583200.10974</v>
      </c>
      <c r="AL114" s="73"/>
      <c r="AM114" s="73">
        <f>AM89+AM112</f>
        <v>-378338583200.10974</v>
      </c>
      <c r="AN114" s="73">
        <f>AN89+AN112</f>
        <v>-1376935827.7499998</v>
      </c>
      <c r="AO114" s="73"/>
      <c r="AP114" s="73">
        <f>AP89+AP112</f>
        <v>-1376935827.7499998</v>
      </c>
      <c r="AQ114" s="73">
        <f>AQ89+AQ112</f>
        <v>-14097506977.475</v>
      </c>
      <c r="AR114" s="73"/>
      <c r="AS114" s="73">
        <f>AS89+AS112</f>
        <v>-14097506977.475</v>
      </c>
      <c r="AT114" s="73">
        <f>AT89+AT112</f>
        <v>-117546275342.63901</v>
      </c>
      <c r="AU114" s="73"/>
      <c r="AV114" s="73">
        <f>AV89+AV112</f>
        <v>-117546275342.63901</v>
      </c>
      <c r="AW114" s="73">
        <f>AW89+AW112</f>
        <v>0</v>
      </c>
      <c r="AX114" s="73"/>
      <c r="AY114" s="73">
        <f>AY89+AY112</f>
        <v>0</v>
      </c>
      <c r="AZ114" s="73"/>
      <c r="BA114" s="73"/>
      <c r="BB114" s="73"/>
      <c r="BC114" s="73">
        <f>BC89+BC112</f>
        <v>-823058339155</v>
      </c>
      <c r="BD114" s="73"/>
      <c r="BE114" s="73"/>
      <c r="BF114" s="73">
        <f>BF89+BF112</f>
        <v>-653688916174</v>
      </c>
    </row>
    <row r="115" spans="2:58" s="40" customFormat="1" ht="13">
      <c r="B115" s="92"/>
      <c r="E115" s="22" t="s">
        <v>40</v>
      </c>
      <c r="F115" s="22"/>
      <c r="G115" s="22"/>
      <c r="H115" s="22"/>
      <c r="I115" s="22" t="s">
        <v>40</v>
      </c>
      <c r="J115" s="22"/>
      <c r="K115" s="22"/>
      <c r="L115" s="22" t="s">
        <v>40</v>
      </c>
      <c r="M115" s="22"/>
      <c r="N115" s="22"/>
      <c r="O115" s="22" t="s">
        <v>40</v>
      </c>
      <c r="P115" s="22"/>
      <c r="Q115" s="22"/>
      <c r="R115" s="22" t="s">
        <v>40</v>
      </c>
      <c r="S115" s="22"/>
      <c r="T115" s="22"/>
      <c r="U115" s="22" t="s">
        <v>40</v>
      </c>
      <c r="V115" s="22"/>
      <c r="W115" s="22"/>
      <c r="X115" s="22"/>
      <c r="Y115" s="22"/>
      <c r="Z115" s="22"/>
      <c r="AA115" s="22"/>
      <c r="AB115" s="22" t="s">
        <v>40</v>
      </c>
      <c r="AC115" s="22"/>
      <c r="AD115" s="22"/>
      <c r="AE115" s="22" t="s">
        <v>40</v>
      </c>
      <c r="AG115" s="22" t="s">
        <v>40</v>
      </c>
      <c r="AH115" s="22"/>
      <c r="AI115" s="22"/>
      <c r="AJ115" s="22"/>
      <c r="AK115" s="22" t="s">
        <v>40</v>
      </c>
      <c r="AL115" s="22"/>
      <c r="AM115" s="22"/>
      <c r="AN115" s="22" t="s">
        <v>40</v>
      </c>
      <c r="AO115" s="22"/>
      <c r="AP115" s="22"/>
      <c r="AQ115" s="22" t="s">
        <v>40</v>
      </c>
      <c r="AR115" s="22"/>
      <c r="AS115" s="22"/>
      <c r="AT115" s="22" t="s">
        <v>40</v>
      </c>
      <c r="AU115" s="22"/>
      <c r="AV115" s="22"/>
      <c r="AW115" s="22" t="s">
        <v>40</v>
      </c>
      <c r="AX115" s="22"/>
      <c r="AY115" s="22"/>
      <c r="AZ115" s="22"/>
      <c r="BA115" s="22"/>
      <c r="BB115" s="22"/>
      <c r="BC115" s="22" t="s">
        <v>40</v>
      </c>
      <c r="BD115" s="22"/>
      <c r="BE115" s="22"/>
      <c r="BF115" s="22" t="s">
        <v>40</v>
      </c>
    </row>
    <row r="116" spans="2:58" ht="13">
      <c r="C116" s="27" t="s">
        <v>106</v>
      </c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AC116" s="28">
        <f>SUM(AC101:AD101)</f>
        <v>-520740140129.17499</v>
      </c>
      <c r="AD116" s="28">
        <f>SUM(AC102:AD102)</f>
        <v>-659649957772.50476</v>
      </c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</row>
    <row r="117" spans="2:58">
      <c r="AC117" s="28">
        <f>SUM(K101,N101,Q101,T101)</f>
        <v>520740140129.17499</v>
      </c>
      <c r="AD117" s="28">
        <f>K102+N102+Q102+T102</f>
        <v>678685288607.92114</v>
      </c>
    </row>
    <row r="118" spans="2:58" s="95" customFormat="1">
      <c r="C118" s="95" t="s">
        <v>107</v>
      </c>
      <c r="H118" s="96">
        <f>H102</f>
        <v>307170485582.5</v>
      </c>
      <c r="K118" s="96">
        <f t="shared" ref="K118:X118" si="77">K102</f>
        <v>603198187479.59229</v>
      </c>
      <c r="N118" s="96">
        <f t="shared" ref="N118:Q118" si="78">N102</f>
        <v>-2677772539</v>
      </c>
      <c r="O118" s="96">
        <f t="shared" si="78"/>
        <v>-1013465132</v>
      </c>
      <c r="P118" s="96">
        <f t="shared" si="78"/>
        <v>0</v>
      </c>
      <c r="Q118" s="96">
        <f t="shared" si="78"/>
        <v>-1013465132</v>
      </c>
      <c r="T118" s="96">
        <f t="shared" ref="T118:W118" si="79">T102</f>
        <v>79178338799.328873</v>
      </c>
      <c r="U118" s="96">
        <f t="shared" si="79"/>
        <v>0</v>
      </c>
      <c r="V118" s="96">
        <f t="shared" si="79"/>
        <v>0</v>
      </c>
      <c r="W118" s="96">
        <f t="shared" si="79"/>
        <v>0</v>
      </c>
      <c r="X118" s="96">
        <f t="shared" si="77"/>
        <v>0</v>
      </c>
      <c r="Y118" s="96"/>
      <c r="AB118" s="96">
        <f t="shared" ref="AB118" si="80">AB102</f>
        <v>985855774190.42114</v>
      </c>
      <c r="AE118" s="96">
        <f>AE102</f>
        <v>326205816418</v>
      </c>
      <c r="AJ118" s="96">
        <f>AJ102</f>
        <v>177933758110.67499</v>
      </c>
      <c r="AM118" s="96">
        <f t="shared" ref="AM118:AZ118" si="81">AM102</f>
        <v>382074481738.04993</v>
      </c>
      <c r="AP118" s="96">
        <f t="shared" ref="AP118" si="82">AP102</f>
        <v>282618817.42500013</v>
      </c>
      <c r="AS118" s="96">
        <f t="shared" ref="AS118" si="83">AS102</f>
        <v>574553968</v>
      </c>
      <c r="AV118" s="96">
        <f t="shared" ref="AV118" si="84">AV102</f>
        <v>39420351553.376801</v>
      </c>
      <c r="AY118" s="96">
        <f t="shared" ref="AY118" si="85">AY102</f>
        <v>0</v>
      </c>
      <c r="AZ118" s="96">
        <f t="shared" si="81"/>
        <v>0</v>
      </c>
      <c r="BC118" s="96">
        <f t="shared" ref="BC118" si="86">BC102</f>
        <v>600285764188</v>
      </c>
      <c r="BF118" s="96">
        <f>BF102</f>
        <v>177933758111</v>
      </c>
    </row>
    <row r="119" spans="2:58" s="95" customFormat="1">
      <c r="C119" s="95" t="s">
        <v>108</v>
      </c>
      <c r="H119" s="96">
        <f>'Consol SoPL-OCI 23 &amp; 22'!G86</f>
        <v>307170485582.5</v>
      </c>
      <c r="K119" s="96">
        <f>'Consol SoPL-OCI 23 &amp; 22'!J86</f>
        <v>603198187479.59229</v>
      </c>
      <c r="L119" s="95">
        <f>'Consol SoPL-OCI 23 &amp; 22'!K86</f>
        <v>-2677772539</v>
      </c>
      <c r="M119" s="95">
        <f>'Consol SoPL-OCI 23 &amp; 22'!L86</f>
        <v>0</v>
      </c>
      <c r="N119" s="96">
        <f>'Consol SoPL-OCI 23 &amp; 22'!M86</f>
        <v>-2677772539</v>
      </c>
      <c r="O119" s="96"/>
      <c r="P119" s="96"/>
      <c r="Q119" s="96">
        <f>'Consol SoPL-OCI 23 &amp; 22'!P86</f>
        <v>-1013465132</v>
      </c>
      <c r="T119" s="96">
        <f>'Consol SoPL-OCI 23 &amp; 22'!S86</f>
        <v>79178338799.328873</v>
      </c>
      <c r="U119" s="96"/>
      <c r="V119" s="96"/>
      <c r="W119" s="96">
        <f>'Consol SoPL-OCI 23 &amp; 22'!V86</f>
        <v>0</v>
      </c>
      <c r="X119" s="96"/>
      <c r="Y119" s="96"/>
      <c r="AB119" s="96">
        <f>'Consol SoPL-OCI 23 &amp; 22'!Z86</f>
        <v>985855774190.40576</v>
      </c>
      <c r="AE119" s="96">
        <f>'Consol SoPL-OCI 23 &amp; 22'!AC86</f>
        <v>326205816417.49524</v>
      </c>
      <c r="AJ119" s="96">
        <f>'Consol SoPL-OCI 23 &amp; 22'!AH86</f>
        <v>177933758110.67499</v>
      </c>
      <c r="AM119" s="96">
        <f>'Consol SoPL-OCI 23 &amp; 22'!AK86</f>
        <v>382074481738.04993</v>
      </c>
      <c r="AP119" s="96">
        <f>'Consol SoPL-OCI 23 &amp; 22'!BB86</f>
        <v>0</v>
      </c>
      <c r="AS119" s="96">
        <f>'Consol SoPL-OCI 23 &amp; 22'!BE86</f>
        <v>0</v>
      </c>
      <c r="AV119" s="96">
        <f>'Consol SoPL-OCI 23 &amp; 22'!BH86</f>
        <v>0</v>
      </c>
      <c r="AY119" s="96">
        <f>'Consol SoPL-OCI 23 &amp; 22'!BK86</f>
        <v>0</v>
      </c>
      <c r="AZ119" s="96"/>
      <c r="BC119" s="96">
        <f>'Consol SoPL-OCI 23 &amp; 22'!BA86</f>
        <v>600285764187.52673</v>
      </c>
      <c r="BF119" s="96">
        <f>'Consol SoPL-OCI 23 &amp; 22'!BD86</f>
        <v>177933758110.67499</v>
      </c>
    </row>
    <row r="120" spans="2:58">
      <c r="C120" s="27" t="s">
        <v>109</v>
      </c>
      <c r="H120" s="28">
        <f>H118-H119</f>
        <v>0</v>
      </c>
      <c r="K120" s="28">
        <f t="shared" ref="K120:X120" si="87">K118-K119</f>
        <v>0</v>
      </c>
      <c r="N120" s="28">
        <f t="shared" ref="N120" si="88">N118-N119</f>
        <v>0</v>
      </c>
      <c r="O120" s="28"/>
      <c r="P120" s="28">
        <f t="shared" ref="P120:Q120" si="89">P118-P119</f>
        <v>0</v>
      </c>
      <c r="Q120" s="28">
        <f t="shared" si="89"/>
        <v>0</v>
      </c>
      <c r="T120" s="28">
        <f t="shared" ref="T120" si="90">T118-T119</f>
        <v>0</v>
      </c>
      <c r="U120" s="28"/>
      <c r="V120" s="28">
        <f t="shared" ref="V120:W120" si="91">V118-V119</f>
        <v>0</v>
      </c>
      <c r="W120" s="28">
        <f t="shared" si="91"/>
        <v>0</v>
      </c>
      <c r="X120" s="28">
        <f t="shared" si="87"/>
        <v>0</v>
      </c>
      <c r="Y120" s="28"/>
      <c r="AB120" s="28">
        <f t="shared" ref="AB120" si="92">AB118-AB119</f>
        <v>1.5380859375E-2</v>
      </c>
      <c r="AE120" s="28">
        <f t="shared" ref="AE120" si="93">AE118-AE119</f>
        <v>0.5047607421875</v>
      </c>
      <c r="AJ120" s="28">
        <f>AJ118-AJ119</f>
        <v>0</v>
      </c>
      <c r="AM120" s="28">
        <f t="shared" ref="AM120" si="94">AM118-AM119</f>
        <v>0</v>
      </c>
      <c r="AP120" s="28">
        <f t="shared" ref="AP120" si="95">AP118-AP119</f>
        <v>282618817.42500013</v>
      </c>
      <c r="AS120" s="28">
        <f t="shared" ref="AS120" si="96">AS118-AS119</f>
        <v>574553968</v>
      </c>
      <c r="AV120" s="28">
        <f t="shared" ref="AV120" si="97">AV118-AV119</f>
        <v>39420351553.376801</v>
      </c>
      <c r="AY120" s="28">
        <f t="shared" ref="AY120:AZ120" si="98">AY118-AY119</f>
        <v>0</v>
      </c>
      <c r="AZ120" s="28">
        <f t="shared" si="98"/>
        <v>0</v>
      </c>
      <c r="BC120" s="28"/>
      <c r="BF120" s="28">
        <f t="shared" ref="BF120" si="99">BF118-BF119</f>
        <v>0.32501220703125</v>
      </c>
    </row>
  </sheetData>
  <mergeCells count="3">
    <mergeCell ref="X10:Y10"/>
    <mergeCell ref="Z10:AA10"/>
    <mergeCell ref="AC10:AD10"/>
  </mergeCells>
  <pageMargins left="0.7" right="0.7" top="0.75" bottom="0.75" header="0.3" footer="0.3"/>
  <pageSetup paperSize="9" orientation="portrait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690D-9EBF-4DED-894E-B10CD2F1807C}">
  <dimension ref="A3:BF105"/>
  <sheetViews>
    <sheetView workbookViewId="0"/>
  </sheetViews>
  <sheetFormatPr defaultColWidth="8.26953125" defaultRowHeight="12.5" outlineLevelRow="1" outlineLevelCol="4"/>
  <cols>
    <col min="1" max="1" width="4.7265625" style="27" bestFit="1" customWidth="1"/>
    <col min="2" max="2" width="10.81640625" style="27" customWidth="1"/>
    <col min="3" max="3" width="32" style="27" customWidth="1"/>
    <col min="4" max="4" width="18.7265625" style="27" hidden="1" customWidth="1" outlineLevel="2"/>
    <col min="5" max="6" width="17" style="27" hidden="1" customWidth="1" outlineLevel="3"/>
    <col min="7" max="7" width="17" style="27" customWidth="1" outlineLevel="1" collapsed="1"/>
    <col min="8" max="8" width="17.81640625" style="27" hidden="1" customWidth="1" outlineLevel="3"/>
    <col min="9" max="9" width="17.81640625" style="27" hidden="1" customWidth="1" outlineLevel="4"/>
    <col min="10" max="10" width="17.81640625" style="27" customWidth="1" outlineLevel="1" collapsed="1"/>
    <col min="11" max="11" width="17.81640625" style="27" hidden="1" customWidth="1" outlineLevel="3"/>
    <col min="12" max="12" width="17.81640625" style="27" hidden="1" customWidth="1" outlineLevel="4"/>
    <col min="13" max="13" width="17.81640625" style="27" customWidth="1" outlineLevel="1" collapsed="1"/>
    <col min="14" max="14" width="18.7265625" style="27" hidden="1" customWidth="1" outlineLevel="2"/>
    <col min="15" max="15" width="17" style="27" hidden="1" customWidth="1" outlineLevel="3"/>
    <col min="16" max="16" width="17" style="27" customWidth="1" outlineLevel="1" collapsed="1"/>
    <col min="17" max="17" width="18.7265625" style="27" hidden="1" customWidth="1" outlineLevel="2"/>
    <col min="18" max="18" width="17" style="27" hidden="1" customWidth="1" outlineLevel="3"/>
    <col min="19" max="19" width="17" style="27" customWidth="1" outlineLevel="1" collapsed="1"/>
    <col min="20" max="20" width="18.7265625" style="27" hidden="1" customWidth="1" outlineLevel="2"/>
    <col min="21" max="21" width="17" style="27" hidden="1" customWidth="1" outlineLevel="3"/>
    <col min="22" max="22" width="17" style="27" customWidth="1" outlineLevel="1" collapsed="1"/>
    <col min="23" max="23" width="17" style="27" customWidth="1" outlineLevel="1"/>
    <col min="24" max="25" width="17.81640625" style="27" customWidth="1" outlineLevel="1"/>
    <col min="26" max="26" width="19.7265625" style="27" customWidth="1" outlineLevel="1"/>
    <col min="27" max="28" width="17.81640625" style="27" customWidth="1" outlineLevel="1"/>
    <col min="29" max="29" width="24.81640625" style="27" customWidth="1"/>
    <col min="30" max="30" width="8.26953125" style="27"/>
    <col min="31" max="31" width="18.7265625" style="27" hidden="1" customWidth="1" outlineLevel="2"/>
    <col min="32" max="33" width="17" style="27" hidden="1" customWidth="1" outlineLevel="3"/>
    <col min="34" max="34" width="18.453125" style="27" hidden="1" customWidth="1" outlineLevel="1"/>
    <col min="35" max="35" width="18.453125" style="27" hidden="1" customWidth="1" outlineLevel="3"/>
    <col min="36" max="36" width="18.453125" style="27" hidden="1" customWidth="1" outlineLevel="4"/>
    <col min="37" max="37" width="18.453125" style="27" hidden="1" customWidth="1" outlineLevel="1" collapsed="1"/>
    <col min="38" max="38" width="18.453125" style="27" hidden="1" customWidth="1" outlineLevel="3"/>
    <col min="39" max="39" width="18.453125" style="27" hidden="1" customWidth="1" outlineLevel="4"/>
    <col min="40" max="40" width="18.453125" style="27" hidden="1" customWidth="1" outlineLevel="1" collapsed="1"/>
    <col min="41" max="41" width="18.453125" style="27" hidden="1" customWidth="1" outlineLevel="3"/>
    <col min="42" max="42" width="18.453125" style="27" hidden="1" customWidth="1" outlineLevel="4"/>
    <col min="43" max="43" width="18.453125" style="27" hidden="1" customWidth="1" outlineLevel="1" collapsed="1"/>
    <col min="44" max="44" width="18.453125" style="27" hidden="1" customWidth="1" outlineLevel="3"/>
    <col min="45" max="45" width="18.453125" style="27" hidden="1" customWidth="1" outlineLevel="4"/>
    <col min="46" max="46" width="18.453125" style="27" hidden="1" customWidth="1" outlineLevel="1"/>
    <col min="47" max="47" width="18.453125" style="27" hidden="1" customWidth="1" outlineLevel="2"/>
    <col min="48" max="48" width="18.453125" style="27" hidden="1" customWidth="1" outlineLevel="3"/>
    <col min="49" max="49" width="18.453125" style="27" hidden="1" customWidth="1" outlineLevel="1" collapsed="1"/>
    <col min="50" max="55" width="18.453125" style="27" hidden="1" customWidth="1" outlineLevel="1"/>
    <col min="56" max="56" width="18.453125" style="27" customWidth="1" collapsed="1"/>
    <col min="57" max="57" width="8.26953125" style="27"/>
    <col min="58" max="58" width="18.7265625" style="27" bestFit="1" customWidth="1"/>
    <col min="59" max="16384" width="8.26953125" style="27"/>
  </cols>
  <sheetData>
    <row r="3" spans="1:58" s="7" customFormat="1" ht="14.9" customHeight="1">
      <c r="B3" s="8"/>
      <c r="C3" s="9" t="s">
        <v>542</v>
      </c>
      <c r="D3" s="97"/>
      <c r="E3" s="11"/>
      <c r="F3" s="11"/>
      <c r="G3" s="11"/>
      <c r="H3" s="11"/>
      <c r="I3" s="11"/>
      <c r="J3" s="11"/>
      <c r="K3" s="11"/>
      <c r="L3" s="11"/>
      <c r="M3" s="11"/>
      <c r="N3" s="97"/>
      <c r="O3" s="11"/>
      <c r="P3" s="11"/>
      <c r="Q3" s="97"/>
      <c r="R3" s="11"/>
      <c r="S3" s="11"/>
      <c r="T3" s="97"/>
      <c r="U3" s="11"/>
      <c r="V3" s="11"/>
      <c r="W3" s="11"/>
      <c r="X3" s="11"/>
      <c r="Y3" s="11"/>
      <c r="Z3" s="11"/>
      <c r="AA3" s="11"/>
      <c r="AB3" s="11"/>
      <c r="AC3" s="13"/>
      <c r="AD3" s="14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58" s="7" customFormat="1" ht="14.9" customHeight="1">
      <c r="B4" s="15"/>
      <c r="C4" s="2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5"/>
      <c r="AD4" s="6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</row>
    <row r="5" spans="1:58" s="7" customFormat="1" ht="14.9" customHeight="1">
      <c r="B5" s="9"/>
      <c r="C5" s="17" t="s">
        <v>469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8"/>
      <c r="AD5" s="19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</row>
    <row r="6" spans="1:58" s="7" customFormat="1" ht="14.9" customHeight="1">
      <c r="B6" s="20"/>
      <c r="C6" s="21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4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</row>
    <row r="7" spans="1:58" s="7" customFormat="1" ht="14.9" customHeight="1">
      <c r="B7" s="20"/>
      <c r="C7" s="2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4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4"/>
    </row>
    <row r="8" spans="1:58">
      <c r="B8" s="29"/>
      <c r="C8" s="98"/>
      <c r="D8" s="98"/>
      <c r="E8" s="98"/>
      <c r="F8" s="98"/>
      <c r="G8" s="98"/>
      <c r="I8" s="98"/>
      <c r="J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AE8" s="98"/>
      <c r="AF8" s="98"/>
      <c r="AG8" s="98"/>
      <c r="AH8" s="98"/>
      <c r="AJ8" s="98"/>
      <c r="AK8" s="98"/>
      <c r="AM8" s="98"/>
      <c r="AN8" s="98"/>
      <c r="AP8" s="98"/>
      <c r="AQ8" s="98"/>
      <c r="AS8" s="98"/>
      <c r="AT8" s="98"/>
      <c r="AU8" s="98"/>
      <c r="AV8" s="98"/>
      <c r="AW8" s="98"/>
      <c r="AX8" s="98"/>
    </row>
    <row r="9" spans="1:58" ht="13">
      <c r="B9" s="29"/>
      <c r="C9" s="98"/>
      <c r="D9" s="99"/>
      <c r="E9" s="101"/>
      <c r="F9" s="101"/>
      <c r="G9" s="99" t="s">
        <v>641</v>
      </c>
      <c r="H9" s="101"/>
      <c r="I9" s="101"/>
      <c r="J9" s="99" t="s">
        <v>688</v>
      </c>
      <c r="K9" s="101"/>
      <c r="L9" s="101"/>
      <c r="M9" s="99" t="s">
        <v>740</v>
      </c>
      <c r="N9" s="99"/>
      <c r="O9" s="101"/>
      <c r="P9" s="99" t="s">
        <v>465</v>
      </c>
      <c r="Q9" s="99"/>
      <c r="R9" s="101"/>
      <c r="S9" s="99" t="s">
        <v>609</v>
      </c>
      <c r="T9" s="99"/>
      <c r="U9" s="101"/>
      <c r="V9" s="99" t="s">
        <v>461</v>
      </c>
      <c r="W9" s="98"/>
      <c r="AE9" s="99"/>
      <c r="AF9" s="101"/>
      <c r="AG9" s="101"/>
      <c r="AH9" s="99" t="s">
        <v>470</v>
      </c>
      <c r="AI9" s="101"/>
      <c r="AJ9" s="101"/>
      <c r="AK9" s="99" t="s">
        <v>463</v>
      </c>
      <c r="AL9" s="101"/>
      <c r="AM9" s="101"/>
      <c r="AN9" s="99" t="s">
        <v>464</v>
      </c>
      <c r="AO9" s="101"/>
      <c r="AP9" s="101"/>
      <c r="AQ9" s="99" t="s">
        <v>465</v>
      </c>
      <c r="AR9" s="101"/>
      <c r="AS9" s="101"/>
      <c r="AT9" s="99" t="s">
        <v>466</v>
      </c>
      <c r="AU9" s="99"/>
      <c r="AV9" s="101"/>
      <c r="AW9" s="99" t="s">
        <v>461</v>
      </c>
      <c r="AX9" s="98"/>
    </row>
    <row r="10" spans="1:58">
      <c r="B10" s="29"/>
      <c r="C10" s="98"/>
      <c r="D10" s="98"/>
      <c r="E10" s="98"/>
      <c r="F10" s="98"/>
      <c r="G10" s="98"/>
      <c r="I10" s="98"/>
      <c r="J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Z10" s="65"/>
      <c r="AA10" s="28"/>
      <c r="AE10" s="98"/>
      <c r="AF10" s="98"/>
      <c r="AG10" s="98"/>
      <c r="AH10" s="98"/>
      <c r="AJ10" s="98"/>
      <c r="AK10" s="98"/>
      <c r="AM10" s="98"/>
      <c r="AN10" s="98"/>
      <c r="AP10" s="98"/>
      <c r="AQ10" s="98"/>
      <c r="AS10" s="98"/>
      <c r="AT10" s="98"/>
      <c r="AU10" s="98"/>
      <c r="AV10" s="98"/>
      <c r="AW10" s="98"/>
      <c r="AX10" s="98"/>
      <c r="BB10" s="28"/>
    </row>
    <row r="11" spans="1:58" ht="13">
      <c r="B11" s="32" t="s">
        <v>111</v>
      </c>
      <c r="D11" s="102">
        <f>D86-'Consol SoFP 23 &amp; 22'!E102</f>
        <v>0</v>
      </c>
      <c r="E11" s="102"/>
      <c r="F11" s="102"/>
      <c r="G11" s="102">
        <f>G86-'Consol SoFP 23 &amp; 22'!H102</f>
        <v>0</v>
      </c>
      <c r="H11" s="102">
        <f>H86-'Consol SoFP 23 &amp; 22'!I102</f>
        <v>0</v>
      </c>
      <c r="I11" s="102">
        <f>I86-'Consol SoFP 23 &amp; 22'!J102</f>
        <v>0</v>
      </c>
      <c r="J11" s="102">
        <f>J86-'Consol SoFP 23 &amp; 22'!K102</f>
        <v>0</v>
      </c>
      <c r="K11" s="102">
        <f>K86-'Consol SoFP 23 &amp; 22'!L102</f>
        <v>0</v>
      </c>
      <c r="L11" s="102">
        <f>L86-'Consol SoFP 23 &amp; 22'!M102</f>
        <v>0</v>
      </c>
      <c r="M11" s="102">
        <f>M86-'Consol SoFP 23 &amp; 22'!N102</f>
        <v>0</v>
      </c>
      <c r="N11" s="102">
        <f>N86-'Consol SoFP 23 &amp; 22'!O102</f>
        <v>0</v>
      </c>
      <c r="O11" s="102">
        <f>O86-'Consol SoFP 23 &amp; 22'!P102</f>
        <v>0</v>
      </c>
      <c r="P11" s="102">
        <f>P86-'Consol SoFP 23 &amp; 22'!Q102</f>
        <v>0</v>
      </c>
      <c r="Q11" s="102">
        <f>Q86-'Consol SoFP 23 &amp; 22'!R102</f>
        <v>0</v>
      </c>
      <c r="R11" s="102">
        <f>R86-'Consol SoFP 23 &amp; 22'!S102</f>
        <v>0</v>
      </c>
      <c r="S11" s="102">
        <f>S86-'Consol SoFP 23 &amp; 22'!T102</f>
        <v>0</v>
      </c>
      <c r="T11" s="102">
        <f>T86-'Consol SoFP 23 &amp; 22'!U102</f>
        <v>0</v>
      </c>
      <c r="U11" s="102">
        <f>U86-'Consol SoFP 23 &amp; 22'!V102</f>
        <v>0</v>
      </c>
      <c r="V11" s="102">
        <f>V86-'Consol SoFP 23 &amp; 22'!W102</f>
        <v>0</v>
      </c>
      <c r="W11" s="102"/>
      <c r="X11" s="102"/>
      <c r="Y11" s="102"/>
      <c r="Z11" s="102">
        <f>Z86-'Consol SoFP 23 &amp; 22'!AB102</f>
        <v>-1.5380859375E-2</v>
      </c>
      <c r="AA11" s="102"/>
      <c r="AB11" s="102"/>
      <c r="AC11" s="102">
        <f>AC86-'Consol SoFP 23 &amp; 22'!AE102</f>
        <v>-0.5047607421875</v>
      </c>
      <c r="AE11" s="102">
        <f>AE86-'Consol SoFP 23 &amp; 22'!AG102</f>
        <v>0</v>
      </c>
      <c r="AF11" s="102">
        <f>AF86-'Consol SoFP 23 &amp; 22'!AH102</f>
        <v>0</v>
      </c>
      <c r="AG11" s="102">
        <f>AG86-'Consol SoFP 23 &amp; 22'!AI102</f>
        <v>0</v>
      </c>
      <c r="AH11" s="102">
        <f>AH86-'Consol SoFP 23 &amp; 22'!AJ102</f>
        <v>0</v>
      </c>
      <c r="AI11" s="102">
        <f>AI86-'Consol SoFP 23 &amp; 22'!AK102</f>
        <v>0</v>
      </c>
      <c r="AJ11" s="102">
        <f>AJ86-'Consol SoFP 23 &amp; 22'!AL102</f>
        <v>0</v>
      </c>
      <c r="AK11" s="102">
        <f>AK86-'Consol SoFP 23 &amp; 22'!AM102</f>
        <v>0</v>
      </c>
      <c r="AL11" s="102">
        <f>AL86-'Consol SoFP 23 &amp; 22'!AN102</f>
        <v>0</v>
      </c>
      <c r="AM11" s="102">
        <f>AM86-'Consol SoFP 23 &amp; 22'!AO102</f>
        <v>0</v>
      </c>
      <c r="AN11" s="102">
        <f>AN86-'Consol SoFP 23 &amp; 22'!AP102</f>
        <v>0</v>
      </c>
      <c r="AO11" s="102">
        <f>AO86-'Consol SoFP 23 &amp; 22'!AQ102</f>
        <v>0</v>
      </c>
      <c r="AP11" s="102">
        <f>AP86-'Consol SoFP 23 &amp; 22'!AR102</f>
        <v>0</v>
      </c>
      <c r="AQ11" s="102">
        <f>AQ86-'Consol SoFP 23 &amp; 22'!AS102</f>
        <v>0</v>
      </c>
      <c r="AR11" s="102">
        <f>AR86-'Consol SoFP 23 &amp; 22'!AT102</f>
        <v>0</v>
      </c>
      <c r="AS11" s="102">
        <f>AS86-'Consol SoFP 23 &amp; 22'!AU102</f>
        <v>0</v>
      </c>
      <c r="AT11" s="102">
        <f>AT86-'Consol SoFP 23 &amp; 22'!AV102</f>
        <v>0</v>
      </c>
      <c r="AU11" s="102">
        <f>AU86-'Consol SoFP 23 &amp; 22'!AW102</f>
        <v>0</v>
      </c>
      <c r="AV11" s="102">
        <f>AV86-'Consol SoFP 23 &amp; 22'!AX102</f>
        <v>0</v>
      </c>
      <c r="AW11" s="102">
        <f>AW86-'Consol SoFP 23 &amp; 22'!AY102</f>
        <v>0</v>
      </c>
      <c r="AX11" s="102"/>
      <c r="AY11" s="102"/>
      <c r="AZ11" s="102"/>
      <c r="BA11" s="102">
        <f>BA86-'Consol SoFP 23 &amp; 22'!BC102</f>
        <v>-0.4732666015625</v>
      </c>
      <c r="BB11" s="102"/>
      <c r="BC11" s="102"/>
      <c r="BD11" s="102">
        <f>BD86-'Consol SoFP 23 &amp; 22'!BF102</f>
        <v>-0.32501220703125</v>
      </c>
    </row>
    <row r="12" spans="1:58" s="40" customFormat="1" ht="12.75" customHeight="1">
      <c r="B12" s="652" t="s">
        <v>4</v>
      </c>
      <c r="C12" s="653"/>
      <c r="D12" s="103">
        <v>45291</v>
      </c>
      <c r="E12" s="661" t="s">
        <v>7</v>
      </c>
      <c r="F12" s="661" t="s">
        <v>8</v>
      </c>
      <c r="G12" s="104">
        <v>45291</v>
      </c>
      <c r="H12" s="103">
        <v>45291</v>
      </c>
      <c r="I12" s="661" t="s">
        <v>8</v>
      </c>
      <c r="J12" s="104">
        <v>45291</v>
      </c>
      <c r="K12" s="103">
        <v>45291</v>
      </c>
      <c r="L12" s="661" t="s">
        <v>8</v>
      </c>
      <c r="M12" s="104">
        <v>45291</v>
      </c>
      <c r="N12" s="103">
        <v>45291</v>
      </c>
      <c r="O12" s="661" t="s">
        <v>8</v>
      </c>
      <c r="P12" s="104">
        <v>45291</v>
      </c>
      <c r="Q12" s="103">
        <v>45291</v>
      </c>
      <c r="R12" s="661" t="s">
        <v>8</v>
      </c>
      <c r="S12" s="104">
        <v>45291</v>
      </c>
      <c r="T12" s="103">
        <v>45291</v>
      </c>
      <c r="U12" s="661" t="s">
        <v>8</v>
      </c>
      <c r="V12" s="104">
        <v>45291</v>
      </c>
      <c r="W12" s="105" t="s">
        <v>9</v>
      </c>
      <c r="X12" s="651" t="s">
        <v>10</v>
      </c>
      <c r="Y12" s="665"/>
      <c r="Z12" s="37" t="s">
        <v>11</v>
      </c>
      <c r="AA12" s="651" t="s">
        <v>12</v>
      </c>
      <c r="AB12" s="665"/>
      <c r="AC12" s="37" t="s">
        <v>13</v>
      </c>
      <c r="AE12" s="103">
        <v>44926</v>
      </c>
      <c r="AF12" s="661" t="s">
        <v>7</v>
      </c>
      <c r="AG12" s="661" t="s">
        <v>8</v>
      </c>
      <c r="AH12" s="104">
        <v>44926</v>
      </c>
      <c r="AI12" s="103">
        <v>44926</v>
      </c>
      <c r="AJ12" s="661" t="s">
        <v>8</v>
      </c>
      <c r="AK12" s="104">
        <v>44926</v>
      </c>
      <c r="AL12" s="103">
        <v>44926</v>
      </c>
      <c r="AM12" s="661" t="s">
        <v>8</v>
      </c>
      <c r="AN12" s="104">
        <v>44926</v>
      </c>
      <c r="AO12" s="103">
        <v>44926</v>
      </c>
      <c r="AP12" s="661" t="s">
        <v>8</v>
      </c>
      <c r="AQ12" s="104">
        <v>44926</v>
      </c>
      <c r="AR12" s="103">
        <v>44926</v>
      </c>
      <c r="AS12" s="661" t="s">
        <v>8</v>
      </c>
      <c r="AT12" s="104">
        <v>44926</v>
      </c>
      <c r="AU12" s="103">
        <v>44926</v>
      </c>
      <c r="AV12" s="661" t="s">
        <v>8</v>
      </c>
      <c r="AW12" s="104">
        <v>44926</v>
      </c>
      <c r="AX12" s="38" t="s">
        <v>9</v>
      </c>
      <c r="AY12" s="651" t="s">
        <v>10</v>
      </c>
      <c r="AZ12" s="665"/>
      <c r="BA12" s="37" t="s">
        <v>11</v>
      </c>
      <c r="BB12" s="651" t="s">
        <v>12</v>
      </c>
      <c r="BC12" s="665"/>
      <c r="BD12" s="37" t="s">
        <v>13</v>
      </c>
    </row>
    <row r="13" spans="1:58" s="40" customFormat="1" ht="13">
      <c r="B13" s="663"/>
      <c r="C13" s="664"/>
      <c r="D13" s="43" t="s">
        <v>112</v>
      </c>
      <c r="E13" s="662"/>
      <c r="F13" s="662"/>
      <c r="G13" s="45" t="s">
        <v>642</v>
      </c>
      <c r="H13" s="43" t="s">
        <v>112</v>
      </c>
      <c r="I13" s="662"/>
      <c r="J13" s="45" t="s">
        <v>642</v>
      </c>
      <c r="K13" s="43" t="s">
        <v>112</v>
      </c>
      <c r="L13" s="662"/>
      <c r="M13" s="45" t="s">
        <v>642</v>
      </c>
      <c r="N13" s="43" t="s">
        <v>112</v>
      </c>
      <c r="O13" s="662"/>
      <c r="P13" s="45" t="s">
        <v>642</v>
      </c>
      <c r="Q13" s="43" t="s">
        <v>112</v>
      </c>
      <c r="R13" s="662"/>
      <c r="S13" s="45" t="s">
        <v>642</v>
      </c>
      <c r="T13" s="43" t="s">
        <v>112</v>
      </c>
      <c r="U13" s="662"/>
      <c r="V13" s="45" t="s">
        <v>642</v>
      </c>
      <c r="W13" s="46">
        <v>45291</v>
      </c>
      <c r="X13" s="43" t="s">
        <v>14</v>
      </c>
      <c r="Y13" s="43" t="s">
        <v>15</v>
      </c>
      <c r="Z13" s="45">
        <v>45291</v>
      </c>
      <c r="AA13" s="43" t="s">
        <v>14</v>
      </c>
      <c r="AB13" s="43" t="s">
        <v>15</v>
      </c>
      <c r="AC13" s="45">
        <v>45291</v>
      </c>
      <c r="AE13" s="43" t="s">
        <v>112</v>
      </c>
      <c r="AF13" s="662"/>
      <c r="AG13" s="662"/>
      <c r="AH13" s="45" t="s">
        <v>471</v>
      </c>
      <c r="AI13" s="43" t="s">
        <v>112</v>
      </c>
      <c r="AJ13" s="662"/>
      <c r="AK13" s="45" t="s">
        <v>471</v>
      </c>
      <c r="AL13" s="43" t="s">
        <v>112</v>
      </c>
      <c r="AM13" s="662"/>
      <c r="AN13" s="45" t="s">
        <v>471</v>
      </c>
      <c r="AO13" s="43" t="s">
        <v>112</v>
      </c>
      <c r="AP13" s="662"/>
      <c r="AQ13" s="45" t="s">
        <v>471</v>
      </c>
      <c r="AR13" s="43" t="s">
        <v>112</v>
      </c>
      <c r="AS13" s="662"/>
      <c r="AT13" s="45" t="s">
        <v>471</v>
      </c>
      <c r="AU13" s="43" t="s">
        <v>112</v>
      </c>
      <c r="AV13" s="662"/>
      <c r="AW13" s="45" t="s">
        <v>471</v>
      </c>
      <c r="AX13" s="46">
        <v>44926</v>
      </c>
      <c r="AY13" s="43" t="s">
        <v>14</v>
      </c>
      <c r="AZ13" s="43" t="s">
        <v>15</v>
      </c>
      <c r="BA13" s="45">
        <v>44926</v>
      </c>
      <c r="BB13" s="43" t="s">
        <v>14</v>
      </c>
      <c r="BC13" s="43" t="s">
        <v>15</v>
      </c>
      <c r="BD13" s="45">
        <v>44926</v>
      </c>
    </row>
    <row r="14" spans="1:58" s="40" customFormat="1" ht="13">
      <c r="B14" s="107"/>
      <c r="C14" s="108"/>
      <c r="D14" s="109"/>
      <c r="E14" s="109"/>
      <c r="F14" s="109"/>
      <c r="G14" s="110"/>
      <c r="H14" s="109"/>
      <c r="I14" s="109"/>
      <c r="J14" s="110"/>
      <c r="K14" s="109"/>
      <c r="L14" s="109"/>
      <c r="M14" s="110"/>
      <c r="N14" s="109"/>
      <c r="O14" s="109"/>
      <c r="P14" s="110"/>
      <c r="Q14" s="109"/>
      <c r="R14" s="109"/>
      <c r="S14" s="110"/>
      <c r="T14" s="109"/>
      <c r="U14" s="109"/>
      <c r="V14" s="110"/>
      <c r="W14" s="110"/>
      <c r="X14" s="109"/>
      <c r="Y14" s="109"/>
      <c r="Z14" s="110"/>
      <c r="AA14" s="109"/>
      <c r="AB14" s="109"/>
      <c r="AC14" s="110"/>
      <c r="AE14" s="109"/>
      <c r="AF14" s="109"/>
      <c r="AG14" s="109"/>
      <c r="AH14" s="110"/>
      <c r="AI14" s="109"/>
      <c r="AJ14" s="109"/>
      <c r="AK14" s="110"/>
      <c r="AL14" s="109"/>
      <c r="AM14" s="109"/>
      <c r="AN14" s="110"/>
      <c r="AO14" s="109"/>
      <c r="AP14" s="109"/>
      <c r="AQ14" s="110"/>
      <c r="AR14" s="109"/>
      <c r="AS14" s="109"/>
      <c r="AT14" s="110"/>
      <c r="AU14" s="109"/>
      <c r="AV14" s="109"/>
      <c r="AW14" s="110"/>
      <c r="AX14" s="110"/>
      <c r="AY14" s="109"/>
      <c r="AZ14" s="109"/>
      <c r="BA14" s="110"/>
      <c r="BB14" s="109"/>
      <c r="BC14" s="109"/>
      <c r="BD14" s="110"/>
    </row>
    <row r="15" spans="1:58">
      <c r="B15" s="47"/>
      <c r="C15" s="48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</row>
    <row r="16" spans="1:58" ht="13">
      <c r="A16" s="27">
        <v>1</v>
      </c>
      <c r="B16" s="53" t="s">
        <v>113</v>
      </c>
      <c r="C16" s="52"/>
      <c r="D16" s="68">
        <v>-47509988566</v>
      </c>
      <c r="E16" s="49"/>
      <c r="F16" s="49"/>
      <c r="G16" s="49">
        <v>-47509988566</v>
      </c>
      <c r="H16" s="49">
        <v>-257476547236</v>
      </c>
      <c r="I16" s="49"/>
      <c r="J16" s="49">
        <v>-257476547236</v>
      </c>
      <c r="K16" s="49">
        <v>-15350656851</v>
      </c>
      <c r="L16" s="49"/>
      <c r="M16" s="49">
        <v>-15350656851</v>
      </c>
      <c r="N16" s="68">
        <v>-8440039495</v>
      </c>
      <c r="O16" s="49"/>
      <c r="P16" s="49">
        <v>-8440039495</v>
      </c>
      <c r="Q16" s="68">
        <v>-584705071240</v>
      </c>
      <c r="R16" s="49"/>
      <c r="S16" s="49">
        <v>-584705071240</v>
      </c>
      <c r="T16" s="68">
        <v>0</v>
      </c>
      <c r="U16" s="49"/>
      <c r="V16" s="49">
        <v>0</v>
      </c>
      <c r="W16" s="49"/>
      <c r="X16" s="49"/>
      <c r="Y16" s="49"/>
      <c r="Z16" s="49">
        <f>ROUND(SUM(G16,J16,M16,P16,S16,V16,W16:Y16),0)</f>
        <v>-913482303388</v>
      </c>
      <c r="AA16" s="49"/>
      <c r="AB16" s="49"/>
      <c r="AC16" s="49">
        <f>SUM(Z16:AB16)</f>
        <v>-913482303388</v>
      </c>
      <c r="AE16" s="68">
        <v>-74458078918</v>
      </c>
      <c r="AF16" s="49"/>
      <c r="AG16" s="49"/>
      <c r="AH16" s="49">
        <v>-74458078918</v>
      </c>
      <c r="AI16" s="49">
        <v>-206061171491.69998</v>
      </c>
      <c r="AJ16" s="49"/>
      <c r="AK16" s="49">
        <v>-206061171491.69998</v>
      </c>
      <c r="AL16" s="49">
        <v>-1365116416.6499999</v>
      </c>
      <c r="AM16" s="49"/>
      <c r="AN16" s="49">
        <v>-1365116416.6499999</v>
      </c>
      <c r="AO16" s="49">
        <v>0</v>
      </c>
      <c r="AP16" s="49"/>
      <c r="AQ16" s="49">
        <v>0</v>
      </c>
      <c r="AR16" s="49">
        <v>-93058934331</v>
      </c>
      <c r="AS16" s="49"/>
      <c r="AT16" s="49">
        <v>-93058934331</v>
      </c>
      <c r="AU16" s="68">
        <v>0</v>
      </c>
      <c r="AV16" s="49"/>
      <c r="AW16" s="49">
        <v>0</v>
      </c>
      <c r="AX16" s="49"/>
      <c r="AY16" s="49"/>
      <c r="AZ16" s="49"/>
      <c r="BA16" s="49">
        <f>SUM(AH16,AK16,AN16,AQ16,AT16,AW16,AX16)</f>
        <v>-374943301157.34998</v>
      </c>
      <c r="BB16" s="49"/>
      <c r="BC16" s="49"/>
      <c r="BD16" s="49">
        <f>SUM(BA16:BC16)</f>
        <v>-374943301157.34998</v>
      </c>
      <c r="BF16" s="65"/>
    </row>
    <row r="17" spans="1:58" ht="13">
      <c r="A17" s="27">
        <v>2</v>
      </c>
      <c r="B17" s="53" t="s">
        <v>114</v>
      </c>
      <c r="C17" s="111"/>
      <c r="D17" s="68">
        <v>46445564176</v>
      </c>
      <c r="E17" s="49"/>
      <c r="F17" s="49"/>
      <c r="G17" s="49">
        <v>46445564176</v>
      </c>
      <c r="H17" s="49">
        <v>344915837698</v>
      </c>
      <c r="I17" s="49"/>
      <c r="J17" s="49">
        <v>344915837698</v>
      </c>
      <c r="K17" s="49">
        <v>9679181517</v>
      </c>
      <c r="L17" s="49"/>
      <c r="M17" s="49">
        <v>9679181517</v>
      </c>
      <c r="N17" s="68">
        <v>223360712</v>
      </c>
      <c r="O17" s="49"/>
      <c r="P17" s="49">
        <v>223360712</v>
      </c>
      <c r="Q17" s="68">
        <v>565546756058</v>
      </c>
      <c r="R17" s="49"/>
      <c r="S17" s="49">
        <v>565546756058</v>
      </c>
      <c r="T17" s="68">
        <v>0</v>
      </c>
      <c r="U17" s="49"/>
      <c r="V17" s="49">
        <v>0</v>
      </c>
      <c r="W17" s="49"/>
      <c r="X17" s="49"/>
      <c r="Y17" s="49"/>
      <c r="Z17" s="49">
        <f>ROUND(SUM(G17,J17,M17,P17,S17,V17,W17:Y17),0)</f>
        <v>966810700161</v>
      </c>
      <c r="AA17" s="49"/>
      <c r="AB17" s="49"/>
      <c r="AC17" s="49">
        <f>SUM(Z17:AB17)</f>
        <v>966810700161</v>
      </c>
      <c r="AE17" s="68">
        <v>42627538009</v>
      </c>
      <c r="AF17" s="49"/>
      <c r="AG17" s="49"/>
      <c r="AH17" s="49">
        <v>42627538009</v>
      </c>
      <c r="AI17" s="49">
        <v>188977703400.67499</v>
      </c>
      <c r="AJ17" s="49"/>
      <c r="AK17" s="49">
        <v>188977703400.67499</v>
      </c>
      <c r="AL17" s="49">
        <v>1344999458.25</v>
      </c>
      <c r="AM17" s="49"/>
      <c r="AN17" s="49">
        <v>1344999458.25</v>
      </c>
      <c r="AO17" s="49">
        <v>0</v>
      </c>
      <c r="AP17" s="49"/>
      <c r="AQ17" s="49">
        <v>0</v>
      </c>
      <c r="AR17" s="49">
        <v>91192305041</v>
      </c>
      <c r="AS17" s="49"/>
      <c r="AT17" s="49">
        <v>91192305041</v>
      </c>
      <c r="AU17" s="68">
        <v>0</v>
      </c>
      <c r="AV17" s="49"/>
      <c r="AW17" s="49">
        <v>0</v>
      </c>
      <c r="AX17" s="49"/>
      <c r="AY17" s="49"/>
      <c r="AZ17" s="49"/>
      <c r="BA17" s="49">
        <f>SUM(AH17,AK17,AN17,AQ17,AT17,AW17,AX17)</f>
        <v>324142545908.92499</v>
      </c>
      <c r="BB17" s="49"/>
      <c r="BC17" s="49"/>
      <c r="BD17" s="49">
        <f>SUM(BA17:BC17)</f>
        <v>324142545908.92499</v>
      </c>
      <c r="BF17" s="65"/>
    </row>
    <row r="18" spans="1:58">
      <c r="B18" s="58"/>
      <c r="C18" s="5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</row>
    <row r="19" spans="1:58" s="40" customFormat="1" ht="13">
      <c r="B19" s="60" t="s">
        <v>115</v>
      </c>
      <c r="C19" s="61"/>
      <c r="D19" s="73">
        <v>-1064424390</v>
      </c>
      <c r="E19" s="73"/>
      <c r="F19" s="73"/>
      <c r="G19" s="73">
        <v>-1064424390</v>
      </c>
      <c r="H19" s="73">
        <v>87439290462</v>
      </c>
      <c r="I19" s="73"/>
      <c r="J19" s="73">
        <v>87439290462</v>
      </c>
      <c r="K19" s="73">
        <v>-5671475334</v>
      </c>
      <c r="L19" s="73"/>
      <c r="M19" s="73">
        <v>-5671475334</v>
      </c>
      <c r="N19" s="73">
        <v>-8216678783</v>
      </c>
      <c r="O19" s="73"/>
      <c r="P19" s="73">
        <v>-8216678783</v>
      </c>
      <c r="Q19" s="73">
        <v>-19158315182</v>
      </c>
      <c r="R19" s="73"/>
      <c r="S19" s="73">
        <v>-19158315182</v>
      </c>
      <c r="T19" s="73">
        <v>0</v>
      </c>
      <c r="U19" s="73"/>
      <c r="V19" s="73">
        <v>0</v>
      </c>
      <c r="W19" s="73"/>
      <c r="X19" s="73"/>
      <c r="Y19" s="73"/>
      <c r="Z19" s="73">
        <f>SUM(Z15:Z18)</f>
        <v>53328396773</v>
      </c>
      <c r="AA19" s="73"/>
      <c r="AB19" s="73"/>
      <c r="AC19" s="73">
        <f t="shared" ref="AC19" si="0">SUM(AC15:AC18)</f>
        <v>53328396773</v>
      </c>
      <c r="AE19" s="73">
        <f>SUM(AE15:AE18)</f>
        <v>-31830540909</v>
      </c>
      <c r="AF19" s="73"/>
      <c r="AG19" s="73"/>
      <c r="AH19" s="73">
        <f>SUM(AH15:AH18)</f>
        <v>-31830540909</v>
      </c>
      <c r="AI19" s="73">
        <f>SUM(AI15:AI18)</f>
        <v>-17083468091.024994</v>
      </c>
      <c r="AJ19" s="73"/>
      <c r="AK19" s="73">
        <f>SUM(AK15:AK18)</f>
        <v>-17083468091.024994</v>
      </c>
      <c r="AL19" s="73">
        <f>SUM(AL15:AL18)</f>
        <v>-20116958.399999857</v>
      </c>
      <c r="AM19" s="73"/>
      <c r="AN19" s="73">
        <f>SUM(AN15:AN18)</f>
        <v>-20116958.399999857</v>
      </c>
      <c r="AO19" s="73">
        <f>SUM(AO15:AO18)</f>
        <v>0</v>
      </c>
      <c r="AP19" s="73"/>
      <c r="AQ19" s="73">
        <f>SUM(AQ15:AQ18)</f>
        <v>0</v>
      </c>
      <c r="AR19" s="73">
        <f>SUM(AR15:AR18)</f>
        <v>-1866629290</v>
      </c>
      <c r="AS19" s="73"/>
      <c r="AT19" s="73">
        <f>SUM(AT15:AT18)</f>
        <v>-1866629290</v>
      </c>
      <c r="AU19" s="73">
        <f t="shared" ref="AU19" si="1">SUM(AU15:AU18)</f>
        <v>0</v>
      </c>
      <c r="AV19" s="73"/>
      <c r="AW19" s="73">
        <f>SUM(AW15:AW18)</f>
        <v>0</v>
      </c>
      <c r="AX19" s="73"/>
      <c r="AY19" s="73"/>
      <c r="AZ19" s="73"/>
      <c r="BA19" s="73">
        <f>SUM(BA15:BA18)</f>
        <v>-50800755248.424988</v>
      </c>
      <c r="BB19" s="73"/>
      <c r="BC19" s="73"/>
      <c r="BD19" s="73">
        <f t="shared" ref="BD19" si="2">SUM(BD15:BD18)</f>
        <v>-50800755248.424988</v>
      </c>
    </row>
    <row r="20" spans="1:58" ht="13">
      <c r="B20" s="74"/>
      <c r="C20" s="75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466">
        <v>3.2765775643728276E-2</v>
      </c>
      <c r="R20" s="64"/>
      <c r="S20" s="64"/>
      <c r="T20" s="64"/>
      <c r="U20" s="64"/>
      <c r="V20" s="64"/>
      <c r="W20" s="64"/>
      <c r="X20" s="64"/>
      <c r="Y20" s="64"/>
      <c r="Z20" s="466">
        <f>S16/Z16</f>
        <v>0.64008363278784564</v>
      </c>
      <c r="AA20" s="64"/>
      <c r="AB20" s="64"/>
      <c r="AC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</row>
    <row r="21" spans="1:58" ht="13">
      <c r="B21" s="112" t="s">
        <v>116</v>
      </c>
      <c r="C21" s="113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</row>
    <row r="22" spans="1:58">
      <c r="A22" s="27">
        <v>3</v>
      </c>
      <c r="B22" s="57" t="s">
        <v>117</v>
      </c>
      <c r="C22" s="71"/>
      <c r="D22" s="68">
        <v>0</v>
      </c>
      <c r="E22" s="49"/>
      <c r="F22" s="49"/>
      <c r="G22" s="49">
        <v>0</v>
      </c>
      <c r="H22" s="49">
        <v>0</v>
      </c>
      <c r="I22" s="49"/>
      <c r="J22" s="49">
        <v>0</v>
      </c>
      <c r="K22" s="49">
        <v>0</v>
      </c>
      <c r="L22" s="49"/>
      <c r="M22" s="49">
        <v>0</v>
      </c>
      <c r="N22" s="68">
        <v>0</v>
      </c>
      <c r="O22" s="49"/>
      <c r="P22" s="49">
        <v>0</v>
      </c>
      <c r="Q22" s="68">
        <v>0</v>
      </c>
      <c r="R22" s="49"/>
      <c r="S22" s="49">
        <v>0</v>
      </c>
      <c r="T22" s="68">
        <v>0</v>
      </c>
      <c r="U22" s="49"/>
      <c r="V22" s="49">
        <v>0</v>
      </c>
      <c r="W22" s="49"/>
      <c r="X22" s="49"/>
      <c r="Y22" s="49"/>
      <c r="Z22" s="49">
        <f t="shared" ref="Z22:Z28" si="3">ROUND(SUM(G22,J22,M22,P22,S22,V22,W22:Y22),0)</f>
        <v>0</v>
      </c>
      <c r="AA22" s="49"/>
      <c r="AB22" s="49"/>
      <c r="AC22" s="49">
        <f t="shared" ref="AC22:AC28" si="4">SUM(Z22:AB22)</f>
        <v>0</v>
      </c>
      <c r="AE22" s="68">
        <v>0</v>
      </c>
      <c r="AF22" s="49"/>
      <c r="AG22" s="49"/>
      <c r="AH22" s="49">
        <v>0</v>
      </c>
      <c r="AI22" s="49">
        <v>0</v>
      </c>
      <c r="AJ22" s="49"/>
      <c r="AK22" s="49">
        <v>0</v>
      </c>
      <c r="AL22" s="49">
        <v>0</v>
      </c>
      <c r="AM22" s="49"/>
      <c r="AN22" s="49">
        <v>0</v>
      </c>
      <c r="AO22" s="49">
        <v>0</v>
      </c>
      <c r="AP22" s="49"/>
      <c r="AQ22" s="49">
        <v>0</v>
      </c>
      <c r="AR22" s="49">
        <v>0</v>
      </c>
      <c r="AS22" s="49"/>
      <c r="AT22" s="49">
        <v>0</v>
      </c>
      <c r="AU22" s="68">
        <v>0</v>
      </c>
      <c r="AV22" s="49"/>
      <c r="AW22" s="49">
        <v>0</v>
      </c>
      <c r="AX22" s="49"/>
      <c r="AY22" s="49"/>
      <c r="AZ22" s="49"/>
      <c r="BA22" s="49">
        <f t="shared" ref="BA22:BA28" si="5">SUM(AH22,AK22,AN22,AQ22,AT22,AW22,AX22)</f>
        <v>0</v>
      </c>
      <c r="BB22" s="49"/>
      <c r="BC22" s="49"/>
      <c r="BD22" s="49">
        <f t="shared" ref="BD22:BD28" si="6">SUM(BA22:BC22)</f>
        <v>0</v>
      </c>
      <c r="BF22" s="65"/>
    </row>
    <row r="23" spans="1:58">
      <c r="B23" s="57" t="s">
        <v>118</v>
      </c>
      <c r="C23" s="71"/>
      <c r="D23" s="68">
        <v>31311860360</v>
      </c>
      <c r="E23" s="49"/>
      <c r="F23" s="49"/>
      <c r="G23" s="49">
        <v>31311860360</v>
      </c>
      <c r="H23" s="49">
        <v>800369664</v>
      </c>
      <c r="I23" s="49"/>
      <c r="J23" s="49">
        <v>800369664</v>
      </c>
      <c r="K23" s="49">
        <v>0</v>
      </c>
      <c r="L23" s="49"/>
      <c r="M23" s="49">
        <v>0</v>
      </c>
      <c r="N23" s="68">
        <v>0</v>
      </c>
      <c r="O23" s="49"/>
      <c r="P23" s="49">
        <v>0</v>
      </c>
      <c r="Q23" s="68">
        <v>0</v>
      </c>
      <c r="R23" s="49"/>
      <c r="S23" s="49">
        <v>0</v>
      </c>
      <c r="T23" s="68">
        <v>0</v>
      </c>
      <c r="U23" s="49"/>
      <c r="V23" s="49">
        <v>0</v>
      </c>
      <c r="W23" s="49"/>
      <c r="X23" s="49"/>
      <c r="Y23" s="49"/>
      <c r="Z23" s="49">
        <f t="shared" si="3"/>
        <v>32112230024</v>
      </c>
      <c r="AA23" s="49"/>
      <c r="AB23" s="49"/>
      <c r="AC23" s="49">
        <f t="shared" si="4"/>
        <v>32112230024</v>
      </c>
      <c r="AE23" s="68">
        <v>23065709441</v>
      </c>
      <c r="AF23" s="49"/>
      <c r="AG23" s="49"/>
      <c r="AH23" s="49">
        <v>23065709441</v>
      </c>
      <c r="AI23" s="49">
        <v>329498471.92500001</v>
      </c>
      <c r="AJ23" s="49"/>
      <c r="AK23" s="49">
        <v>329498471.92500001</v>
      </c>
      <c r="AL23" s="49">
        <v>0</v>
      </c>
      <c r="AM23" s="49"/>
      <c r="AN23" s="49">
        <v>0</v>
      </c>
      <c r="AO23" s="49">
        <v>0</v>
      </c>
      <c r="AP23" s="49"/>
      <c r="AQ23" s="49">
        <v>0</v>
      </c>
      <c r="AR23" s="49">
        <v>0</v>
      </c>
      <c r="AS23" s="49"/>
      <c r="AT23" s="49">
        <v>0</v>
      </c>
      <c r="AU23" s="68">
        <v>0</v>
      </c>
      <c r="AV23" s="49"/>
      <c r="AW23" s="49">
        <v>0</v>
      </c>
      <c r="AX23" s="49"/>
      <c r="AY23" s="49"/>
      <c r="AZ23" s="49"/>
      <c r="BA23" s="49">
        <f t="shared" si="5"/>
        <v>23395207912.924999</v>
      </c>
      <c r="BB23" s="49"/>
      <c r="BC23" s="49"/>
      <c r="BD23" s="49">
        <f t="shared" si="6"/>
        <v>23395207912.924999</v>
      </c>
      <c r="BF23" s="65"/>
    </row>
    <row r="24" spans="1:58">
      <c r="A24" s="27">
        <v>4</v>
      </c>
      <c r="B24" s="57" t="s">
        <v>119</v>
      </c>
      <c r="C24" s="71"/>
      <c r="D24" s="68">
        <v>270320702589</v>
      </c>
      <c r="E24" s="49"/>
      <c r="F24" s="49"/>
      <c r="G24" s="49">
        <v>270320702589</v>
      </c>
      <c r="H24" s="49">
        <v>446947159360</v>
      </c>
      <c r="I24" s="49">
        <v>0</v>
      </c>
      <c r="J24" s="49">
        <v>446947159360</v>
      </c>
      <c r="K24" s="49">
        <v>2627783321</v>
      </c>
      <c r="L24" s="49">
        <v>0</v>
      </c>
      <c r="M24" s="49">
        <v>2627783321</v>
      </c>
      <c r="N24" s="68">
        <v>7277775032</v>
      </c>
      <c r="O24" s="49"/>
      <c r="P24" s="49">
        <v>7277775032</v>
      </c>
      <c r="Q24" s="68">
        <v>72580062024.422256</v>
      </c>
      <c r="R24" s="49"/>
      <c r="S24" s="49">
        <v>72580062024.422256</v>
      </c>
      <c r="T24" s="68">
        <v>0</v>
      </c>
      <c r="U24" s="49"/>
      <c r="V24" s="49">
        <v>0</v>
      </c>
      <c r="W24" s="49"/>
      <c r="X24" s="49"/>
      <c r="Y24" s="49"/>
      <c r="Z24" s="49">
        <f t="shared" si="3"/>
        <v>799753482326</v>
      </c>
      <c r="AA24" s="49"/>
      <c r="AB24" s="49"/>
      <c r="AC24" s="49">
        <f t="shared" si="4"/>
        <v>799753482326</v>
      </c>
      <c r="AE24" s="68">
        <v>180158681166</v>
      </c>
      <c r="AF24" s="49"/>
      <c r="AG24" s="49"/>
      <c r="AH24" s="49">
        <v>180158681166</v>
      </c>
      <c r="AI24" s="49">
        <v>378029542859.47498</v>
      </c>
      <c r="AJ24" s="49"/>
      <c r="AK24" s="49">
        <v>378029542859.47498</v>
      </c>
      <c r="AL24" s="49">
        <v>7673077.125</v>
      </c>
      <c r="AM24" s="49"/>
      <c r="AN24" s="49">
        <v>7673077.125</v>
      </c>
      <c r="AO24" s="49">
        <v>574254170</v>
      </c>
      <c r="AP24" s="49"/>
      <c r="AQ24" s="49">
        <v>574254170</v>
      </c>
      <c r="AR24" s="49">
        <v>8533444219.3500004</v>
      </c>
      <c r="AS24" s="49"/>
      <c r="AT24" s="49">
        <v>8533444219.3500004</v>
      </c>
      <c r="AU24" s="68">
        <v>0</v>
      </c>
      <c r="AV24" s="49"/>
      <c r="AW24" s="49">
        <v>0</v>
      </c>
      <c r="AX24" s="49"/>
      <c r="AY24" s="49"/>
      <c r="AZ24" s="49"/>
      <c r="BA24" s="49">
        <f t="shared" si="5"/>
        <v>567303595491.94995</v>
      </c>
      <c r="BB24" s="49"/>
      <c r="BC24" s="49"/>
      <c r="BD24" s="49">
        <f t="shared" si="6"/>
        <v>567303595491.94995</v>
      </c>
      <c r="BF24" s="65"/>
    </row>
    <row r="25" spans="1:58">
      <c r="B25" s="57" t="s">
        <v>120</v>
      </c>
      <c r="C25" s="71"/>
      <c r="D25" s="68">
        <v>17514686287</v>
      </c>
      <c r="E25" s="49"/>
      <c r="F25" s="49"/>
      <c r="G25" s="49">
        <v>17514686287</v>
      </c>
      <c r="H25" s="49">
        <v>13100761494</v>
      </c>
      <c r="I25" s="49"/>
      <c r="J25" s="49">
        <v>13100761494</v>
      </c>
      <c r="K25" s="49">
        <v>7442480</v>
      </c>
      <c r="L25" s="49"/>
      <c r="M25" s="49">
        <v>7442480</v>
      </c>
      <c r="N25" s="68">
        <v>0</v>
      </c>
      <c r="O25" s="49"/>
      <c r="P25" s="49">
        <v>0</v>
      </c>
      <c r="Q25" s="68">
        <v>0</v>
      </c>
      <c r="R25" s="49"/>
      <c r="S25" s="49">
        <v>0</v>
      </c>
      <c r="T25" s="68">
        <v>0</v>
      </c>
      <c r="U25" s="49"/>
      <c r="V25" s="49">
        <v>0</v>
      </c>
      <c r="W25" s="49"/>
      <c r="X25" s="49"/>
      <c r="Y25" s="49"/>
      <c r="Z25" s="49">
        <f t="shared" si="3"/>
        <v>30622890261</v>
      </c>
      <c r="AA25" s="49"/>
      <c r="AB25" s="49"/>
      <c r="AC25" s="49">
        <f t="shared" si="4"/>
        <v>30622890261</v>
      </c>
      <c r="AE25" s="68">
        <v>174853015</v>
      </c>
      <c r="AF25" s="49"/>
      <c r="AG25" s="49"/>
      <c r="AH25" s="49">
        <v>174853015</v>
      </c>
      <c r="AI25" s="49">
        <v>9040217057.5499992</v>
      </c>
      <c r="AJ25" s="49"/>
      <c r="AK25" s="49">
        <v>9040217057.5499992</v>
      </c>
      <c r="AL25" s="49">
        <v>0</v>
      </c>
      <c r="AM25" s="49"/>
      <c r="AN25" s="49">
        <v>0</v>
      </c>
      <c r="AO25" s="49">
        <v>0</v>
      </c>
      <c r="AP25" s="49"/>
      <c r="AQ25" s="49">
        <v>0</v>
      </c>
      <c r="AR25" s="49">
        <v>0</v>
      </c>
      <c r="AS25" s="49"/>
      <c r="AT25" s="49">
        <v>0</v>
      </c>
      <c r="AU25" s="68">
        <v>0</v>
      </c>
      <c r="AV25" s="49"/>
      <c r="AW25" s="49">
        <v>0</v>
      </c>
      <c r="AX25" s="49"/>
      <c r="AY25" s="49"/>
      <c r="AZ25" s="49"/>
      <c r="BA25" s="49">
        <f t="shared" si="5"/>
        <v>9215070072.5499992</v>
      </c>
      <c r="BB25" s="49"/>
      <c r="BC25" s="49"/>
      <c r="BD25" s="49">
        <f t="shared" si="6"/>
        <v>9215070072.5499992</v>
      </c>
      <c r="BF25" s="65"/>
    </row>
    <row r="26" spans="1:58">
      <c r="B26" s="57" t="s">
        <v>121</v>
      </c>
      <c r="C26" s="71"/>
      <c r="D26" s="68">
        <v>-3796710247.5749998</v>
      </c>
      <c r="E26" s="49"/>
      <c r="F26" s="49">
        <v>0</v>
      </c>
      <c r="G26" s="49">
        <v>-3796710247.5749998</v>
      </c>
      <c r="H26" s="49">
        <v>2883155094</v>
      </c>
      <c r="I26" s="49"/>
      <c r="J26" s="49">
        <v>2883155094</v>
      </c>
      <c r="K26" s="49">
        <v>0</v>
      </c>
      <c r="L26" s="49"/>
      <c r="M26" s="49">
        <v>0</v>
      </c>
      <c r="N26" s="68">
        <v>0</v>
      </c>
      <c r="O26" s="49"/>
      <c r="P26" s="49">
        <v>0</v>
      </c>
      <c r="Q26" s="68">
        <v>2813013954</v>
      </c>
      <c r="R26" s="49"/>
      <c r="S26" s="49">
        <v>2813013954</v>
      </c>
      <c r="T26" s="68">
        <v>0</v>
      </c>
      <c r="U26" s="49"/>
      <c r="V26" s="49">
        <v>0</v>
      </c>
      <c r="W26" s="49"/>
      <c r="X26" s="49"/>
      <c r="Y26" s="49"/>
      <c r="Z26" s="49">
        <f t="shared" si="3"/>
        <v>1899458800</v>
      </c>
      <c r="AA26" s="49"/>
      <c r="AB26" s="49">
        <f>'Elimination 23'!H110</f>
        <v>0</v>
      </c>
      <c r="AC26" s="49">
        <f>SUM(Z26:AB26)</f>
        <v>1899458800</v>
      </c>
      <c r="AE26" s="68">
        <v>8728958944.125</v>
      </c>
      <c r="AF26" s="49"/>
      <c r="AG26" s="49"/>
      <c r="AH26" s="49">
        <v>8728958944.125</v>
      </c>
      <c r="AI26" s="49">
        <v>0</v>
      </c>
      <c r="AJ26" s="49"/>
      <c r="AK26" s="49">
        <v>0</v>
      </c>
      <c r="AL26" s="49">
        <v>0</v>
      </c>
      <c r="AM26" s="49"/>
      <c r="AN26" s="49">
        <v>0</v>
      </c>
      <c r="AO26" s="49">
        <v>0</v>
      </c>
      <c r="AP26" s="49"/>
      <c r="AQ26" s="49">
        <v>0</v>
      </c>
      <c r="AR26" s="49">
        <v>32139141056</v>
      </c>
      <c r="AS26" s="49"/>
      <c r="AT26" s="49">
        <v>32139141056</v>
      </c>
      <c r="AU26" s="68">
        <v>0</v>
      </c>
      <c r="AV26" s="49"/>
      <c r="AW26" s="49">
        <v>0</v>
      </c>
      <c r="AX26" s="49"/>
      <c r="AY26" s="49"/>
      <c r="AZ26" s="49"/>
      <c r="BA26" s="49">
        <f t="shared" si="5"/>
        <v>40868100000.125</v>
      </c>
      <c r="BB26" s="49">
        <f>'Elimination 22'!H84</f>
        <v>-8728958944.7613792</v>
      </c>
      <c r="BC26" s="49">
        <f>'Elimination 22'!G86</f>
        <v>8728958944.7613792</v>
      </c>
      <c r="BD26" s="49">
        <f t="shared" si="6"/>
        <v>40868100000.125</v>
      </c>
      <c r="BF26" s="65"/>
    </row>
    <row r="27" spans="1:58">
      <c r="B27" s="57" t="s">
        <v>122</v>
      </c>
      <c r="C27" s="71"/>
      <c r="D27" s="68">
        <v>0</v>
      </c>
      <c r="E27" s="49"/>
      <c r="F27" s="49"/>
      <c r="G27" s="49">
        <v>0</v>
      </c>
      <c r="H27" s="49">
        <v>32453747018</v>
      </c>
      <c r="I27" s="49"/>
      <c r="J27" s="49">
        <v>32453747018</v>
      </c>
      <c r="K27" s="49">
        <v>0</v>
      </c>
      <c r="L27" s="49"/>
      <c r="M27" s="49">
        <v>0</v>
      </c>
      <c r="N27" s="68">
        <v>0</v>
      </c>
      <c r="O27" s="49"/>
      <c r="P27" s="49">
        <v>0</v>
      </c>
      <c r="Q27" s="68">
        <v>0</v>
      </c>
      <c r="R27" s="49"/>
      <c r="S27" s="49">
        <v>0</v>
      </c>
      <c r="T27" s="68">
        <v>0</v>
      </c>
      <c r="U27" s="49"/>
      <c r="V27" s="49">
        <v>0</v>
      </c>
      <c r="W27" s="49"/>
      <c r="X27" s="49"/>
      <c r="Y27" s="49"/>
      <c r="Z27" s="49">
        <f t="shared" si="3"/>
        <v>32453747018</v>
      </c>
      <c r="AA27" s="49"/>
      <c r="AB27" s="49"/>
      <c r="AC27" s="49">
        <f t="shared" ref="AC27" si="7">SUM(Z27:AB27)</f>
        <v>32453747018</v>
      </c>
      <c r="AE27" s="68">
        <v>0</v>
      </c>
      <c r="AF27" s="49"/>
      <c r="AG27" s="49"/>
      <c r="AH27" s="49">
        <v>0</v>
      </c>
      <c r="AI27" s="49">
        <v>0</v>
      </c>
      <c r="AJ27" s="49"/>
      <c r="AK27" s="49">
        <v>0</v>
      </c>
      <c r="AL27" s="49">
        <v>0</v>
      </c>
      <c r="AM27" s="49"/>
      <c r="AN27" s="49">
        <v>0</v>
      </c>
      <c r="AO27" s="49">
        <v>0</v>
      </c>
      <c r="AP27" s="49"/>
      <c r="AQ27" s="49">
        <v>0</v>
      </c>
      <c r="AR27" s="49">
        <v>-1326891251.25</v>
      </c>
      <c r="AS27" s="49"/>
      <c r="AT27" s="49">
        <v>-1326891251.25</v>
      </c>
      <c r="AU27" s="68">
        <v>0</v>
      </c>
      <c r="AV27" s="49"/>
      <c r="AW27" s="49">
        <v>0</v>
      </c>
      <c r="AX27" s="49"/>
      <c r="AY27" s="49"/>
      <c r="AZ27" s="49"/>
      <c r="BA27" s="49">
        <f t="shared" si="5"/>
        <v>-1326891251.25</v>
      </c>
      <c r="BB27" s="49"/>
      <c r="BC27" s="49"/>
      <c r="BD27" s="49">
        <f t="shared" si="6"/>
        <v>-1326891251.25</v>
      </c>
      <c r="BF27" s="65"/>
    </row>
    <row r="28" spans="1:58">
      <c r="B28" s="57" t="s">
        <v>123</v>
      </c>
      <c r="C28" s="71"/>
      <c r="D28" s="68">
        <v>5021964645.0749998</v>
      </c>
      <c r="E28" s="49"/>
      <c r="F28" s="49"/>
      <c r="G28" s="49">
        <v>5021964645.0749998</v>
      </c>
      <c r="H28" s="49">
        <v>-6127204538</v>
      </c>
      <c r="I28" s="49"/>
      <c r="J28" s="49">
        <v>-6127204538</v>
      </c>
      <c r="K28" s="49">
        <v>0</v>
      </c>
      <c r="L28" s="49"/>
      <c r="M28" s="49">
        <v>0</v>
      </c>
      <c r="N28" s="68">
        <v>-60575066</v>
      </c>
      <c r="O28" s="49"/>
      <c r="P28" s="49">
        <v>-60575066</v>
      </c>
      <c r="Q28" s="68">
        <v>15152246685.875</v>
      </c>
      <c r="R28" s="49"/>
      <c r="S28" s="49">
        <v>15152246685.875</v>
      </c>
      <c r="T28" s="68">
        <v>0</v>
      </c>
      <c r="U28" s="49"/>
      <c r="V28" s="49">
        <v>0</v>
      </c>
      <c r="W28" s="49"/>
      <c r="X28" s="49"/>
      <c r="Y28" s="49"/>
      <c r="Z28" s="49">
        <f t="shared" si="3"/>
        <v>13986431727</v>
      </c>
      <c r="AA28" s="49"/>
      <c r="AB28" s="49"/>
      <c r="AC28" s="49">
        <f t="shared" si="4"/>
        <v>13986431727</v>
      </c>
      <c r="AE28" s="68">
        <v>-5301538272.4499998</v>
      </c>
      <c r="AF28" s="49"/>
      <c r="AG28" s="49"/>
      <c r="AH28" s="49">
        <v>-5301538272.4499998</v>
      </c>
      <c r="AI28" s="49">
        <v>75330717.524999991</v>
      </c>
      <c r="AJ28" s="49"/>
      <c r="AK28" s="49">
        <v>75330717.524999991</v>
      </c>
      <c r="AL28" s="49">
        <v>0</v>
      </c>
      <c r="AM28" s="49"/>
      <c r="AN28" s="49">
        <v>0</v>
      </c>
      <c r="AO28" s="49">
        <v>244988</v>
      </c>
      <c r="AP28" s="49"/>
      <c r="AQ28" s="49">
        <v>244988</v>
      </c>
      <c r="AR28" s="49">
        <v>0</v>
      </c>
      <c r="AS28" s="49"/>
      <c r="AT28" s="49">
        <v>0</v>
      </c>
      <c r="AU28" s="68">
        <v>0</v>
      </c>
      <c r="AV28" s="49"/>
      <c r="AW28" s="49">
        <v>0</v>
      </c>
      <c r="AX28" s="49"/>
      <c r="AY28" s="49"/>
      <c r="AZ28" s="49"/>
      <c r="BA28" s="49">
        <f t="shared" si="5"/>
        <v>-5225962566.9250002</v>
      </c>
      <c r="BB28" s="49"/>
      <c r="BC28" s="49"/>
      <c r="BD28" s="49">
        <f t="shared" si="6"/>
        <v>-5225962566.9250002</v>
      </c>
      <c r="BF28" s="65"/>
    </row>
    <row r="29" spans="1:58">
      <c r="B29" s="78"/>
      <c r="C29" s="7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</row>
    <row r="30" spans="1:58" s="40" customFormat="1" ht="13">
      <c r="B30" s="60" t="s">
        <v>124</v>
      </c>
      <c r="C30" s="61"/>
      <c r="D30" s="73">
        <v>320372503633.5</v>
      </c>
      <c r="E30" s="73"/>
      <c r="F30" s="73"/>
      <c r="G30" s="73">
        <v>320372503633.5</v>
      </c>
      <c r="H30" s="73">
        <v>490057988092</v>
      </c>
      <c r="I30" s="73"/>
      <c r="J30" s="73">
        <v>490057988092</v>
      </c>
      <c r="K30" s="73">
        <v>2635225801</v>
      </c>
      <c r="L30" s="73"/>
      <c r="M30" s="73">
        <v>2635225801</v>
      </c>
      <c r="N30" s="73">
        <v>7217199966</v>
      </c>
      <c r="O30" s="73"/>
      <c r="P30" s="73">
        <v>7217199966</v>
      </c>
      <c r="Q30" s="73">
        <v>90545322664.297256</v>
      </c>
      <c r="R30" s="73"/>
      <c r="S30" s="73">
        <v>90545322664.297256</v>
      </c>
      <c r="T30" s="73">
        <v>0</v>
      </c>
      <c r="U30" s="73"/>
      <c r="V30" s="73">
        <v>0</v>
      </c>
      <c r="W30" s="73"/>
      <c r="X30" s="73"/>
      <c r="Y30" s="73"/>
      <c r="Z30" s="73">
        <f>SUM(Z21:Z29)</f>
        <v>910828240156</v>
      </c>
      <c r="AA30" s="73"/>
      <c r="AB30" s="73"/>
      <c r="AC30" s="73">
        <f>SUM(AC21:AC29)</f>
        <v>910828240156</v>
      </c>
      <c r="AE30" s="73">
        <f>SUM(AE21:AE29)</f>
        <v>206826664293.67499</v>
      </c>
      <c r="AF30" s="73"/>
      <c r="AG30" s="73"/>
      <c r="AH30" s="73">
        <f>SUM(AH21:AH29)</f>
        <v>206826664293.67499</v>
      </c>
      <c r="AI30" s="73">
        <f>SUM(AI21:AI29)</f>
        <v>387474589106.47498</v>
      </c>
      <c r="AJ30" s="73"/>
      <c r="AK30" s="73">
        <f>SUM(AK21:AK29)</f>
        <v>387474589106.47498</v>
      </c>
      <c r="AL30" s="73">
        <f>SUM(AL21:AL29)</f>
        <v>7673077.125</v>
      </c>
      <c r="AM30" s="73"/>
      <c r="AN30" s="73">
        <f>SUM(AN21:AN29)</f>
        <v>7673077.125</v>
      </c>
      <c r="AO30" s="73">
        <f>SUM(AO21:AO29)</f>
        <v>574499158</v>
      </c>
      <c r="AP30" s="73"/>
      <c r="AQ30" s="73">
        <f>SUM(AQ21:AQ29)</f>
        <v>574499158</v>
      </c>
      <c r="AR30" s="73">
        <f>SUM(AR21:AR29)</f>
        <v>39345694024.099998</v>
      </c>
      <c r="AS30" s="73"/>
      <c r="AT30" s="73">
        <f>SUM(AT21:AT29)</f>
        <v>39345694024.099998</v>
      </c>
      <c r="AU30" s="73">
        <f>SUM(AU21:AU29)</f>
        <v>0</v>
      </c>
      <c r="AV30" s="73"/>
      <c r="AW30" s="73">
        <f>SUM(AW21:AW29)</f>
        <v>0</v>
      </c>
      <c r="AX30" s="73"/>
      <c r="AY30" s="73"/>
      <c r="AZ30" s="73"/>
      <c r="BA30" s="73">
        <f>SUM(BA21:BA29)</f>
        <v>634229119659.375</v>
      </c>
      <c r="BB30" s="73"/>
      <c r="BC30" s="73"/>
      <c r="BD30" s="73">
        <f>SUM(BD21:BD29)</f>
        <v>634229119659.375</v>
      </c>
    </row>
    <row r="31" spans="1:58" ht="13">
      <c r="B31" s="74"/>
      <c r="C31" s="75"/>
      <c r="D31" s="64" t="s">
        <v>40</v>
      </c>
      <c r="E31" s="64"/>
      <c r="F31" s="64"/>
      <c r="G31" s="64" t="s">
        <v>40</v>
      </c>
      <c r="H31" s="64" t="s">
        <v>40</v>
      </c>
      <c r="I31" s="64"/>
      <c r="J31" s="64" t="s">
        <v>40</v>
      </c>
      <c r="K31" s="64" t="s">
        <v>40</v>
      </c>
      <c r="L31" s="64"/>
      <c r="M31" s="64" t="s">
        <v>40</v>
      </c>
      <c r="N31" s="64" t="s">
        <v>40</v>
      </c>
      <c r="O31" s="64"/>
      <c r="P31" s="64" t="s">
        <v>40</v>
      </c>
      <c r="Q31" s="64" t="s">
        <v>40</v>
      </c>
      <c r="R31" s="64"/>
      <c r="S31" s="64" t="s">
        <v>40</v>
      </c>
      <c r="T31" s="64" t="s">
        <v>40</v>
      </c>
      <c r="U31" s="64"/>
      <c r="V31" s="64" t="s">
        <v>40</v>
      </c>
      <c r="W31" s="64"/>
      <c r="X31" s="64"/>
      <c r="Y31" s="64"/>
      <c r="Z31" s="64" t="s">
        <v>40</v>
      </c>
      <c r="AA31" s="64"/>
      <c r="AB31" s="64"/>
      <c r="AC31" s="64" t="s">
        <v>40</v>
      </c>
      <c r="AE31" s="64" t="s">
        <v>40</v>
      </c>
      <c r="AF31" s="64"/>
      <c r="AG31" s="64"/>
      <c r="AH31" s="64" t="s">
        <v>40</v>
      </c>
      <c r="AI31" s="64" t="s">
        <v>40</v>
      </c>
      <c r="AJ31" s="64"/>
      <c r="AK31" s="64" t="s">
        <v>40</v>
      </c>
      <c r="AL31" s="64" t="s">
        <v>40</v>
      </c>
      <c r="AM31" s="64"/>
      <c r="AN31" s="64" t="s">
        <v>40</v>
      </c>
      <c r="AO31" s="64" t="s">
        <v>40</v>
      </c>
      <c r="AP31" s="64"/>
      <c r="AQ31" s="64" t="s">
        <v>40</v>
      </c>
      <c r="AR31" s="64" t="s">
        <v>40</v>
      </c>
      <c r="AS31" s="64"/>
      <c r="AT31" s="64" t="s">
        <v>40</v>
      </c>
      <c r="AU31" s="64" t="s">
        <v>40</v>
      </c>
      <c r="AV31" s="64"/>
      <c r="AW31" s="64" t="s">
        <v>40</v>
      </c>
      <c r="AX31" s="64"/>
      <c r="AY31" s="64"/>
      <c r="AZ31" s="64"/>
      <c r="BA31" s="64" t="s">
        <v>40</v>
      </c>
      <c r="BB31" s="64"/>
      <c r="BC31" s="64"/>
      <c r="BD31" s="64" t="s">
        <v>40</v>
      </c>
    </row>
    <row r="32" spans="1:58" s="40" customFormat="1" ht="13">
      <c r="B32" s="60" t="s">
        <v>125</v>
      </c>
      <c r="C32" s="61"/>
      <c r="D32" s="73">
        <v>319308079243.5</v>
      </c>
      <c r="E32" s="73"/>
      <c r="F32" s="73"/>
      <c r="G32" s="73">
        <v>319308079243.5</v>
      </c>
      <c r="H32" s="73">
        <v>577497278554</v>
      </c>
      <c r="I32" s="73"/>
      <c r="J32" s="73">
        <v>577497278554</v>
      </c>
      <c r="K32" s="73">
        <v>-3036249533</v>
      </c>
      <c r="L32" s="73"/>
      <c r="M32" s="73">
        <v>-3036249533</v>
      </c>
      <c r="N32" s="73">
        <v>-999478817</v>
      </c>
      <c r="O32" s="73"/>
      <c r="P32" s="73">
        <v>-999478817</v>
      </c>
      <c r="Q32" s="73">
        <v>71387007482.297256</v>
      </c>
      <c r="R32" s="73"/>
      <c r="S32" s="73">
        <v>71387007482.297256</v>
      </c>
      <c r="T32" s="73">
        <v>0</v>
      </c>
      <c r="U32" s="73"/>
      <c r="V32" s="73">
        <v>0</v>
      </c>
      <c r="W32" s="73"/>
      <c r="X32" s="73"/>
      <c r="Y32" s="73"/>
      <c r="Z32" s="73">
        <f>Z19+Z30</f>
        <v>964156636929</v>
      </c>
      <c r="AA32" s="73"/>
      <c r="AB32" s="73"/>
      <c r="AC32" s="73">
        <f>AC19+AC30</f>
        <v>964156636929</v>
      </c>
      <c r="AE32" s="73">
        <f>AE19+AE30</f>
        <v>174996123384.67499</v>
      </c>
      <c r="AF32" s="73"/>
      <c r="AG32" s="73"/>
      <c r="AH32" s="73">
        <f>AH19+AH30</f>
        <v>174996123384.67499</v>
      </c>
      <c r="AI32" s="73">
        <f>AI19+AI30</f>
        <v>370391121015.44995</v>
      </c>
      <c r="AJ32" s="73"/>
      <c r="AK32" s="73">
        <f>AK19+AK30</f>
        <v>370391121015.44995</v>
      </c>
      <c r="AL32" s="73">
        <f>AL19+AL30</f>
        <v>-12443881.274999857</v>
      </c>
      <c r="AM32" s="73"/>
      <c r="AN32" s="73">
        <f>AN19+AN30</f>
        <v>-12443881.274999857</v>
      </c>
      <c r="AO32" s="73">
        <f>AO19+AO30</f>
        <v>574499158</v>
      </c>
      <c r="AP32" s="73"/>
      <c r="AQ32" s="73">
        <f>AQ19+AQ30</f>
        <v>574499158</v>
      </c>
      <c r="AR32" s="73">
        <f>AR19+AR30</f>
        <v>37479064734.099998</v>
      </c>
      <c r="AS32" s="73"/>
      <c r="AT32" s="73">
        <f>AT19+AT30</f>
        <v>37479064734.099998</v>
      </c>
      <c r="AU32" s="73">
        <f>AU19+AU30</f>
        <v>0</v>
      </c>
      <c r="AV32" s="73"/>
      <c r="AW32" s="73">
        <f>AW19+AW30</f>
        <v>0</v>
      </c>
      <c r="AX32" s="73"/>
      <c r="AY32" s="73"/>
      <c r="AZ32" s="73"/>
      <c r="BA32" s="73">
        <f>BA19+BA30</f>
        <v>583428364410.94995</v>
      </c>
      <c r="BB32" s="73"/>
      <c r="BC32" s="73"/>
      <c r="BD32" s="73">
        <f>BD19+BD30</f>
        <v>583428364410.94995</v>
      </c>
    </row>
    <row r="33" spans="1:58" ht="13">
      <c r="B33" s="76"/>
      <c r="C33" s="71"/>
      <c r="D33" s="64" t="s">
        <v>40</v>
      </c>
      <c r="E33" s="64"/>
      <c r="F33" s="64"/>
      <c r="G33" s="64" t="s">
        <v>40</v>
      </c>
      <c r="H33" s="64" t="s">
        <v>40</v>
      </c>
      <c r="I33" s="64"/>
      <c r="J33" s="64" t="s">
        <v>40</v>
      </c>
      <c r="K33" s="64" t="s">
        <v>40</v>
      </c>
      <c r="L33" s="64"/>
      <c r="M33" s="64" t="s">
        <v>40</v>
      </c>
      <c r="N33" s="64" t="s">
        <v>40</v>
      </c>
      <c r="O33" s="64"/>
      <c r="P33" s="64" t="s">
        <v>40</v>
      </c>
      <c r="Q33" s="64" t="s">
        <v>40</v>
      </c>
      <c r="R33" s="64"/>
      <c r="S33" s="64" t="s">
        <v>40</v>
      </c>
      <c r="T33" s="64" t="s">
        <v>40</v>
      </c>
      <c r="U33" s="64"/>
      <c r="V33" s="64" t="s">
        <v>40</v>
      </c>
      <c r="W33" s="64"/>
      <c r="X33" s="64"/>
      <c r="Y33" s="64"/>
      <c r="Z33" s="64" t="s">
        <v>40</v>
      </c>
      <c r="AA33" s="64"/>
      <c r="AB33" s="64"/>
      <c r="AC33" s="64" t="s">
        <v>40</v>
      </c>
      <c r="AE33" s="64" t="s">
        <v>40</v>
      </c>
      <c r="AF33" s="64"/>
      <c r="AG33" s="64"/>
      <c r="AH33" s="64" t="s">
        <v>40</v>
      </c>
      <c r="AI33" s="64" t="s">
        <v>40</v>
      </c>
      <c r="AJ33" s="64"/>
      <c r="AK33" s="64" t="s">
        <v>40</v>
      </c>
      <c r="AL33" s="64" t="s">
        <v>40</v>
      </c>
      <c r="AM33" s="64"/>
      <c r="AN33" s="64" t="s">
        <v>40</v>
      </c>
      <c r="AO33" s="64" t="s">
        <v>40</v>
      </c>
      <c r="AP33" s="64"/>
      <c r="AQ33" s="64" t="s">
        <v>40</v>
      </c>
      <c r="AR33" s="64" t="s">
        <v>40</v>
      </c>
      <c r="AS33" s="64"/>
      <c r="AT33" s="64" t="s">
        <v>40</v>
      </c>
      <c r="AU33" s="64" t="s">
        <v>40</v>
      </c>
      <c r="AV33" s="64"/>
      <c r="AW33" s="64" t="s">
        <v>40</v>
      </c>
      <c r="AX33" s="64"/>
      <c r="AY33" s="64"/>
      <c r="AZ33" s="64"/>
      <c r="BA33" s="64" t="s">
        <v>40</v>
      </c>
      <c r="BB33" s="64"/>
      <c r="BC33" s="64"/>
      <c r="BD33" s="64" t="s">
        <v>40</v>
      </c>
    </row>
    <row r="34" spans="1:58" ht="13">
      <c r="B34" s="76" t="s">
        <v>126</v>
      </c>
      <c r="C34" s="71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</row>
    <row r="35" spans="1:58">
      <c r="A35" s="27">
        <v>8</v>
      </c>
      <c r="B35" s="114" t="s">
        <v>127</v>
      </c>
      <c r="C35" s="115"/>
      <c r="D35" s="68">
        <v>-24693637286</v>
      </c>
      <c r="E35" s="49"/>
      <c r="F35" s="49"/>
      <c r="G35" s="49">
        <v>-24693637286</v>
      </c>
      <c r="H35" s="49">
        <v>-6683573399</v>
      </c>
      <c r="I35" s="49">
        <v>0</v>
      </c>
      <c r="J35" s="49">
        <v>-6683573399</v>
      </c>
      <c r="K35" s="49">
        <v>-10503843</v>
      </c>
      <c r="L35" s="49"/>
      <c r="M35" s="49">
        <v>-10503843</v>
      </c>
      <c r="N35" s="68">
        <v>-17325000</v>
      </c>
      <c r="O35" s="49"/>
      <c r="P35" s="49">
        <v>-17325000</v>
      </c>
      <c r="Q35" s="68">
        <v>-438802391.44174999</v>
      </c>
      <c r="R35" s="49"/>
      <c r="S35" s="49">
        <v>-438802391.44174999</v>
      </c>
      <c r="T35" s="68">
        <v>0</v>
      </c>
      <c r="U35" s="49"/>
      <c r="V35" s="49">
        <v>0</v>
      </c>
      <c r="W35" s="49"/>
      <c r="X35" s="49"/>
      <c r="Y35" s="49"/>
      <c r="Z35" s="49">
        <f>ROUND(SUM(G35,J35,M35,P35,S35,V35,W35:Y35),0)</f>
        <v>-31843841919</v>
      </c>
      <c r="AA35" s="49">
        <f>'Elimination 23'!G91+SUM('Elimination 23'!G94:G97)+'Elimination 23'!G103</f>
        <v>23237959892.462723</v>
      </c>
      <c r="AB35" s="49"/>
      <c r="AC35" s="49">
        <f t="shared" ref="AC35:AC39" si="8">SUM(Z35:AB35)</f>
        <v>-8605882026.5372772</v>
      </c>
      <c r="AE35" s="68">
        <v>-1892118721</v>
      </c>
      <c r="AF35" s="49"/>
      <c r="AG35" s="49"/>
      <c r="AH35" s="49">
        <v>-1892118721</v>
      </c>
      <c r="AI35" s="49">
        <v>-3669086715.5250001</v>
      </c>
      <c r="AJ35" s="49"/>
      <c r="AK35" s="49">
        <v>-3669086715.5250001</v>
      </c>
      <c r="AL35" s="49">
        <v>0</v>
      </c>
      <c r="AM35" s="49"/>
      <c r="AN35" s="49">
        <v>0</v>
      </c>
      <c r="AO35" s="49">
        <v>0</v>
      </c>
      <c r="AP35" s="49"/>
      <c r="AQ35" s="49">
        <v>0</v>
      </c>
      <c r="AR35" s="49">
        <v>-79132979.873999998</v>
      </c>
      <c r="AS35" s="49"/>
      <c r="AT35" s="49">
        <v>-79132979.873999998</v>
      </c>
      <c r="AU35" s="68">
        <v>0</v>
      </c>
      <c r="AV35" s="49"/>
      <c r="AW35" s="49">
        <v>0</v>
      </c>
      <c r="AX35" s="49"/>
      <c r="AY35" s="49"/>
      <c r="AZ35" s="49"/>
      <c r="BA35" s="49">
        <f t="shared" ref="BA35:BA39" si="9">SUM(AH35,AK35,AN35,AQ35,AT35,AW35,AX35)</f>
        <v>-5640338416.3989992</v>
      </c>
      <c r="BB35" s="49"/>
      <c r="BC35" s="49"/>
      <c r="BD35" s="49">
        <f t="shared" ref="BD35:BD39" si="10">SUM(BA35:BC35)</f>
        <v>-5640338416.3989992</v>
      </c>
      <c r="BF35" s="65"/>
    </row>
    <row r="36" spans="1:58">
      <c r="A36" s="27">
        <v>9</v>
      </c>
      <c r="B36" s="114" t="s">
        <v>128</v>
      </c>
      <c r="C36" s="115"/>
      <c r="D36" s="68">
        <v>3839026342</v>
      </c>
      <c r="E36" s="49"/>
      <c r="F36" s="49"/>
      <c r="G36" s="49">
        <v>3839026342</v>
      </c>
      <c r="H36" s="49">
        <v>23738306497</v>
      </c>
      <c r="I36" s="49"/>
      <c r="J36" s="49">
        <v>23738306497</v>
      </c>
      <c r="K36" s="49">
        <v>297280141</v>
      </c>
      <c r="L36" s="49"/>
      <c r="M36" s="49">
        <v>297280141</v>
      </c>
      <c r="N36" s="68">
        <v>3338685</v>
      </c>
      <c r="O36" s="49"/>
      <c r="P36" s="49">
        <v>3338685</v>
      </c>
      <c r="Q36" s="68">
        <v>8238901199</v>
      </c>
      <c r="R36" s="49"/>
      <c r="S36" s="49">
        <v>8238901199</v>
      </c>
      <c r="T36" s="68">
        <v>0</v>
      </c>
      <c r="U36" s="49"/>
      <c r="V36" s="49">
        <v>0</v>
      </c>
      <c r="W36" s="49"/>
      <c r="X36" s="49"/>
      <c r="Y36" s="49"/>
      <c r="Z36" s="49">
        <f>ROUND(SUM(G36,J36,M36,P36,S36,V36,W36:Y36),0)</f>
        <v>36116852864</v>
      </c>
      <c r="AA36" s="49"/>
      <c r="AB36" s="49">
        <f>'Elimination 23'!H92</f>
        <v>-4202629057.0463672</v>
      </c>
      <c r="AC36" s="49">
        <f>SUM(Z36:AB36)</f>
        <v>31914223806.953632</v>
      </c>
      <c r="AE36" s="68">
        <v>422153126</v>
      </c>
      <c r="AF36" s="49"/>
      <c r="AG36" s="49"/>
      <c r="AH36" s="49">
        <v>422153126</v>
      </c>
      <c r="AI36" s="49">
        <v>11849521932.674999</v>
      </c>
      <c r="AJ36" s="49"/>
      <c r="AK36" s="49">
        <v>11849521932.674999</v>
      </c>
      <c r="AL36" s="49">
        <v>1015605.6749999999</v>
      </c>
      <c r="AM36" s="49"/>
      <c r="AN36" s="49">
        <v>1015605.6749999999</v>
      </c>
      <c r="AO36" s="49">
        <v>54810</v>
      </c>
      <c r="AP36" s="49"/>
      <c r="AQ36" s="49">
        <v>54810</v>
      </c>
      <c r="AR36" s="49">
        <v>1782127670.2449999</v>
      </c>
      <c r="AS36" s="49"/>
      <c r="AT36" s="49">
        <v>1782127670.2449999</v>
      </c>
      <c r="AU36" s="68">
        <v>0</v>
      </c>
      <c r="AV36" s="49"/>
      <c r="AW36" s="49">
        <v>0</v>
      </c>
      <c r="AX36" s="49"/>
      <c r="AY36" s="49"/>
      <c r="AZ36" s="49"/>
      <c r="BA36" s="49">
        <f t="shared" si="9"/>
        <v>14054873144.594997</v>
      </c>
      <c r="BB36" s="49"/>
      <c r="BC36" s="49"/>
      <c r="BD36" s="49">
        <f t="shared" si="10"/>
        <v>14054873144.594997</v>
      </c>
      <c r="BF36" s="65"/>
    </row>
    <row r="37" spans="1:58">
      <c r="A37" s="27">
        <v>10</v>
      </c>
      <c r="B37" s="70" t="s">
        <v>129</v>
      </c>
      <c r="C37" s="115"/>
      <c r="D37" s="68">
        <v>-1679529703</v>
      </c>
      <c r="E37" s="49"/>
      <c r="F37" s="49"/>
      <c r="G37" s="49">
        <v>-1679529703</v>
      </c>
      <c r="H37" s="49">
        <v>79344863</v>
      </c>
      <c r="I37" s="49"/>
      <c r="J37" s="49">
        <v>79344863</v>
      </c>
      <c r="K37" s="49">
        <v>0</v>
      </c>
      <c r="L37" s="49"/>
      <c r="M37" s="49">
        <v>0</v>
      </c>
      <c r="N37" s="68">
        <v>0</v>
      </c>
      <c r="O37" s="49"/>
      <c r="P37" s="49">
        <v>0</v>
      </c>
      <c r="Q37" s="68">
        <v>33496782</v>
      </c>
      <c r="R37" s="49"/>
      <c r="S37" s="49">
        <v>33496782</v>
      </c>
      <c r="T37" s="68">
        <v>0</v>
      </c>
      <c r="U37" s="49"/>
      <c r="V37" s="49">
        <v>0</v>
      </c>
      <c r="W37" s="49"/>
      <c r="X37" s="49"/>
      <c r="Y37" s="49"/>
      <c r="Z37" s="49">
        <f>ROUND(SUM(G37,J37,M37,P37,S37,V37,W37:Y37),0)</f>
        <v>-1566688058</v>
      </c>
      <c r="AA37" s="49"/>
      <c r="AB37" s="49"/>
      <c r="AC37" s="49">
        <f t="shared" si="8"/>
        <v>-1566688058</v>
      </c>
      <c r="AE37" s="68">
        <v>-84498815</v>
      </c>
      <c r="AF37" s="49"/>
      <c r="AG37" s="49"/>
      <c r="AH37" s="49">
        <v>-84498815</v>
      </c>
      <c r="AI37" s="49">
        <v>33143304.599999998</v>
      </c>
      <c r="AJ37" s="49"/>
      <c r="AK37" s="49">
        <v>33143304.599999998</v>
      </c>
      <c r="AL37" s="49">
        <v>0</v>
      </c>
      <c r="AM37" s="49"/>
      <c r="AN37" s="49">
        <v>0</v>
      </c>
      <c r="AO37" s="49">
        <v>0</v>
      </c>
      <c r="AP37" s="49"/>
      <c r="AQ37" s="49">
        <v>0</v>
      </c>
      <c r="AR37" s="49">
        <v>0</v>
      </c>
      <c r="AS37" s="49"/>
      <c r="AT37" s="49">
        <v>0</v>
      </c>
      <c r="AU37" s="68">
        <v>0</v>
      </c>
      <c r="AV37" s="49"/>
      <c r="AW37" s="49">
        <v>0</v>
      </c>
      <c r="AX37" s="49"/>
      <c r="AY37" s="49"/>
      <c r="AZ37" s="49"/>
      <c r="BA37" s="49">
        <f t="shared" si="9"/>
        <v>-51355510.400000006</v>
      </c>
      <c r="BB37" s="49"/>
      <c r="BC37" s="49"/>
      <c r="BD37" s="49">
        <f t="shared" si="10"/>
        <v>-51355510.400000006</v>
      </c>
      <c r="BF37" s="65"/>
    </row>
    <row r="38" spans="1:58">
      <c r="A38" s="27">
        <v>11</v>
      </c>
      <c r="B38" s="114" t="s">
        <v>130</v>
      </c>
      <c r="C38" s="115"/>
      <c r="D38" s="68">
        <v>10396546986</v>
      </c>
      <c r="E38" s="49"/>
      <c r="F38" s="49"/>
      <c r="G38" s="49">
        <v>10396546986</v>
      </c>
      <c r="H38" s="49">
        <v>194643730</v>
      </c>
      <c r="I38" s="49"/>
      <c r="J38" s="49">
        <v>194643730</v>
      </c>
      <c r="K38" s="49">
        <v>71700696</v>
      </c>
      <c r="L38" s="49"/>
      <c r="M38" s="49">
        <v>71700696</v>
      </c>
      <c r="N38" s="68">
        <v>0</v>
      </c>
      <c r="O38" s="49"/>
      <c r="P38" s="49">
        <v>0</v>
      </c>
      <c r="Q38" s="68">
        <v>166516812</v>
      </c>
      <c r="R38" s="49"/>
      <c r="S38" s="49">
        <v>166516812</v>
      </c>
      <c r="T38" s="68">
        <v>0</v>
      </c>
      <c r="U38" s="49"/>
      <c r="V38" s="49">
        <v>0</v>
      </c>
      <c r="W38" s="49"/>
      <c r="X38" s="49"/>
      <c r="Y38" s="49"/>
      <c r="Z38" s="49">
        <f>ROUND(SUM(G38,J38,M38,P38,S38,V38,W38:Y38),0)</f>
        <v>10829408224</v>
      </c>
      <c r="AA38" s="49"/>
      <c r="AB38" s="49"/>
      <c r="AC38" s="49">
        <f t="shared" si="8"/>
        <v>10829408224</v>
      </c>
      <c r="AE38" s="68">
        <v>4492099136</v>
      </c>
      <c r="AF38" s="49"/>
      <c r="AG38" s="49"/>
      <c r="AH38" s="49">
        <v>4492099136</v>
      </c>
      <c r="AI38" s="49">
        <v>0</v>
      </c>
      <c r="AJ38" s="49"/>
      <c r="AK38" s="49">
        <v>0</v>
      </c>
      <c r="AL38" s="49">
        <v>294047093.02499998</v>
      </c>
      <c r="AM38" s="49"/>
      <c r="AN38" s="49">
        <v>294047093.02499998</v>
      </c>
      <c r="AO38" s="49">
        <v>0</v>
      </c>
      <c r="AP38" s="49"/>
      <c r="AQ38" s="49">
        <v>0</v>
      </c>
      <c r="AR38" s="49">
        <v>410155862</v>
      </c>
      <c r="AS38" s="49"/>
      <c r="AT38" s="49">
        <v>410155862</v>
      </c>
      <c r="AU38" s="68">
        <v>0</v>
      </c>
      <c r="AV38" s="49"/>
      <c r="AW38" s="49">
        <v>0</v>
      </c>
      <c r="AX38" s="49"/>
      <c r="AY38" s="49"/>
      <c r="AZ38" s="49"/>
      <c r="BA38" s="49">
        <f t="shared" si="9"/>
        <v>5196302091.0249996</v>
      </c>
      <c r="BB38" s="49"/>
      <c r="BC38" s="49"/>
      <c r="BD38" s="49">
        <f t="shared" si="10"/>
        <v>5196302091.0249996</v>
      </c>
      <c r="BF38" s="65"/>
    </row>
    <row r="39" spans="1:58">
      <c r="A39" s="27">
        <v>12</v>
      </c>
      <c r="B39" s="57" t="s">
        <v>131</v>
      </c>
      <c r="C39" s="115"/>
      <c r="D39" s="68">
        <v>0</v>
      </c>
      <c r="E39" s="49"/>
      <c r="F39" s="49"/>
      <c r="G39" s="49">
        <v>0</v>
      </c>
      <c r="H39" s="49">
        <v>0</v>
      </c>
      <c r="I39" s="49"/>
      <c r="J39" s="49">
        <v>0</v>
      </c>
      <c r="K39" s="49">
        <v>0</v>
      </c>
      <c r="L39" s="49"/>
      <c r="M39" s="49">
        <v>0</v>
      </c>
      <c r="N39" s="68">
        <v>0</v>
      </c>
      <c r="O39" s="49"/>
      <c r="P39" s="49">
        <v>0</v>
      </c>
      <c r="Q39" s="68">
        <v>0</v>
      </c>
      <c r="R39" s="49"/>
      <c r="S39" s="49">
        <v>0</v>
      </c>
      <c r="T39" s="68">
        <v>0</v>
      </c>
      <c r="U39" s="49"/>
      <c r="V39" s="49">
        <v>0</v>
      </c>
      <c r="W39" s="49"/>
      <c r="X39" s="49"/>
      <c r="Y39" s="49"/>
      <c r="Z39" s="49">
        <f>ROUND(SUM(G39,J39,M39,P39,S39,V39,W39:Y39),0)</f>
        <v>0</v>
      </c>
      <c r="AA39" s="49"/>
      <c r="AB39" s="49"/>
      <c r="AC39" s="49">
        <f t="shared" si="8"/>
        <v>0</v>
      </c>
      <c r="AE39" s="68">
        <v>0</v>
      </c>
      <c r="AF39" s="49"/>
      <c r="AG39" s="49"/>
      <c r="AH39" s="49">
        <v>0</v>
      </c>
      <c r="AI39" s="49">
        <v>0</v>
      </c>
      <c r="AJ39" s="49"/>
      <c r="AK39" s="49">
        <v>0</v>
      </c>
      <c r="AL39" s="49">
        <v>0</v>
      </c>
      <c r="AM39" s="49"/>
      <c r="AN39" s="49">
        <v>0</v>
      </c>
      <c r="AO39" s="49">
        <v>0</v>
      </c>
      <c r="AP39" s="49"/>
      <c r="AQ39" s="49">
        <v>0</v>
      </c>
      <c r="AR39" s="49">
        <v>0</v>
      </c>
      <c r="AS39" s="49"/>
      <c r="AT39" s="49">
        <v>0</v>
      </c>
      <c r="AU39" s="68">
        <v>0</v>
      </c>
      <c r="AV39" s="49"/>
      <c r="AW39" s="49">
        <v>0</v>
      </c>
      <c r="AX39" s="49"/>
      <c r="AY39" s="49"/>
      <c r="AZ39" s="49"/>
      <c r="BA39" s="49">
        <f t="shared" si="9"/>
        <v>0</v>
      </c>
      <c r="BB39" s="49"/>
      <c r="BC39" s="49"/>
      <c r="BD39" s="49">
        <f t="shared" si="10"/>
        <v>0</v>
      </c>
      <c r="BF39" s="65"/>
    </row>
    <row r="40" spans="1:58">
      <c r="B40" s="78"/>
      <c r="C40" s="7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</row>
    <row r="41" spans="1:58" s="40" customFormat="1" ht="13">
      <c r="B41" s="116"/>
      <c r="C41" s="117"/>
      <c r="D41" s="73">
        <v>-12137593661</v>
      </c>
      <c r="E41" s="73"/>
      <c r="F41" s="73"/>
      <c r="G41" s="73">
        <v>-12137593661</v>
      </c>
      <c r="H41" s="73">
        <v>17328721691</v>
      </c>
      <c r="I41" s="73"/>
      <c r="J41" s="73">
        <v>17328721691</v>
      </c>
      <c r="K41" s="73">
        <v>358476994</v>
      </c>
      <c r="L41" s="73"/>
      <c r="M41" s="73">
        <v>358476994</v>
      </c>
      <c r="N41" s="73">
        <v>-13986315</v>
      </c>
      <c r="O41" s="73"/>
      <c r="P41" s="73">
        <v>-13986315</v>
      </c>
      <c r="Q41" s="73">
        <v>8000112401.5582504</v>
      </c>
      <c r="R41" s="73"/>
      <c r="S41" s="73">
        <v>8000112401.5582504</v>
      </c>
      <c r="T41" s="73">
        <v>0</v>
      </c>
      <c r="U41" s="73"/>
      <c r="V41" s="73">
        <v>0</v>
      </c>
      <c r="W41" s="73"/>
      <c r="X41" s="73"/>
      <c r="Y41" s="73"/>
      <c r="Z41" s="73">
        <f>SUM(Z34:Z40)</f>
        <v>13535731111</v>
      </c>
      <c r="AA41" s="73"/>
      <c r="AB41" s="73"/>
      <c r="AC41" s="73">
        <f>SUM(AC34:AC40)</f>
        <v>32571061946.416355</v>
      </c>
      <c r="AE41" s="73">
        <f>SUM(AE34:AE40)</f>
        <v>2937634726</v>
      </c>
      <c r="AF41" s="73"/>
      <c r="AG41" s="73"/>
      <c r="AH41" s="73">
        <f>SUM(AH34:AH40)</f>
        <v>2937634726</v>
      </c>
      <c r="AI41" s="73">
        <f>SUM(AI34:AI40)</f>
        <v>8213578521.75</v>
      </c>
      <c r="AJ41" s="73"/>
      <c r="AK41" s="73">
        <f>SUM(AK34:AK40)</f>
        <v>8213578521.75</v>
      </c>
      <c r="AL41" s="73">
        <f>SUM(AL34:AL40)</f>
        <v>295062698.69999999</v>
      </c>
      <c r="AM41" s="73"/>
      <c r="AN41" s="73">
        <f>SUM(AN34:AN40)</f>
        <v>295062698.69999999</v>
      </c>
      <c r="AO41" s="73">
        <f>SUM(AO34:AO40)</f>
        <v>54810</v>
      </c>
      <c r="AP41" s="73"/>
      <c r="AQ41" s="73">
        <f>SUM(AQ34:AQ40)</f>
        <v>54810</v>
      </c>
      <c r="AR41" s="73">
        <f>SUM(AR34:AR40)</f>
        <v>2113150552.3709998</v>
      </c>
      <c r="AS41" s="73"/>
      <c r="AT41" s="73">
        <f>SUM(AT34:AT40)</f>
        <v>2113150552.3709998</v>
      </c>
      <c r="AU41" s="73">
        <f>SUM(AU34:AU40)</f>
        <v>0</v>
      </c>
      <c r="AV41" s="73"/>
      <c r="AW41" s="73">
        <f>SUM(AW34:AW40)</f>
        <v>0</v>
      </c>
      <c r="AX41" s="73"/>
      <c r="AY41" s="73"/>
      <c r="AZ41" s="73"/>
      <c r="BA41" s="73">
        <f>SUM(BA34:BA40)</f>
        <v>13559481308.820999</v>
      </c>
      <c r="BB41" s="73"/>
      <c r="BC41" s="73"/>
      <c r="BD41" s="73">
        <f>SUM(BD34:BD40)</f>
        <v>13559481308.820999</v>
      </c>
    </row>
    <row r="42" spans="1:58" ht="13" outlineLevel="1">
      <c r="B42" s="116"/>
      <c r="C42" s="75"/>
      <c r="D42" s="64" t="s">
        <v>40</v>
      </c>
      <c r="E42" s="64"/>
      <c r="F42" s="64"/>
      <c r="G42" s="64" t="s">
        <v>40</v>
      </c>
      <c r="H42" s="64" t="s">
        <v>40</v>
      </c>
      <c r="I42" s="64"/>
      <c r="J42" s="64" t="s">
        <v>40</v>
      </c>
      <c r="K42" s="64" t="s">
        <v>40</v>
      </c>
      <c r="L42" s="64"/>
      <c r="M42" s="64" t="s">
        <v>40</v>
      </c>
      <c r="N42" s="64" t="s">
        <v>40</v>
      </c>
      <c r="O42" s="64"/>
      <c r="P42" s="64" t="s">
        <v>40</v>
      </c>
      <c r="Q42" s="64" t="s">
        <v>40</v>
      </c>
      <c r="R42" s="64"/>
      <c r="S42" s="64" t="s">
        <v>40</v>
      </c>
      <c r="T42" s="64" t="s">
        <v>40</v>
      </c>
      <c r="U42" s="64"/>
      <c r="V42" s="64" t="s">
        <v>40</v>
      </c>
      <c r="W42" s="64"/>
      <c r="X42" s="64"/>
      <c r="Y42" s="64"/>
      <c r="Z42" s="64" t="s">
        <v>40</v>
      </c>
      <c r="AA42" s="64"/>
      <c r="AB42" s="64"/>
      <c r="AC42" s="64" t="s">
        <v>40</v>
      </c>
      <c r="AE42" s="64" t="s">
        <v>40</v>
      </c>
      <c r="AF42" s="64"/>
      <c r="AG42" s="64"/>
      <c r="AH42" s="64" t="s">
        <v>40</v>
      </c>
      <c r="AI42" s="64" t="s">
        <v>40</v>
      </c>
      <c r="AJ42" s="64"/>
      <c r="AK42" s="64" t="s">
        <v>40</v>
      </c>
      <c r="AL42" s="64" t="s">
        <v>40</v>
      </c>
      <c r="AM42" s="64"/>
      <c r="AN42" s="64" t="s">
        <v>40</v>
      </c>
      <c r="AO42" s="64" t="s">
        <v>40</v>
      </c>
      <c r="AP42" s="64"/>
      <c r="AQ42" s="64" t="s">
        <v>40</v>
      </c>
      <c r="AR42" s="64" t="s">
        <v>40</v>
      </c>
      <c r="AS42" s="64"/>
      <c r="AT42" s="64" t="s">
        <v>40</v>
      </c>
      <c r="AU42" s="64" t="s">
        <v>40</v>
      </c>
      <c r="AV42" s="64"/>
      <c r="AW42" s="64" t="s">
        <v>40</v>
      </c>
      <c r="AX42" s="64"/>
      <c r="AY42" s="64"/>
      <c r="AZ42" s="64"/>
      <c r="BA42" s="64" t="s">
        <v>40</v>
      </c>
      <c r="BB42" s="64"/>
      <c r="BC42" s="64"/>
      <c r="BD42" s="64" t="s">
        <v>40</v>
      </c>
    </row>
    <row r="43" spans="1:58" ht="13" outlineLevel="1">
      <c r="B43" s="76" t="s">
        <v>132</v>
      </c>
      <c r="C43" s="71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</row>
    <row r="44" spans="1:58" outlineLevel="1">
      <c r="B44" s="70" t="s">
        <v>133</v>
      </c>
      <c r="C44" s="118"/>
      <c r="D44" s="68">
        <v>0</v>
      </c>
      <c r="E44" s="49"/>
      <c r="F44" s="49"/>
      <c r="G44" s="49">
        <v>0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>
        <f>ROUND(SUM(G44,J44,M44,P44,S44,V44,W44:Y44),0)</f>
        <v>0</v>
      </c>
      <c r="AA44" s="49"/>
      <c r="AB44" s="49"/>
      <c r="AC44" s="49">
        <f t="shared" ref="AC44:AC49" si="11">SUM(Z44:AB44)</f>
        <v>0</v>
      </c>
      <c r="AE44" s="68">
        <v>0</v>
      </c>
      <c r="AF44" s="49"/>
      <c r="AG44" s="49"/>
      <c r="AH44" s="49">
        <v>0</v>
      </c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>
        <f t="shared" ref="BD44:BD49" si="12">SUM(BA44:BC44)</f>
        <v>0</v>
      </c>
    </row>
    <row r="45" spans="1:58" outlineLevel="1">
      <c r="B45" s="70" t="s">
        <v>689</v>
      </c>
      <c r="C45" s="118"/>
      <c r="D45" s="68">
        <v>0</v>
      </c>
      <c r="E45" s="49"/>
      <c r="F45" s="49"/>
      <c r="G45" s="49">
        <v>0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>
        <f>'Proforma Adjustment'!D81</f>
        <v>19905540186.826546</v>
      </c>
      <c r="X45" s="49"/>
      <c r="Y45" s="49"/>
      <c r="Z45" s="49">
        <f>ROUND(SUM(G45,J45,M45,P45,S45,V45,W45:Y45),0)</f>
        <v>19905540187</v>
      </c>
      <c r="AA45" s="49">
        <f>-Z45</f>
        <v>-19905540187</v>
      </c>
      <c r="AB45" s="49"/>
      <c r="AC45" s="49">
        <f t="shared" si="11"/>
        <v>0</v>
      </c>
      <c r="AE45" s="68">
        <v>0</v>
      </c>
      <c r="AF45" s="49"/>
      <c r="AG45" s="49"/>
      <c r="AH45" s="49">
        <v>0</v>
      </c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>
        <f>'Proforma Adjustment'!S9</f>
        <v>12608457897.355648</v>
      </c>
      <c r="AY45" s="49"/>
      <c r="AZ45" s="49"/>
      <c r="BA45" s="49">
        <f t="shared" ref="BA45:BA48" si="13">SUM(AH45,AK45,AN45,AQ45,AT45,AW45,AX45)</f>
        <v>12608457897.355648</v>
      </c>
      <c r="BB45" s="49">
        <f>-BA45</f>
        <v>-12608457897.355648</v>
      </c>
      <c r="BC45" s="49"/>
      <c r="BD45" s="49">
        <f t="shared" si="12"/>
        <v>0</v>
      </c>
    </row>
    <row r="46" spans="1:58" outlineLevel="1">
      <c r="B46" s="70" t="s">
        <v>741</v>
      </c>
      <c r="C46" s="118"/>
      <c r="D46" s="68">
        <v>0</v>
      </c>
      <c r="E46" s="49"/>
      <c r="F46" s="49"/>
      <c r="G46" s="49">
        <v>0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>
        <f>'Proforma Adjustment'!E94</f>
        <v>-1365663994.8900001</v>
      </c>
      <c r="X46" s="49"/>
      <c r="Y46" s="49"/>
      <c r="Z46" s="49">
        <f>ROUND(SUM(G46,J46,M46,P46,S46,V46,W46:Y46),0)</f>
        <v>-1365663995</v>
      </c>
      <c r="AA46" s="49">
        <f>-Z46</f>
        <v>1365663995</v>
      </c>
      <c r="AB46" s="49"/>
      <c r="AC46" s="49">
        <f t="shared" si="11"/>
        <v>0</v>
      </c>
      <c r="AE46" s="68">
        <v>0</v>
      </c>
      <c r="AF46" s="49"/>
      <c r="AG46" s="49"/>
      <c r="AH46" s="49">
        <v>0</v>
      </c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>
        <f>'Proforma Adjustment'!S10</f>
        <v>144135596.88675007</v>
      </c>
      <c r="AY46" s="49"/>
      <c r="AZ46" s="49"/>
      <c r="BA46" s="49">
        <f t="shared" si="13"/>
        <v>144135596.88675007</v>
      </c>
      <c r="BB46" s="49">
        <f>-BA46</f>
        <v>-144135596.88675007</v>
      </c>
      <c r="BC46" s="49"/>
      <c r="BD46" s="49">
        <f t="shared" si="12"/>
        <v>0</v>
      </c>
    </row>
    <row r="47" spans="1:58" outlineLevel="1">
      <c r="B47" s="70" t="s">
        <v>820</v>
      </c>
      <c r="C47" s="118"/>
      <c r="D47" s="68">
        <v>0</v>
      </c>
      <c r="E47" s="49"/>
      <c r="F47" s="49"/>
      <c r="G47" s="49">
        <v>0</v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>
        <f>'Proforma Adjustment'!E102</f>
        <v>-516867217</v>
      </c>
      <c r="X47" s="49"/>
      <c r="Y47" s="49"/>
      <c r="Z47" s="49">
        <f>ROUND(SUM(G47,J47,M47,P47,S47,V47,W47:Y47),0)</f>
        <v>-516867217</v>
      </c>
      <c r="AA47" s="49">
        <f>-Z47</f>
        <v>516867217</v>
      </c>
      <c r="AB47" s="49"/>
      <c r="AC47" s="49">
        <f t="shared" si="11"/>
        <v>0</v>
      </c>
      <c r="AE47" s="68">
        <v>0</v>
      </c>
      <c r="AF47" s="49"/>
      <c r="AG47" s="49"/>
      <c r="AH47" s="49">
        <v>0</v>
      </c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>
        <f>'Proforma Adjustment'!S11</f>
        <v>293022523.68000001</v>
      </c>
      <c r="AY47" s="49"/>
      <c r="AZ47" s="49"/>
      <c r="BA47" s="49">
        <f t="shared" si="13"/>
        <v>293022523.68000001</v>
      </c>
      <c r="BB47" s="49">
        <f>-BA47</f>
        <v>-293022523.68000001</v>
      </c>
      <c r="BC47" s="49"/>
      <c r="BD47" s="49">
        <f t="shared" si="12"/>
        <v>0</v>
      </c>
    </row>
    <row r="48" spans="1:58" outlineLevel="1">
      <c r="B48" s="70" t="s">
        <v>610</v>
      </c>
      <c r="C48" s="118"/>
      <c r="D48" s="68">
        <v>0</v>
      </c>
      <c r="E48" s="49"/>
      <c r="F48" s="49"/>
      <c r="G48" s="49">
        <v>0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>
        <f>'Proforma Adjustment'!D105</f>
        <v>40380952787.657722</v>
      </c>
      <c r="X48" s="49"/>
      <c r="Y48" s="49"/>
      <c r="Z48" s="49">
        <f>ROUND(SUM(G48,J48,M48,P48,S48,V48,W48:Y48),0)</f>
        <v>40380952788</v>
      </c>
      <c r="AA48" s="49">
        <f>-Z48</f>
        <v>-40380952788</v>
      </c>
      <c r="AB48" s="49"/>
      <c r="AC48" s="49">
        <f t="shared" si="11"/>
        <v>0</v>
      </c>
      <c r="AE48" s="68">
        <v>0</v>
      </c>
      <c r="AF48" s="49"/>
      <c r="AG48" s="49"/>
      <c r="AH48" s="49">
        <v>0</v>
      </c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>
        <f>'Proforma Adjustment'!S12</f>
        <v>20104379292.222168</v>
      </c>
      <c r="AY48" s="49"/>
      <c r="AZ48" s="49"/>
      <c r="BA48" s="49">
        <f t="shared" si="13"/>
        <v>20104379292.222168</v>
      </c>
      <c r="BB48" s="49">
        <f>-BA48</f>
        <v>-20104379292.222168</v>
      </c>
      <c r="BC48" s="49"/>
      <c r="BD48" s="49">
        <f t="shared" si="12"/>
        <v>0</v>
      </c>
    </row>
    <row r="49" spans="1:58" outlineLevel="1">
      <c r="B49" s="70" t="s">
        <v>821</v>
      </c>
      <c r="C49" s="118"/>
      <c r="D49" s="68">
        <v>0</v>
      </c>
      <c r="E49" s="49"/>
      <c r="F49" s="49"/>
      <c r="G49" s="49">
        <v>0</v>
      </c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>
        <v>0</v>
      </c>
      <c r="X49" s="49"/>
      <c r="Y49" s="49"/>
      <c r="Z49" s="49"/>
      <c r="AA49" s="49"/>
      <c r="AB49" s="49"/>
      <c r="AC49" s="49">
        <f t="shared" si="11"/>
        <v>0</v>
      </c>
      <c r="AE49" s="68">
        <v>0</v>
      </c>
      <c r="AF49" s="49"/>
      <c r="AG49" s="49"/>
      <c r="AH49" s="49">
        <v>0</v>
      </c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>
        <v>0</v>
      </c>
      <c r="AY49" s="49"/>
      <c r="AZ49" s="49"/>
      <c r="BA49" s="49"/>
      <c r="BB49" s="49">
        <f t="shared" ref="BB49" si="14">-BA49</f>
        <v>0</v>
      </c>
      <c r="BC49" s="49"/>
      <c r="BD49" s="49">
        <f t="shared" si="12"/>
        <v>0</v>
      </c>
    </row>
    <row r="50" spans="1:58" ht="13" outlineLevel="1">
      <c r="B50" s="60" t="s">
        <v>134</v>
      </c>
      <c r="C50" s="61"/>
      <c r="D50" s="73">
        <v>0</v>
      </c>
      <c r="E50" s="73"/>
      <c r="F50" s="73"/>
      <c r="G50" s="73">
        <v>0</v>
      </c>
      <c r="H50" s="73">
        <v>0</v>
      </c>
      <c r="I50" s="73"/>
      <c r="J50" s="73">
        <v>0</v>
      </c>
      <c r="K50" s="73">
        <v>0</v>
      </c>
      <c r="L50" s="73"/>
      <c r="M50" s="73">
        <v>0</v>
      </c>
      <c r="N50" s="73">
        <v>0</v>
      </c>
      <c r="O50" s="73"/>
      <c r="P50" s="73">
        <v>0</v>
      </c>
      <c r="Q50" s="73">
        <v>0</v>
      </c>
      <c r="R50" s="73"/>
      <c r="S50" s="73">
        <v>0</v>
      </c>
      <c r="T50" s="73">
        <v>0</v>
      </c>
      <c r="U50" s="73"/>
      <c r="V50" s="73">
        <v>0</v>
      </c>
      <c r="W50" s="73">
        <f>SUM(W43:W49)</f>
        <v>58403961762.594269</v>
      </c>
      <c r="X50" s="73"/>
      <c r="Y50" s="73"/>
      <c r="Z50" s="73">
        <f>SUM(Z43:Z49)</f>
        <v>58403961763</v>
      </c>
      <c r="AA50" s="73"/>
      <c r="AB50" s="73"/>
      <c r="AC50" s="73">
        <f>SUM(AC43:AC49)</f>
        <v>0</v>
      </c>
      <c r="AE50" s="73">
        <f>SUM(AE43:AE49)</f>
        <v>0</v>
      </c>
      <c r="AF50" s="73"/>
      <c r="AG50" s="73"/>
      <c r="AH50" s="73">
        <f>SUM(AH43:AH49)</f>
        <v>0</v>
      </c>
      <c r="AI50" s="73">
        <f>SUM(AI43:AI49)</f>
        <v>0</v>
      </c>
      <c r="AJ50" s="73"/>
      <c r="AK50" s="73">
        <f>SUM(AK43:AK49)</f>
        <v>0</v>
      </c>
      <c r="AL50" s="73">
        <f>SUM(AL43:AL49)</f>
        <v>0</v>
      </c>
      <c r="AM50" s="73"/>
      <c r="AN50" s="73">
        <f>SUM(AN43:AN49)</f>
        <v>0</v>
      </c>
      <c r="AO50" s="73">
        <f>SUM(AO43:AO49)</f>
        <v>0</v>
      </c>
      <c r="AP50" s="73"/>
      <c r="AQ50" s="73">
        <f>SUM(AQ43:AQ49)</f>
        <v>0</v>
      </c>
      <c r="AR50" s="73">
        <f>SUM(AR43:AR49)</f>
        <v>0</v>
      </c>
      <c r="AS50" s="73"/>
      <c r="AT50" s="73">
        <f>SUM(AT43:AT49)</f>
        <v>0</v>
      </c>
      <c r="AU50" s="73">
        <f>SUM(AU43:AU49)</f>
        <v>0</v>
      </c>
      <c r="AV50" s="73"/>
      <c r="AW50" s="73">
        <f>SUM(AW43:AW49)</f>
        <v>0</v>
      </c>
      <c r="AX50" s="73">
        <f>SUM(AX43:AX49)</f>
        <v>33149995310.144566</v>
      </c>
      <c r="AY50" s="73"/>
      <c r="AZ50" s="73"/>
      <c r="BA50" s="73">
        <f>SUM(BA43:BA49)</f>
        <v>33149995310.144566</v>
      </c>
      <c r="BB50" s="73">
        <f>SUM(BB43:BB49)</f>
        <v>-33149995310.144566</v>
      </c>
      <c r="BC50" s="73"/>
      <c r="BD50" s="73">
        <f>SUM(BD43:BD49)</f>
        <v>0</v>
      </c>
    </row>
    <row r="51" spans="1:58" ht="13" outlineLevel="1">
      <c r="B51" s="119"/>
      <c r="C51" s="79"/>
      <c r="D51" s="64" t="s">
        <v>40</v>
      </c>
      <c r="E51" s="64"/>
      <c r="F51" s="64"/>
      <c r="G51" s="64" t="s">
        <v>40</v>
      </c>
      <c r="H51" s="64" t="s">
        <v>40</v>
      </c>
      <c r="I51" s="64"/>
      <c r="J51" s="64" t="s">
        <v>40</v>
      </c>
      <c r="K51" s="64" t="s">
        <v>40</v>
      </c>
      <c r="L51" s="64"/>
      <c r="M51" s="64" t="s">
        <v>40</v>
      </c>
      <c r="N51" s="64" t="s">
        <v>40</v>
      </c>
      <c r="O51" s="64"/>
      <c r="P51" s="64" t="s">
        <v>40</v>
      </c>
      <c r="Q51" s="64" t="s">
        <v>40</v>
      </c>
      <c r="R51" s="64"/>
      <c r="S51" s="64" t="s">
        <v>40</v>
      </c>
      <c r="T51" s="64" t="s">
        <v>40</v>
      </c>
      <c r="U51" s="64"/>
      <c r="V51" s="64" t="s">
        <v>40</v>
      </c>
      <c r="W51" s="64"/>
      <c r="X51" s="64"/>
      <c r="Y51" s="64"/>
      <c r="Z51" s="64" t="s">
        <v>40</v>
      </c>
      <c r="AA51" s="64"/>
      <c r="AB51" s="64"/>
      <c r="AC51" s="64" t="s">
        <v>40</v>
      </c>
      <c r="AE51" s="64" t="s">
        <v>40</v>
      </c>
      <c r="AF51" s="64"/>
      <c r="AG51" s="64"/>
      <c r="AH51" s="64" t="s">
        <v>40</v>
      </c>
      <c r="AI51" s="64" t="s">
        <v>40</v>
      </c>
      <c r="AJ51" s="64"/>
      <c r="AK51" s="64" t="s">
        <v>40</v>
      </c>
      <c r="AL51" s="64" t="s">
        <v>40</v>
      </c>
      <c r="AM51" s="64"/>
      <c r="AN51" s="64" t="s">
        <v>40</v>
      </c>
      <c r="AO51" s="64" t="s">
        <v>40</v>
      </c>
      <c r="AP51" s="64"/>
      <c r="AQ51" s="64" t="s">
        <v>40</v>
      </c>
      <c r="AR51" s="64" t="s">
        <v>40</v>
      </c>
      <c r="AS51" s="64"/>
      <c r="AT51" s="64" t="s">
        <v>40</v>
      </c>
      <c r="AU51" s="64" t="s">
        <v>40</v>
      </c>
      <c r="AV51" s="64"/>
      <c r="AW51" s="64" t="s">
        <v>40</v>
      </c>
      <c r="AX51" s="64" t="s">
        <v>40</v>
      </c>
      <c r="AY51" s="64"/>
      <c r="AZ51" s="64"/>
      <c r="BA51" s="64" t="s">
        <v>40</v>
      </c>
      <c r="BB51" s="64" t="s">
        <v>40</v>
      </c>
      <c r="BC51" s="64"/>
      <c r="BD51" s="64" t="s">
        <v>40</v>
      </c>
    </row>
    <row r="52" spans="1:58" s="40" customFormat="1" ht="13">
      <c r="B52" s="119" t="s">
        <v>135</v>
      </c>
      <c r="C52" s="120"/>
      <c r="D52" s="73">
        <v>307170485582.5</v>
      </c>
      <c r="E52" s="73"/>
      <c r="F52" s="73"/>
      <c r="G52" s="73">
        <v>307170485582.5</v>
      </c>
      <c r="H52" s="73">
        <v>594826000245</v>
      </c>
      <c r="I52" s="73"/>
      <c r="J52" s="73">
        <v>594826000245</v>
      </c>
      <c r="K52" s="73">
        <v>-2677772539</v>
      </c>
      <c r="L52" s="73"/>
      <c r="M52" s="73">
        <v>-2677772539</v>
      </c>
      <c r="N52" s="73">
        <v>-1013465132</v>
      </c>
      <c r="O52" s="73"/>
      <c r="P52" s="73">
        <v>-1013465132</v>
      </c>
      <c r="Q52" s="73">
        <v>79387119883.855499</v>
      </c>
      <c r="R52" s="73"/>
      <c r="S52" s="73">
        <v>79387119883.855499</v>
      </c>
      <c r="T52" s="73">
        <v>0</v>
      </c>
      <c r="U52" s="73"/>
      <c r="V52" s="73">
        <v>0</v>
      </c>
      <c r="W52" s="73">
        <f>W32+W41+W50</f>
        <v>58403961762.594269</v>
      </c>
      <c r="X52" s="73"/>
      <c r="Y52" s="73"/>
      <c r="Z52" s="73">
        <f>Z32+Z41+Z50</f>
        <v>1036096329803</v>
      </c>
      <c r="AA52" s="73"/>
      <c r="AB52" s="73"/>
      <c r="AC52" s="73">
        <f>AC32+AC41+AC50</f>
        <v>996727698875.41638</v>
      </c>
      <c r="AE52" s="73">
        <f>AE32+AE41+AE50</f>
        <v>177933758110.67499</v>
      </c>
      <c r="AF52" s="73"/>
      <c r="AG52" s="73"/>
      <c r="AH52" s="73">
        <f>AH32+AH41+AH50</f>
        <v>177933758110.67499</v>
      </c>
      <c r="AI52" s="73">
        <f>AI32+AI41+AI50</f>
        <v>378604699537.19995</v>
      </c>
      <c r="AJ52" s="73"/>
      <c r="AK52" s="73">
        <f>AK32+AK41+AK50</f>
        <v>378604699537.19995</v>
      </c>
      <c r="AL52" s="73">
        <f>AL32+AL41+AL50</f>
        <v>282618817.42500013</v>
      </c>
      <c r="AM52" s="73"/>
      <c r="AN52" s="73">
        <f>AN32+AN41+AN50</f>
        <v>282618817.42500013</v>
      </c>
      <c r="AO52" s="73">
        <f>AO32+AO41+AO50</f>
        <v>574553968</v>
      </c>
      <c r="AP52" s="73"/>
      <c r="AQ52" s="73">
        <f>AQ32+AQ41+AQ50</f>
        <v>574553968</v>
      </c>
      <c r="AR52" s="73">
        <f>AR32+AR41+AR50</f>
        <v>39592215286.471001</v>
      </c>
      <c r="AS52" s="73"/>
      <c r="AT52" s="73">
        <f>AT32+AT41+AT50</f>
        <v>39592215286.471001</v>
      </c>
      <c r="AU52" s="73">
        <f>AU32+AU41+AU50</f>
        <v>0</v>
      </c>
      <c r="AV52" s="73"/>
      <c r="AW52" s="73">
        <f>AW32+AW41+AW50</f>
        <v>0</v>
      </c>
      <c r="AX52" s="73">
        <f>AX32+AX41+AX50</f>
        <v>33149995310.144566</v>
      </c>
      <c r="AY52" s="73"/>
      <c r="AZ52" s="73"/>
      <c r="BA52" s="73">
        <f>BA32+BA41+BA50</f>
        <v>630137841029.91553</v>
      </c>
      <c r="BB52" s="73">
        <f>BB32+BB41+BB50</f>
        <v>-33149995310.144566</v>
      </c>
      <c r="BC52" s="73"/>
      <c r="BD52" s="73">
        <f>BD32+BD41+BD50</f>
        <v>596987845719.771</v>
      </c>
    </row>
    <row r="53" spans="1:58" ht="13">
      <c r="B53" s="74"/>
      <c r="C53" s="75"/>
      <c r="D53" s="64" t="s">
        <v>40</v>
      </c>
      <c r="E53" s="64"/>
      <c r="F53" s="64"/>
      <c r="G53" s="64" t="s">
        <v>40</v>
      </c>
      <c r="H53" s="64" t="s">
        <v>40</v>
      </c>
      <c r="I53" s="64"/>
      <c r="J53" s="64" t="s">
        <v>40</v>
      </c>
      <c r="K53" s="64" t="s">
        <v>40</v>
      </c>
      <c r="L53" s="64"/>
      <c r="M53" s="64" t="s">
        <v>40</v>
      </c>
      <c r="N53" s="64" t="s">
        <v>40</v>
      </c>
      <c r="O53" s="64"/>
      <c r="P53" s="64" t="s">
        <v>40</v>
      </c>
      <c r="Q53" s="64" t="s">
        <v>40</v>
      </c>
      <c r="R53" s="64"/>
      <c r="S53" s="64" t="s">
        <v>40</v>
      </c>
      <c r="T53" s="64" t="s">
        <v>40</v>
      </c>
      <c r="U53" s="64"/>
      <c r="V53" s="64" t="s">
        <v>40</v>
      </c>
      <c r="W53" s="64"/>
      <c r="X53" s="64"/>
      <c r="Y53" s="64"/>
      <c r="Z53" s="64" t="s">
        <v>40</v>
      </c>
      <c r="AA53" s="64"/>
      <c r="AB53" s="64"/>
      <c r="AC53" s="64" t="s">
        <v>40</v>
      </c>
      <c r="AE53" s="64" t="s">
        <v>40</v>
      </c>
      <c r="AF53" s="64"/>
      <c r="AG53" s="64"/>
      <c r="AH53" s="64" t="s">
        <v>40</v>
      </c>
      <c r="AI53" s="64" t="s">
        <v>40</v>
      </c>
      <c r="AJ53" s="64"/>
      <c r="AK53" s="64" t="s">
        <v>40</v>
      </c>
      <c r="AL53" s="64" t="s">
        <v>40</v>
      </c>
      <c r="AM53" s="64"/>
      <c r="AN53" s="64" t="s">
        <v>40</v>
      </c>
      <c r="AO53" s="64" t="s">
        <v>40</v>
      </c>
      <c r="AP53" s="64"/>
      <c r="AQ53" s="64" t="s">
        <v>40</v>
      </c>
      <c r="AR53" s="64" t="s">
        <v>40</v>
      </c>
      <c r="AS53" s="64"/>
      <c r="AT53" s="64" t="s">
        <v>40</v>
      </c>
      <c r="AU53" s="64" t="s">
        <v>40</v>
      </c>
      <c r="AV53" s="64"/>
      <c r="AW53" s="64" t="s">
        <v>40</v>
      </c>
      <c r="AX53" s="64" t="s">
        <v>40</v>
      </c>
      <c r="AY53" s="64"/>
      <c r="AZ53" s="64"/>
      <c r="BA53" s="64" t="s">
        <v>40</v>
      </c>
      <c r="BB53" s="64" t="s">
        <v>40</v>
      </c>
      <c r="BC53" s="64"/>
      <c r="BD53" s="64" t="s">
        <v>40</v>
      </c>
    </row>
    <row r="54" spans="1:58" ht="13">
      <c r="B54" s="76" t="s">
        <v>136</v>
      </c>
      <c r="C54" s="71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</row>
    <row r="55" spans="1:58">
      <c r="A55" s="27">
        <v>14</v>
      </c>
      <c r="B55" s="57" t="s">
        <v>137</v>
      </c>
      <c r="C55" s="71"/>
      <c r="D55" s="49"/>
      <c r="E55" s="49"/>
      <c r="F55" s="49"/>
      <c r="G55" s="49">
        <v>0</v>
      </c>
      <c r="H55" s="49">
        <v>0</v>
      </c>
      <c r="I55" s="49"/>
      <c r="J55" s="49">
        <v>0</v>
      </c>
      <c r="K55" s="49">
        <v>0</v>
      </c>
      <c r="L55" s="49"/>
      <c r="M55" s="49">
        <v>0</v>
      </c>
      <c r="N55" s="49">
        <v>0</v>
      </c>
      <c r="O55" s="49"/>
      <c r="P55" s="49">
        <v>0</v>
      </c>
      <c r="Q55" s="49"/>
      <c r="R55" s="49"/>
      <c r="S55" s="49">
        <v>0</v>
      </c>
      <c r="T55" s="49"/>
      <c r="U55" s="49"/>
      <c r="V55" s="49">
        <v>0</v>
      </c>
      <c r="W55" s="49"/>
      <c r="X55" s="49"/>
      <c r="Y55" s="49"/>
      <c r="Z55" s="49">
        <f>ROUND(SUM(G55,J55,M55,P55,S55,V55,W55:Y55),0)</f>
        <v>0</v>
      </c>
      <c r="AA55" s="49"/>
      <c r="AB55" s="49"/>
      <c r="AC55" s="49">
        <f>SUM(Z55:AB55)</f>
        <v>0</v>
      </c>
      <c r="AE55" s="49"/>
      <c r="AF55" s="49"/>
      <c r="AG55" s="49"/>
      <c r="AH55" s="49">
        <f t="shared" ref="AH55" si="15">SUM(AE55:AF55)</f>
        <v>0</v>
      </c>
      <c r="AI55" s="49">
        <v>0</v>
      </c>
      <c r="AJ55" s="49"/>
      <c r="AK55" s="49">
        <f t="shared" ref="AK55:AK56" si="16">SUM(AI55:AJ55)</f>
        <v>0</v>
      </c>
      <c r="AL55" s="49">
        <v>0</v>
      </c>
      <c r="AM55" s="49"/>
      <c r="AN55" s="49">
        <f t="shared" ref="AN55:AN56" si="17">SUM(AL55:AM55)</f>
        <v>0</v>
      </c>
      <c r="AO55" s="49">
        <v>0</v>
      </c>
      <c r="AP55" s="49"/>
      <c r="AQ55" s="49">
        <f t="shared" ref="AQ55:AQ56" si="18">SUM(AO55:AP55)</f>
        <v>0</v>
      </c>
      <c r="AR55" s="49">
        <v>0</v>
      </c>
      <c r="AS55" s="49"/>
      <c r="AT55" s="49">
        <f t="shared" ref="AT55:AT56" si="19">SUM(AR55:AS55)</f>
        <v>0</v>
      </c>
      <c r="AU55" s="49"/>
      <c r="AV55" s="49"/>
      <c r="AW55" s="49">
        <f>SUM(AU55:AV55)</f>
        <v>0</v>
      </c>
      <c r="AX55" s="49"/>
      <c r="AY55" s="49"/>
      <c r="AZ55" s="49"/>
      <c r="BA55" s="49">
        <f t="shared" ref="BA55:BA56" si="20">SUM(AH55,AK55,AN55,AQ55,AT55,AW55,AX55)</f>
        <v>0</v>
      </c>
      <c r="BB55" s="49"/>
      <c r="BC55" s="49"/>
      <c r="BD55" s="49">
        <f>SUM(BA55:BC55)</f>
        <v>0</v>
      </c>
      <c r="BF55" s="65">
        <f t="shared" ref="BF55:BF56" si="21">AL55*1.575</f>
        <v>0</v>
      </c>
    </row>
    <row r="56" spans="1:58">
      <c r="A56" s="27">
        <v>15</v>
      </c>
      <c r="B56" s="121" t="s">
        <v>138</v>
      </c>
      <c r="C56" s="79"/>
      <c r="D56" s="84"/>
      <c r="E56" s="84"/>
      <c r="F56" s="84"/>
      <c r="G56" s="84">
        <v>0</v>
      </c>
      <c r="H56" s="84">
        <v>8372187234.5922871</v>
      </c>
      <c r="I56" s="84">
        <v>0</v>
      </c>
      <c r="J56" s="84">
        <v>8372187234.5922871</v>
      </c>
      <c r="K56" s="84">
        <v>0</v>
      </c>
      <c r="L56" s="84">
        <v>0</v>
      </c>
      <c r="M56" s="84">
        <v>0</v>
      </c>
      <c r="N56" s="84"/>
      <c r="O56" s="84">
        <v>0</v>
      </c>
      <c r="P56" s="84">
        <v>0</v>
      </c>
      <c r="Q56" s="84"/>
      <c r="R56" s="84">
        <v>0</v>
      </c>
      <c r="S56" s="84">
        <v>0</v>
      </c>
      <c r="T56" s="84"/>
      <c r="U56" s="84">
        <v>0</v>
      </c>
      <c r="V56" s="84">
        <v>0</v>
      </c>
      <c r="W56" s="84"/>
      <c r="X56" s="84">
        <v>0</v>
      </c>
      <c r="Y56" s="84"/>
      <c r="Z56" s="84">
        <f>ROUND(SUM(G56,J56,M56,P56,S56,V56,W56:Y56),0)</f>
        <v>8372187235</v>
      </c>
      <c r="AA56" s="84"/>
      <c r="AB56" s="84"/>
      <c r="AC56" s="84">
        <f>SUM(Z56:AB56)</f>
        <v>8372187235</v>
      </c>
      <c r="AE56" s="84"/>
      <c r="AF56" s="84"/>
      <c r="AG56" s="84"/>
      <c r="AH56" s="84">
        <v>0</v>
      </c>
      <c r="AI56" s="84">
        <v>3469782200.8499999</v>
      </c>
      <c r="AJ56" s="84">
        <v>0</v>
      </c>
      <c r="AK56" s="84">
        <f t="shared" si="16"/>
        <v>3469782200.8499999</v>
      </c>
      <c r="AL56" s="84">
        <v>0</v>
      </c>
      <c r="AM56" s="84">
        <v>0</v>
      </c>
      <c r="AN56" s="84">
        <f t="shared" si="17"/>
        <v>0</v>
      </c>
      <c r="AO56" s="84">
        <v>0</v>
      </c>
      <c r="AP56" s="84">
        <v>0</v>
      </c>
      <c r="AQ56" s="84">
        <f t="shared" si="18"/>
        <v>0</v>
      </c>
      <c r="AR56" s="84">
        <v>0</v>
      </c>
      <c r="AS56" s="84">
        <v>0</v>
      </c>
      <c r="AT56" s="84">
        <f t="shared" si="19"/>
        <v>0</v>
      </c>
      <c r="AU56" s="84">
        <v>0</v>
      </c>
      <c r="AV56" s="84">
        <v>0</v>
      </c>
      <c r="AW56" s="84">
        <f>SUM(AU56:AV56)</f>
        <v>0</v>
      </c>
      <c r="AX56" s="84"/>
      <c r="AY56" s="84">
        <v>0</v>
      </c>
      <c r="AZ56" s="84"/>
      <c r="BA56" s="84">
        <f t="shared" si="20"/>
        <v>3469782200.8499999</v>
      </c>
      <c r="BB56" s="84"/>
      <c r="BC56" s="84"/>
      <c r="BD56" s="84">
        <f>SUM(BA56:BC56)</f>
        <v>3469782200.8499999</v>
      </c>
      <c r="BF56" s="65">
        <f t="shared" si="21"/>
        <v>0</v>
      </c>
    </row>
    <row r="57" spans="1:58" s="40" customFormat="1" ht="13">
      <c r="B57" s="122" t="s">
        <v>139</v>
      </c>
      <c r="C57" s="123"/>
      <c r="D57" s="124">
        <v>0</v>
      </c>
      <c r="E57" s="124"/>
      <c r="F57" s="124"/>
      <c r="G57" s="124">
        <v>0</v>
      </c>
      <c r="H57" s="124">
        <v>8372187234.5922871</v>
      </c>
      <c r="I57" s="124"/>
      <c r="J57" s="124">
        <v>8372187234.5922871</v>
      </c>
      <c r="K57" s="124">
        <v>0</v>
      </c>
      <c r="L57" s="124"/>
      <c r="M57" s="124">
        <v>0</v>
      </c>
      <c r="N57" s="124">
        <v>0</v>
      </c>
      <c r="O57" s="124"/>
      <c r="P57" s="124">
        <v>0</v>
      </c>
      <c r="Q57" s="124">
        <v>0</v>
      </c>
      <c r="R57" s="124"/>
      <c r="S57" s="124">
        <v>0</v>
      </c>
      <c r="T57" s="124">
        <v>0</v>
      </c>
      <c r="U57" s="124"/>
      <c r="V57" s="124">
        <v>0</v>
      </c>
      <c r="W57" s="124"/>
      <c r="X57" s="124"/>
      <c r="Y57" s="124"/>
      <c r="Z57" s="124">
        <f t="shared" ref="Z57:AC57" si="22">SUM(Z55:Z56)</f>
        <v>8372187235</v>
      </c>
      <c r="AA57" s="49"/>
      <c r="AB57" s="124"/>
      <c r="AC57" s="124">
        <f t="shared" si="22"/>
        <v>8372187235</v>
      </c>
      <c r="AE57" s="124">
        <f>SUM(AE55:AE56)</f>
        <v>0</v>
      </c>
      <c r="AF57" s="124"/>
      <c r="AG57" s="124"/>
      <c r="AH57" s="124">
        <f>SUM(AH55:AH56)</f>
        <v>0</v>
      </c>
      <c r="AI57" s="124">
        <f>SUM(AI55:AI56)</f>
        <v>3469782200.8499999</v>
      </c>
      <c r="AJ57" s="124"/>
      <c r="AK57" s="124">
        <f>SUM(AK55:AK56)</f>
        <v>3469782200.8499999</v>
      </c>
      <c r="AL57" s="124">
        <f>SUM(AL55:AL56)</f>
        <v>0</v>
      </c>
      <c r="AM57" s="124"/>
      <c r="AN57" s="124">
        <f>SUM(AN55:AN56)</f>
        <v>0</v>
      </c>
      <c r="AO57" s="124">
        <f>SUM(AO55:AO56)</f>
        <v>0</v>
      </c>
      <c r="AP57" s="124"/>
      <c r="AQ57" s="124">
        <f>SUM(AQ55:AQ56)</f>
        <v>0</v>
      </c>
      <c r="AR57" s="124">
        <f>SUM(AR55:AR56)</f>
        <v>0</v>
      </c>
      <c r="AS57" s="124"/>
      <c r="AT57" s="124">
        <f>SUM(AT55:AT56)</f>
        <v>0</v>
      </c>
      <c r="AU57" s="124">
        <f t="shared" ref="AU57" si="23">SUM(AU55:AU56)</f>
        <v>0</v>
      </c>
      <c r="AV57" s="124"/>
      <c r="AW57" s="124">
        <f>SUM(AW55:AW56)</f>
        <v>0</v>
      </c>
      <c r="AX57" s="124"/>
      <c r="AY57" s="124"/>
      <c r="AZ57" s="124"/>
      <c r="BA57" s="124">
        <f t="shared" ref="BA57" si="24">SUM(BA55:BA56)</f>
        <v>3469782200.8499999</v>
      </c>
      <c r="BB57" s="49"/>
      <c r="BC57" s="124"/>
      <c r="BD57" s="124">
        <f t="shared" ref="BD57" si="25">SUM(BD55:BD56)</f>
        <v>3469782200.8499999</v>
      </c>
    </row>
    <row r="58" spans="1:58">
      <c r="B58" s="78"/>
      <c r="C58" s="7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</row>
    <row r="59" spans="1:58" s="40" customFormat="1" ht="13.5" thickBot="1">
      <c r="B59" s="125" t="s">
        <v>1117</v>
      </c>
      <c r="C59" s="126"/>
      <c r="D59" s="127">
        <v>307170485582.5</v>
      </c>
      <c r="E59" s="127"/>
      <c r="F59" s="127"/>
      <c r="G59" s="127">
        <v>307170485582.5</v>
      </c>
      <c r="H59" s="127">
        <v>603198187479.59229</v>
      </c>
      <c r="I59" s="127"/>
      <c r="J59" s="127">
        <v>603198187479.59229</v>
      </c>
      <c r="K59" s="127">
        <v>-2677772539</v>
      </c>
      <c r="L59" s="127"/>
      <c r="M59" s="127">
        <v>-2677772539</v>
      </c>
      <c r="N59" s="127">
        <v>-1013465132</v>
      </c>
      <c r="O59" s="127"/>
      <c r="P59" s="127">
        <v>-1013465132</v>
      </c>
      <c r="Q59" s="127">
        <v>79387119883.855499</v>
      </c>
      <c r="R59" s="127"/>
      <c r="S59" s="127">
        <v>79387119883.855499</v>
      </c>
      <c r="T59" s="127">
        <v>0</v>
      </c>
      <c r="U59" s="127"/>
      <c r="V59" s="127">
        <v>0</v>
      </c>
      <c r="W59" s="127">
        <f>W52+W57</f>
        <v>58403961762.594269</v>
      </c>
      <c r="X59" s="127"/>
      <c r="Y59" s="127"/>
      <c r="Z59" s="127">
        <f>Z52+Z57</f>
        <v>1044468517038</v>
      </c>
      <c r="AA59" s="127"/>
      <c r="AB59" s="127"/>
      <c r="AC59" s="127">
        <f>AC52+AC57</f>
        <v>1005099886110.4164</v>
      </c>
      <c r="AE59" s="127">
        <f>AE52+AE57</f>
        <v>177933758110.67499</v>
      </c>
      <c r="AF59" s="127"/>
      <c r="AG59" s="127"/>
      <c r="AH59" s="127">
        <f>AH52+AH57</f>
        <v>177933758110.67499</v>
      </c>
      <c r="AI59" s="127">
        <f>AI52+AI57</f>
        <v>382074481738.04993</v>
      </c>
      <c r="AJ59" s="127"/>
      <c r="AK59" s="127">
        <f>AK52+AK57</f>
        <v>382074481738.04993</v>
      </c>
      <c r="AL59" s="127">
        <f>AL52+AL57</f>
        <v>282618817.42500013</v>
      </c>
      <c r="AM59" s="127"/>
      <c r="AN59" s="127">
        <f>AN52+AN57</f>
        <v>282618817.42500013</v>
      </c>
      <c r="AO59" s="127">
        <f>AO52+AO57</f>
        <v>574553968</v>
      </c>
      <c r="AP59" s="127"/>
      <c r="AQ59" s="127">
        <f>AQ52+AQ57</f>
        <v>574553968</v>
      </c>
      <c r="AR59" s="127">
        <f>AR52+AR57</f>
        <v>39592215286.471001</v>
      </c>
      <c r="AS59" s="127"/>
      <c r="AT59" s="127">
        <f>AT52+AT57</f>
        <v>39592215286.471001</v>
      </c>
      <c r="AU59" s="127">
        <f>AU52+AU57</f>
        <v>0</v>
      </c>
      <c r="AV59" s="127"/>
      <c r="AW59" s="127">
        <f>AW52+AW57</f>
        <v>0</v>
      </c>
      <c r="AX59" s="127">
        <f>AX52+AX57</f>
        <v>33149995310.144566</v>
      </c>
      <c r="AY59" s="127"/>
      <c r="AZ59" s="127"/>
      <c r="BA59" s="127">
        <f>BA52+BA57</f>
        <v>633607623230.7655</v>
      </c>
      <c r="BB59" s="127">
        <f>BB52+BB57</f>
        <v>-33149995310.144566</v>
      </c>
      <c r="BC59" s="127"/>
      <c r="BD59" s="127">
        <f>BD52+BD57</f>
        <v>600457627920.62097</v>
      </c>
    </row>
    <row r="60" spans="1:58" s="40" customFormat="1" ht="13">
      <c r="B60" s="122"/>
      <c r="C60" s="123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</row>
    <row r="61" spans="1:58" s="40" customFormat="1" ht="13">
      <c r="B61" s="128" t="s">
        <v>141</v>
      </c>
      <c r="C61" s="71"/>
      <c r="D61" s="129"/>
      <c r="E61" s="129"/>
      <c r="F61" s="129"/>
      <c r="G61" s="129"/>
      <c r="H61" s="129">
        <v>0</v>
      </c>
      <c r="I61" s="129"/>
      <c r="J61" s="49">
        <v>0</v>
      </c>
      <c r="K61" s="129">
        <v>0</v>
      </c>
      <c r="L61" s="129"/>
      <c r="M61" s="49">
        <v>0</v>
      </c>
      <c r="N61" s="68">
        <v>0</v>
      </c>
      <c r="O61" s="129"/>
      <c r="P61" s="49">
        <v>0</v>
      </c>
      <c r="Q61" s="129">
        <v>0</v>
      </c>
      <c r="R61" s="129"/>
      <c r="S61" s="49">
        <v>0</v>
      </c>
      <c r="T61" s="68">
        <v>0</v>
      </c>
      <c r="U61" s="129"/>
      <c r="V61" s="49">
        <v>0</v>
      </c>
      <c r="W61" s="49">
        <f>-W50</f>
        <v>-58403961762.594269</v>
      </c>
      <c r="X61" s="129"/>
      <c r="Y61" s="129"/>
      <c r="Z61" s="49">
        <f>SUM(G61,J61,M61,P61,S61,V61,W61:Y61)</f>
        <v>-58403961762.594269</v>
      </c>
      <c r="AA61" s="129"/>
      <c r="AB61" s="129"/>
      <c r="AC61" s="49">
        <f t="shared" ref="AC61" si="26">SUM(Z61:AB61)</f>
        <v>-58403961762.594269</v>
      </c>
      <c r="AE61" s="129"/>
      <c r="AF61" s="129"/>
      <c r="AG61" s="129"/>
      <c r="AH61" s="129"/>
      <c r="AI61" s="129"/>
      <c r="AJ61" s="129"/>
      <c r="AK61" s="49">
        <f t="shared" ref="AK61" si="27">SUM(AI61:AJ61)</f>
        <v>0</v>
      </c>
      <c r="AL61" s="49">
        <v>0</v>
      </c>
      <c r="AM61" s="129"/>
      <c r="AN61" s="49">
        <f t="shared" ref="AN61" si="28">SUM(AL61:AM61)</f>
        <v>0</v>
      </c>
      <c r="AO61" s="129">
        <v>0</v>
      </c>
      <c r="AP61" s="129"/>
      <c r="AQ61" s="49">
        <f t="shared" ref="AQ61" si="29">SUM(AO61:AP61)</f>
        <v>0</v>
      </c>
      <c r="AR61" s="129">
        <v>0</v>
      </c>
      <c r="AS61" s="129"/>
      <c r="AT61" s="49">
        <f t="shared" ref="AT61" si="30">SUM(AR61:AS61)</f>
        <v>0</v>
      </c>
      <c r="AU61" s="129">
        <v>0</v>
      </c>
      <c r="AV61" s="129"/>
      <c r="AW61" s="49">
        <f>SUM(AU61:AV61)</f>
        <v>0</v>
      </c>
      <c r="AX61" s="49">
        <f>-SUM(AX45:AX49)</f>
        <v>-33149995310.144566</v>
      </c>
      <c r="AY61" s="129"/>
      <c r="AZ61" s="129"/>
      <c r="BA61" s="49">
        <f>SUM(AH61,AK61,AW61,AX61,AY61:AZ61)</f>
        <v>-33149995310.144566</v>
      </c>
      <c r="BB61" s="129"/>
      <c r="BC61" s="129"/>
      <c r="BD61" s="49">
        <f t="shared" ref="BD61" si="31">SUM(BA61:BC61)</f>
        <v>-33149995310.144566</v>
      </c>
      <c r="BF61" s="65">
        <f t="shared" ref="BF61" si="32">AL61*1.575</f>
        <v>0</v>
      </c>
    </row>
    <row r="62" spans="1:58">
      <c r="B62" s="130"/>
      <c r="C62" s="7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</row>
    <row r="63" spans="1:58" s="40" customFormat="1" ht="13.5" thickBot="1">
      <c r="B63" s="131" t="s">
        <v>156</v>
      </c>
      <c r="C63" s="126"/>
      <c r="D63" s="127">
        <v>307170485582.5</v>
      </c>
      <c r="E63" s="127"/>
      <c r="F63" s="127"/>
      <c r="G63" s="127">
        <v>307170485582.5</v>
      </c>
      <c r="H63" s="127">
        <v>603198187479.59229</v>
      </c>
      <c r="I63" s="127"/>
      <c r="J63" s="127">
        <v>603198187479.59229</v>
      </c>
      <c r="K63" s="127">
        <v>-2677772539</v>
      </c>
      <c r="L63" s="127"/>
      <c r="M63" s="127">
        <v>-2677772539</v>
      </c>
      <c r="N63" s="127">
        <v>-1013465132</v>
      </c>
      <c r="O63" s="127"/>
      <c r="P63" s="127">
        <v>-1013465132</v>
      </c>
      <c r="Q63" s="127">
        <v>79387119883.855499</v>
      </c>
      <c r="R63" s="127"/>
      <c r="S63" s="127">
        <v>79387119883.855499</v>
      </c>
      <c r="T63" s="127">
        <v>0</v>
      </c>
      <c r="U63" s="127"/>
      <c r="V63" s="127">
        <v>0</v>
      </c>
      <c r="W63" s="127">
        <f>SUM(W59:W62)</f>
        <v>0</v>
      </c>
      <c r="X63" s="127"/>
      <c r="Y63" s="127"/>
      <c r="Z63" s="127">
        <f t="shared" ref="Z63:AC63" si="33">SUM(Z59:Z62)</f>
        <v>986064555275.40576</v>
      </c>
      <c r="AA63" s="127"/>
      <c r="AB63" s="127"/>
      <c r="AC63" s="127">
        <f t="shared" si="33"/>
        <v>946695924347.82214</v>
      </c>
      <c r="AE63" s="127">
        <f>SUM(AE59:AE62)</f>
        <v>177933758110.67499</v>
      </c>
      <c r="AF63" s="127"/>
      <c r="AG63" s="127"/>
      <c r="AH63" s="127">
        <f>SUM(AH59:AH62)</f>
        <v>177933758110.67499</v>
      </c>
      <c r="AI63" s="127">
        <f>SUM(AI59:AI62)</f>
        <v>382074481738.04993</v>
      </c>
      <c r="AJ63" s="127"/>
      <c r="AK63" s="127">
        <f>SUM(AK59:AK62)</f>
        <v>382074481738.04993</v>
      </c>
      <c r="AL63" s="127">
        <f>SUM(AL59:AL62)</f>
        <v>282618817.42500013</v>
      </c>
      <c r="AM63" s="127"/>
      <c r="AN63" s="127">
        <f>SUM(AN59:AN62)</f>
        <v>282618817.42500013</v>
      </c>
      <c r="AO63" s="127">
        <f>SUM(AO59:AO62)</f>
        <v>574553968</v>
      </c>
      <c r="AP63" s="127"/>
      <c r="AQ63" s="127">
        <f>SUM(AQ59:AQ62)</f>
        <v>574553968</v>
      </c>
      <c r="AR63" s="127">
        <f>SUM(AR59:AR62)</f>
        <v>39592215286.471001</v>
      </c>
      <c r="AS63" s="127"/>
      <c r="AT63" s="127">
        <f>SUM(AT59:AT62)</f>
        <v>39592215286.471001</v>
      </c>
      <c r="AU63" s="127">
        <f t="shared" ref="AU63" si="34">SUM(AU59:AU62)</f>
        <v>0</v>
      </c>
      <c r="AV63" s="127"/>
      <c r="AW63" s="127">
        <f>SUM(AW59:AW62)</f>
        <v>0</v>
      </c>
      <c r="AX63" s="127">
        <f>SUM(AX59:AX62)</f>
        <v>0</v>
      </c>
      <c r="AY63" s="127"/>
      <c r="AZ63" s="127"/>
      <c r="BA63" s="127">
        <f>SUM(BA59:BA62)</f>
        <v>600457627920.62097</v>
      </c>
      <c r="BB63" s="127">
        <f t="shared" ref="BB63" si="35">SUM(BB59:BB62)</f>
        <v>-33149995310.144566</v>
      </c>
      <c r="BC63" s="127"/>
      <c r="BD63" s="127">
        <f>SUM(BD59:BD62)</f>
        <v>567307632610.47644</v>
      </c>
    </row>
    <row r="64" spans="1:58" ht="13">
      <c r="B64" s="76" t="s">
        <v>143</v>
      </c>
      <c r="C64" s="71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</row>
    <row r="65" spans="1:58" ht="13">
      <c r="B65" s="76" t="s">
        <v>144</v>
      </c>
      <c r="C65" s="71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</row>
    <row r="66" spans="1:58">
      <c r="A66" s="27">
        <v>16</v>
      </c>
      <c r="B66" s="91" t="s">
        <v>145</v>
      </c>
      <c r="C66" s="71"/>
      <c r="D66" s="49">
        <v>-788081504.17499995</v>
      </c>
      <c r="E66" s="49"/>
      <c r="F66" s="49"/>
      <c r="G66" s="49">
        <v>-788081504.17499995</v>
      </c>
      <c r="H66" s="49">
        <v>-1078337842.2115378</v>
      </c>
      <c r="I66" s="49"/>
      <c r="J66" s="49">
        <v>-1078337842.2115378</v>
      </c>
      <c r="K66" s="49"/>
      <c r="L66" s="49"/>
      <c r="M66" s="49">
        <v>0</v>
      </c>
      <c r="N66" s="68">
        <v>0</v>
      </c>
      <c r="O66" s="49"/>
      <c r="P66" s="49"/>
      <c r="Q66" s="68">
        <v>0</v>
      </c>
      <c r="R66" s="49"/>
      <c r="S66" s="49"/>
      <c r="T66" s="68">
        <v>0</v>
      </c>
      <c r="U66" s="49"/>
      <c r="V66" s="49">
        <v>0</v>
      </c>
      <c r="W66" s="49"/>
      <c r="X66" s="49"/>
      <c r="Y66" s="49"/>
      <c r="Z66" s="49">
        <f>ROUND(SUM(G66,J66,M66,P66,S66,V66,W66:Y66),0)</f>
        <v>-1866419346</v>
      </c>
      <c r="AA66" s="49">
        <f>-J66</f>
        <v>1078337842.2115378</v>
      </c>
      <c r="AB66" s="49"/>
      <c r="AC66" s="49">
        <f>SUM(Z66:AB66)</f>
        <v>-788081503.78846216</v>
      </c>
      <c r="AE66" s="49">
        <f>-514741504*1.575</f>
        <v>-810717868.79999995</v>
      </c>
      <c r="AF66" s="49"/>
      <c r="AG66" s="49"/>
      <c r="AH66" s="49">
        <f t="shared" ref="AH66:AH67" si="36">SUM(AE66:AF66)</f>
        <v>-810717868.79999995</v>
      </c>
      <c r="AI66" s="49">
        <v>-2227387090.3846149</v>
      </c>
      <c r="AJ66" s="49"/>
      <c r="AK66" s="49">
        <f t="shared" ref="AK66:AK67" si="37">SUM(AI66:AJ66)</f>
        <v>-2227387090.3846149</v>
      </c>
      <c r="AL66" s="49"/>
      <c r="AM66" s="49"/>
      <c r="AN66" s="49">
        <f t="shared" ref="AN66:AN67" si="38">SUM(AL66:AM66)</f>
        <v>0</v>
      </c>
      <c r="AO66" s="49"/>
      <c r="AP66" s="49"/>
      <c r="AQ66" s="49">
        <f t="shared" ref="AQ66:AQ67" si="39">SUM(AO66:AP66)</f>
        <v>0</v>
      </c>
      <c r="AR66" s="49"/>
      <c r="AS66" s="49"/>
      <c r="AT66" s="49">
        <f t="shared" ref="AT66:AT67" si="40">SUM(AR66:AS66)</f>
        <v>0</v>
      </c>
      <c r="AU66" s="49">
        <v>0</v>
      </c>
      <c r="AV66" s="49"/>
      <c r="AW66" s="49">
        <f>SUM(AU66:AV66)</f>
        <v>0</v>
      </c>
      <c r="AX66" s="49"/>
      <c r="AY66" s="49"/>
      <c r="AZ66" s="49"/>
      <c r="BA66" s="49">
        <f t="shared" ref="BA66:BA67" si="41">SUM(AH66,AK66,AN66,AQ66,AT66,AW66,AX66)</f>
        <v>-3038104959.1846151</v>
      </c>
      <c r="BB66" s="49">
        <f>'Elimination 22'!G26/78%</f>
        <v>2227387089.6597624</v>
      </c>
      <c r="BC66" s="49"/>
      <c r="BD66" s="49">
        <f>SUM(BA66:BC66)</f>
        <v>-810717869.52485275</v>
      </c>
      <c r="BF66" s="65">
        <f t="shared" ref="BF66:BF67" si="42">AL66*1.575</f>
        <v>0</v>
      </c>
    </row>
    <row r="67" spans="1:58">
      <c r="A67" s="27">
        <v>17</v>
      </c>
      <c r="B67" s="91" t="s">
        <v>146</v>
      </c>
      <c r="C67" s="71"/>
      <c r="D67" s="49">
        <v>173377931</v>
      </c>
      <c r="E67" s="49"/>
      <c r="F67" s="49"/>
      <c r="G67" s="49">
        <v>173377931</v>
      </c>
      <c r="H67" s="49">
        <v>237234325</v>
      </c>
      <c r="I67" s="49"/>
      <c r="J67" s="49">
        <v>237234325</v>
      </c>
      <c r="K67" s="49"/>
      <c r="L67" s="49"/>
      <c r="M67" s="49">
        <v>0</v>
      </c>
      <c r="N67" s="68">
        <v>0</v>
      </c>
      <c r="O67" s="49"/>
      <c r="P67" s="49"/>
      <c r="Q67" s="68">
        <v>0</v>
      </c>
      <c r="R67" s="49"/>
      <c r="S67" s="49"/>
      <c r="T67" s="68">
        <v>0</v>
      </c>
      <c r="U67" s="49"/>
      <c r="V67" s="49">
        <v>0</v>
      </c>
      <c r="W67" s="49"/>
      <c r="X67" s="49"/>
      <c r="Y67" s="49"/>
      <c r="Z67" s="49">
        <f>ROUND(SUM(G67,J67,M67,P67,S67,V67,W67:Y67),0)</f>
        <v>410612256</v>
      </c>
      <c r="AA67" s="49">
        <f>-J67</f>
        <v>-237234325</v>
      </c>
      <c r="AB67" s="49"/>
      <c r="AC67" s="49">
        <f>SUM(Z67:AB67)</f>
        <v>173377931</v>
      </c>
      <c r="AE67" s="49">
        <f>-ROUND(AE66*0.22,0)</f>
        <v>178357931</v>
      </c>
      <c r="AF67" s="49"/>
      <c r="AG67" s="49"/>
      <c r="AH67" s="49">
        <f t="shared" si="36"/>
        <v>178357931</v>
      </c>
      <c r="AI67" s="49">
        <v>490025160.44999999</v>
      </c>
      <c r="AJ67" s="49"/>
      <c r="AK67" s="49">
        <f t="shared" si="37"/>
        <v>490025160.44999999</v>
      </c>
      <c r="AL67" s="49"/>
      <c r="AM67" s="49"/>
      <c r="AN67" s="49">
        <f t="shared" si="38"/>
        <v>0</v>
      </c>
      <c r="AO67" s="49"/>
      <c r="AP67" s="49"/>
      <c r="AQ67" s="49">
        <f t="shared" si="39"/>
        <v>0</v>
      </c>
      <c r="AR67" s="49"/>
      <c r="AS67" s="49"/>
      <c r="AT67" s="49">
        <f t="shared" si="40"/>
        <v>0</v>
      </c>
      <c r="AU67" s="49">
        <v>0</v>
      </c>
      <c r="AV67" s="49"/>
      <c r="AW67" s="49">
        <f>SUM(AU67:AV67)</f>
        <v>0</v>
      </c>
      <c r="AX67" s="49"/>
      <c r="AY67" s="49"/>
      <c r="AZ67" s="49"/>
      <c r="BA67" s="49">
        <f t="shared" si="41"/>
        <v>668383091.45000005</v>
      </c>
      <c r="BB67" s="49">
        <f>-BB66*22%</f>
        <v>-490025159.72514772</v>
      </c>
      <c r="BC67" s="49"/>
      <c r="BD67" s="49">
        <f>SUM(BA67:BC67)</f>
        <v>178357931.72485232</v>
      </c>
      <c r="BF67" s="65">
        <f t="shared" si="42"/>
        <v>0</v>
      </c>
    </row>
    <row r="68" spans="1:58">
      <c r="B68" s="91"/>
      <c r="C68" s="71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</row>
    <row r="69" spans="1:58" ht="13">
      <c r="B69" s="76" t="s">
        <v>147</v>
      </c>
      <c r="C69" s="71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</row>
    <row r="70" spans="1:58">
      <c r="B70" s="91" t="s">
        <v>148</v>
      </c>
      <c r="C70" s="71"/>
      <c r="D70" s="49"/>
      <c r="E70" s="49"/>
      <c r="F70" s="49"/>
      <c r="G70" s="49">
        <v>0</v>
      </c>
      <c r="H70" s="49"/>
      <c r="I70" s="49">
        <v>0</v>
      </c>
      <c r="J70" s="49">
        <v>0</v>
      </c>
      <c r="K70" s="49"/>
      <c r="L70" s="49">
        <v>0</v>
      </c>
      <c r="M70" s="49">
        <v>0</v>
      </c>
      <c r="N70" s="49"/>
      <c r="O70" s="49"/>
      <c r="P70" s="49">
        <v>0</v>
      </c>
      <c r="Q70" s="49"/>
      <c r="R70" s="49"/>
      <c r="S70" s="49">
        <v>0</v>
      </c>
      <c r="T70" s="49"/>
      <c r="U70" s="49"/>
      <c r="V70" s="49">
        <v>0</v>
      </c>
      <c r="W70" s="49"/>
      <c r="X70" s="49"/>
      <c r="Y70" s="49"/>
      <c r="Z70" s="49">
        <f>ROUND(SUM(G70,J70,M70,P70,S70,V70,W70:Y70),0)</f>
        <v>0</v>
      </c>
      <c r="AA70" s="49"/>
      <c r="AB70" s="49"/>
      <c r="AC70" s="49">
        <f>SUM(Z70:AB70)</f>
        <v>0</v>
      </c>
      <c r="AE70" s="49"/>
      <c r="AF70" s="49"/>
      <c r="AG70" s="49"/>
      <c r="AH70" s="49">
        <f t="shared" ref="AH70" si="43">SUM(AE70:AF70)</f>
        <v>0</v>
      </c>
      <c r="AI70" s="49"/>
      <c r="AJ70" s="49">
        <v>0</v>
      </c>
      <c r="AK70" s="49">
        <f t="shared" ref="AK70" si="44">SUM(AI70:AJ70)</f>
        <v>0</v>
      </c>
      <c r="AL70" s="49"/>
      <c r="AM70" s="49">
        <v>0</v>
      </c>
      <c r="AN70" s="49">
        <f t="shared" ref="AN70" si="45">SUM(AL70:AM70)</f>
        <v>0</v>
      </c>
      <c r="AO70" s="49"/>
      <c r="AP70" s="49">
        <v>0</v>
      </c>
      <c r="AQ70" s="49">
        <f t="shared" ref="AQ70" si="46">SUM(AO70:AP70)</f>
        <v>0</v>
      </c>
      <c r="AR70" s="49"/>
      <c r="AS70" s="49">
        <v>0</v>
      </c>
      <c r="AT70" s="49">
        <f t="shared" ref="AT70" si="47">SUM(AR70:AS70)</f>
        <v>0</v>
      </c>
      <c r="AU70" s="49"/>
      <c r="AV70" s="49"/>
      <c r="AW70" s="49">
        <f>SUM(AU70:AV70)</f>
        <v>0</v>
      </c>
      <c r="AX70" s="49"/>
      <c r="AY70" s="49"/>
      <c r="AZ70" s="49"/>
      <c r="BA70" s="49">
        <f>SUM(AH70,AK70,AW70)</f>
        <v>0</v>
      </c>
      <c r="BB70" s="49"/>
      <c r="BC70" s="49"/>
      <c r="BD70" s="49">
        <f>SUM(BA70:BC70)</f>
        <v>0</v>
      </c>
    </row>
    <row r="71" spans="1:58">
      <c r="B71" s="91"/>
      <c r="C71" s="71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</row>
    <row r="72" spans="1:58">
      <c r="B72" s="91" t="s">
        <v>149</v>
      </c>
      <c r="C72" s="71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>
        <f>ROUND(SUM(G72,J72,M72,P72,S72,V72,W72:Y72),0)</f>
        <v>0</v>
      </c>
      <c r="AA72" s="49"/>
      <c r="AB72" s="49"/>
      <c r="AC72" s="49">
        <f t="shared" ref="AC72:AC74" si="48">SUM(Z72:AB72)</f>
        <v>0</v>
      </c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>
        <f t="shared" ref="BD72:BD74" si="49">SUM(BA72:BC72)</f>
        <v>0</v>
      </c>
    </row>
    <row r="73" spans="1:58">
      <c r="B73" s="132" t="s">
        <v>690</v>
      </c>
      <c r="C73" s="71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>
        <f>'Proforma Adjustment'!E90</f>
        <v>-27756416</v>
      </c>
      <c r="X73" s="49"/>
      <c r="Y73" s="49"/>
      <c r="Z73" s="49">
        <f>ROUND(SUM(G73,J73,M73,P73,S73,V73,W73:Y73),0)</f>
        <v>-27756416</v>
      </c>
      <c r="AA73" s="49"/>
      <c r="AB73" s="49"/>
      <c r="AC73" s="49">
        <f>SUM(Z73:AB73)</f>
        <v>-27756416</v>
      </c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>
        <f>'Proforma Adjustment'!E35</f>
        <v>-57332943.687842295</v>
      </c>
      <c r="AY73" s="49"/>
      <c r="AZ73" s="49"/>
      <c r="BA73" s="49">
        <f t="shared" ref="BA73:BA74" si="50">SUM(AH73,AK73,AN73,AQ73,AT73,AW73,AX73)</f>
        <v>-57332943.687842295</v>
      </c>
      <c r="BB73" s="49">
        <f>-BA73</f>
        <v>57332943.687842295</v>
      </c>
      <c r="BC73" s="49"/>
      <c r="BD73" s="49">
        <f t="shared" si="49"/>
        <v>0</v>
      </c>
    </row>
    <row r="74" spans="1:58">
      <c r="B74" s="132" t="s">
        <v>819</v>
      </c>
      <c r="C74" s="71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>
        <f>ROUND(SUM(G74,J74,M74,P74,S74,V74,W74:Y74),0)</f>
        <v>0</v>
      </c>
      <c r="AA74" s="49"/>
      <c r="AB74" s="49"/>
      <c r="AC74" s="49">
        <f t="shared" si="48"/>
        <v>0</v>
      </c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>
        <f t="shared" si="50"/>
        <v>0</v>
      </c>
      <c r="BB74" s="49"/>
      <c r="BC74" s="49"/>
      <c r="BD74" s="49">
        <f t="shared" si="49"/>
        <v>0</v>
      </c>
    </row>
    <row r="75" spans="1:58">
      <c r="B75" s="78"/>
      <c r="C75" s="7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</row>
    <row r="76" spans="1:58">
      <c r="B76" s="78" t="s">
        <v>150</v>
      </c>
      <c r="C76" s="79"/>
      <c r="D76" s="109">
        <f>SUM(D66:D75)</f>
        <v>-614703573.17499995</v>
      </c>
      <c r="E76" s="109"/>
      <c r="F76" s="109"/>
      <c r="G76" s="109">
        <f>SUM(G66:G75)</f>
        <v>-614703573.17499995</v>
      </c>
      <c r="H76" s="109">
        <f>SUM(H66:H75)</f>
        <v>-841103517.21153784</v>
      </c>
      <c r="I76" s="109"/>
      <c r="J76" s="109">
        <f>SUM(J66:J75)</f>
        <v>-841103517.21153784</v>
      </c>
      <c r="K76" s="109">
        <f>SUM(K66:K75)</f>
        <v>0</v>
      </c>
      <c r="L76" s="109"/>
      <c r="M76" s="109">
        <f>SUM(M66:M75)</f>
        <v>0</v>
      </c>
      <c r="N76" s="109">
        <f>SUM(N66:N75)</f>
        <v>0</v>
      </c>
      <c r="O76" s="109"/>
      <c r="P76" s="109">
        <f>SUM(P66:P75)</f>
        <v>0</v>
      </c>
      <c r="Q76" s="109">
        <f>SUM(Q66:Q75)</f>
        <v>0</v>
      </c>
      <c r="R76" s="109"/>
      <c r="S76" s="109">
        <f>SUM(S66:S75)</f>
        <v>0</v>
      </c>
      <c r="T76" s="109">
        <f>SUM(T66:T75)</f>
        <v>0</v>
      </c>
      <c r="U76" s="109"/>
      <c r="V76" s="109">
        <f>SUM(V66:V75)</f>
        <v>0</v>
      </c>
      <c r="W76" s="109">
        <f>SUM(W66:W75)</f>
        <v>-27756416</v>
      </c>
      <c r="X76" s="109"/>
      <c r="Y76" s="109"/>
      <c r="Z76" s="109">
        <f>SUM(Z66:Z75)</f>
        <v>-1483563506</v>
      </c>
      <c r="AA76" s="109"/>
      <c r="AB76" s="109"/>
      <c r="AC76" s="109">
        <f>SUM(AC66:AC75)</f>
        <v>-642459988.78846216</v>
      </c>
      <c r="AE76" s="109">
        <f>SUM(AE66:AE75)</f>
        <v>-632359937.79999995</v>
      </c>
      <c r="AF76" s="109"/>
      <c r="AG76" s="109"/>
      <c r="AH76" s="109">
        <f>SUM(AH66:AH75)</f>
        <v>-632359937.79999995</v>
      </c>
      <c r="AI76" s="109">
        <f>SUM(AI66:AI75)</f>
        <v>-1737361929.9346149</v>
      </c>
      <c r="AJ76" s="109"/>
      <c r="AK76" s="109">
        <f>SUM(AK66:AK75)</f>
        <v>-1737361929.9346149</v>
      </c>
      <c r="AL76" s="109">
        <f>SUM(AL66:AL75)</f>
        <v>0</v>
      </c>
      <c r="AM76" s="109"/>
      <c r="AN76" s="109">
        <f>SUM(AN66:AN75)</f>
        <v>0</v>
      </c>
      <c r="AO76" s="109">
        <f>SUM(AO66:AO75)</f>
        <v>0</v>
      </c>
      <c r="AP76" s="109"/>
      <c r="AQ76" s="109">
        <f>SUM(AQ66:AQ75)</f>
        <v>0</v>
      </c>
      <c r="AR76" s="109">
        <f>SUM(AR66:AR75)</f>
        <v>0</v>
      </c>
      <c r="AS76" s="109"/>
      <c r="AT76" s="109">
        <f>SUM(AT66:AT75)</f>
        <v>0</v>
      </c>
      <c r="AU76" s="109">
        <f>SUM(AU66:AU75)</f>
        <v>0</v>
      </c>
      <c r="AV76" s="109"/>
      <c r="AW76" s="109">
        <f>SUM(AW66:AW75)</f>
        <v>0</v>
      </c>
      <c r="AX76" s="109">
        <f>SUM(AX66:AX75)</f>
        <v>-57332943.687842295</v>
      </c>
      <c r="AY76" s="109"/>
      <c r="AZ76" s="109"/>
      <c r="BA76" s="109">
        <f>SUM(BA66:BA75)</f>
        <v>-2427054811.4224577</v>
      </c>
      <c r="BB76" s="109"/>
      <c r="BC76" s="109"/>
      <c r="BD76" s="109">
        <f>SUM(BD66:BD75)</f>
        <v>-632359937.80000043</v>
      </c>
    </row>
    <row r="77" spans="1:58">
      <c r="B77" s="78"/>
      <c r="C77" s="7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</row>
    <row r="78" spans="1:58" s="40" customFormat="1" ht="13.5" thickBot="1">
      <c r="B78" s="125" t="s">
        <v>151</v>
      </c>
      <c r="C78" s="126"/>
      <c r="D78" s="127">
        <f>D63+D76</f>
        <v>306555782009.32501</v>
      </c>
      <c r="E78" s="127"/>
      <c r="F78" s="127"/>
      <c r="G78" s="127">
        <f>G63+G76</f>
        <v>306555782009.32501</v>
      </c>
      <c r="H78" s="127">
        <f>H63+H76</f>
        <v>602357083962.38074</v>
      </c>
      <c r="I78" s="127"/>
      <c r="J78" s="127">
        <f>J63+J76</f>
        <v>602357083962.38074</v>
      </c>
      <c r="K78" s="127">
        <f>K63+K76</f>
        <v>-2677772539</v>
      </c>
      <c r="L78" s="127"/>
      <c r="M78" s="127">
        <f>M63+M76</f>
        <v>-2677772539</v>
      </c>
      <c r="N78" s="127">
        <f>N63+N76</f>
        <v>-1013465132</v>
      </c>
      <c r="O78" s="127"/>
      <c r="P78" s="127">
        <f>P63+P76</f>
        <v>-1013465132</v>
      </c>
      <c r="Q78" s="127">
        <f>Q63+Q76</f>
        <v>79387119883.855499</v>
      </c>
      <c r="R78" s="127"/>
      <c r="S78" s="127">
        <f>S63+S76</f>
        <v>79387119883.855499</v>
      </c>
      <c r="T78" s="127">
        <f>T63+T76</f>
        <v>0</v>
      </c>
      <c r="U78" s="127"/>
      <c r="V78" s="127">
        <f>V63+V76</f>
        <v>0</v>
      </c>
      <c r="W78" s="127">
        <f>W63+W76</f>
        <v>-27756416</v>
      </c>
      <c r="X78" s="127">
        <f>SUM(X15:X77)</f>
        <v>0</v>
      </c>
      <c r="Y78" s="127">
        <f>SUM(Y15:Y77)</f>
        <v>0</v>
      </c>
      <c r="Z78" s="127">
        <f>Z63+Z76</f>
        <v>984580991769.40576</v>
      </c>
      <c r="AA78" s="127"/>
      <c r="AB78" s="127"/>
      <c r="AC78" s="127">
        <f>AC63+AC76</f>
        <v>946053464359.03369</v>
      </c>
      <c r="AE78" s="127">
        <f>AE63+AE76</f>
        <v>177301398172.875</v>
      </c>
      <c r="AF78" s="127"/>
      <c r="AG78" s="127"/>
      <c r="AH78" s="127">
        <f>AH63+AH76</f>
        <v>177301398172.875</v>
      </c>
      <c r="AI78" s="127">
        <f>AI63+AI76</f>
        <v>380337119808.1153</v>
      </c>
      <c r="AJ78" s="127"/>
      <c r="AK78" s="127">
        <f>AK63+AK76</f>
        <v>380337119808.1153</v>
      </c>
      <c r="AL78" s="127">
        <f>AL63+AL76</f>
        <v>282618817.42500013</v>
      </c>
      <c r="AM78" s="127"/>
      <c r="AN78" s="127">
        <f>AN63+AN76</f>
        <v>282618817.42500013</v>
      </c>
      <c r="AO78" s="127">
        <f>AO63+AO76</f>
        <v>574553968</v>
      </c>
      <c r="AP78" s="127"/>
      <c r="AQ78" s="127">
        <f>AQ63+AQ76</f>
        <v>574553968</v>
      </c>
      <c r="AR78" s="127">
        <f>AR63+AR76</f>
        <v>39592215286.471001</v>
      </c>
      <c r="AS78" s="127"/>
      <c r="AT78" s="127">
        <f>AT63+AT76</f>
        <v>39592215286.471001</v>
      </c>
      <c r="AU78" s="127">
        <f>AU63+AU76</f>
        <v>0</v>
      </c>
      <c r="AV78" s="127"/>
      <c r="AW78" s="127">
        <f>AW63+AW76</f>
        <v>0</v>
      </c>
      <c r="AX78" s="127">
        <f>AX63+AX76</f>
        <v>-57332943.687842295</v>
      </c>
      <c r="AY78" s="127">
        <f>SUM(AY15:AY77)</f>
        <v>0</v>
      </c>
      <c r="AZ78" s="127">
        <f>SUM(AZ15:AZ77)</f>
        <v>0</v>
      </c>
      <c r="BA78" s="127">
        <f>BA63+BA76</f>
        <v>598030573109.19849</v>
      </c>
      <c r="BB78" s="127">
        <f>BB63+BB76</f>
        <v>-33149995310.144566</v>
      </c>
      <c r="BC78" s="127">
        <f>SUM(BC15:BC77)</f>
        <v>8728958944.7613792</v>
      </c>
      <c r="BD78" s="127">
        <f>BD63+BD76</f>
        <v>566675272672.67639</v>
      </c>
    </row>
    <row r="79" spans="1:58">
      <c r="B79" s="78"/>
      <c r="C79" s="7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</row>
    <row r="80" spans="1:58" s="40" customFormat="1" ht="13">
      <c r="B80" s="128" t="s">
        <v>152</v>
      </c>
      <c r="C80" s="71"/>
      <c r="D80" s="129"/>
      <c r="E80" s="129"/>
      <c r="F80" s="129"/>
      <c r="G80" s="129"/>
      <c r="H80" s="129">
        <v>0</v>
      </c>
      <c r="I80" s="129"/>
      <c r="J80" s="49">
        <v>0</v>
      </c>
      <c r="K80" s="129">
        <v>0</v>
      </c>
      <c r="L80" s="129"/>
      <c r="M80" s="49">
        <v>0</v>
      </c>
      <c r="N80" s="129">
        <v>0</v>
      </c>
      <c r="O80" s="129"/>
      <c r="P80" s="49">
        <v>0</v>
      </c>
      <c r="Q80" s="129">
        <v>0</v>
      </c>
      <c r="R80" s="129"/>
      <c r="S80" s="49">
        <v>0</v>
      </c>
      <c r="T80" s="129">
        <v>0</v>
      </c>
      <c r="U80" s="129"/>
      <c r="V80" s="49">
        <v>0</v>
      </c>
      <c r="W80" s="49">
        <f>-W73</f>
        <v>27756416</v>
      </c>
      <c r="X80" s="129"/>
      <c r="Y80" s="129"/>
      <c r="Z80" s="49">
        <f>SUM(G80,J80,M80,P80,S80,V80,W80:Y80)</f>
        <v>27756416</v>
      </c>
      <c r="AA80" s="129"/>
      <c r="AB80" s="129"/>
      <c r="AC80" s="49"/>
      <c r="AE80" s="129"/>
      <c r="AF80" s="129"/>
      <c r="AG80" s="129"/>
      <c r="AH80" s="129"/>
      <c r="AI80" s="129">
        <v>0</v>
      </c>
      <c r="AJ80" s="129"/>
      <c r="AK80" s="49"/>
      <c r="AL80" s="129">
        <v>0</v>
      </c>
      <c r="AM80" s="129"/>
      <c r="AN80" s="49"/>
      <c r="AO80" s="129">
        <v>0</v>
      </c>
      <c r="AP80" s="129"/>
      <c r="AQ80" s="49"/>
      <c r="AR80" s="129">
        <v>0</v>
      </c>
      <c r="AS80" s="129"/>
      <c r="AT80" s="49"/>
      <c r="AU80" s="129">
        <v>0</v>
      </c>
      <c r="AV80" s="129"/>
      <c r="AW80" s="49"/>
      <c r="AX80" s="49">
        <f>-AX73</f>
        <v>57332943.687842295</v>
      </c>
      <c r="AY80" s="129"/>
      <c r="AZ80" s="129"/>
      <c r="BA80" s="49">
        <f>SUM(AH80,AK80,AW80,AX80,AY80:AZ80)</f>
        <v>57332943.687842295</v>
      </c>
      <c r="BB80" s="129"/>
      <c r="BC80" s="129"/>
      <c r="BD80" s="49"/>
    </row>
    <row r="81" spans="2:56">
      <c r="B81" s="130"/>
      <c r="C81" s="7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</row>
    <row r="82" spans="2:56" s="40" customFormat="1" ht="13.5" thickBot="1">
      <c r="B82" s="125" t="s">
        <v>153</v>
      </c>
      <c r="C82" s="126"/>
      <c r="D82" s="127">
        <f>SUM(D77:D81)</f>
        <v>306555782009.32501</v>
      </c>
      <c r="E82" s="127"/>
      <c r="F82" s="127"/>
      <c r="G82" s="127">
        <f>SUM(G77:G81)</f>
        <v>306555782009.32501</v>
      </c>
      <c r="H82" s="127">
        <f>SUM(H77:H81)</f>
        <v>602357083962.38074</v>
      </c>
      <c r="I82" s="127"/>
      <c r="J82" s="127">
        <f>SUM(J77:J81)</f>
        <v>602357083962.38074</v>
      </c>
      <c r="K82" s="127">
        <f>SUM(K77:K81)</f>
        <v>-2677772539</v>
      </c>
      <c r="L82" s="127"/>
      <c r="M82" s="127">
        <f>SUM(M77:M81)</f>
        <v>-2677772539</v>
      </c>
      <c r="N82" s="127">
        <f>SUM(N77:N81)</f>
        <v>-1013465132</v>
      </c>
      <c r="O82" s="127"/>
      <c r="P82" s="127">
        <f>SUM(P77:P81)</f>
        <v>-1013465132</v>
      </c>
      <c r="Q82" s="127">
        <f>SUM(Q77:Q81)</f>
        <v>79387119883.855499</v>
      </c>
      <c r="R82" s="127"/>
      <c r="S82" s="127">
        <f>SUM(S77:S81)</f>
        <v>79387119883.855499</v>
      </c>
      <c r="T82" s="127">
        <f>SUM(T77:T81)</f>
        <v>0</v>
      </c>
      <c r="U82" s="127"/>
      <c r="V82" s="127">
        <f>SUM(V77:V81)</f>
        <v>0</v>
      </c>
      <c r="W82" s="127">
        <f>SUM(W77:W81)</f>
        <v>0</v>
      </c>
      <c r="X82" s="127"/>
      <c r="Y82" s="127"/>
      <c r="Z82" s="127">
        <f>SUM(Z77:Z81)</f>
        <v>984608748185.40576</v>
      </c>
      <c r="AA82" s="127"/>
      <c r="AB82" s="127"/>
      <c r="AC82" s="127">
        <f>SUM(AC77:AC81)</f>
        <v>946053464359.03369</v>
      </c>
      <c r="AE82" s="127">
        <f>SUM(AE77:AE81)</f>
        <v>177301398172.875</v>
      </c>
      <c r="AF82" s="127"/>
      <c r="AG82" s="127"/>
      <c r="AH82" s="127">
        <f>SUM(AH77:AH81)</f>
        <v>177301398172.875</v>
      </c>
      <c r="AI82" s="127">
        <f>SUM(AI77:AI81)</f>
        <v>380337119808.1153</v>
      </c>
      <c r="AJ82" s="127"/>
      <c r="AK82" s="127">
        <f>SUM(AK77:AK81)</f>
        <v>380337119808.1153</v>
      </c>
      <c r="AL82" s="127">
        <f>SUM(AL77:AL81)</f>
        <v>282618817.42500013</v>
      </c>
      <c r="AM82" s="127"/>
      <c r="AN82" s="127">
        <f>SUM(AN77:AN81)</f>
        <v>282618817.42500013</v>
      </c>
      <c r="AO82" s="127">
        <f>SUM(AO77:AO81)</f>
        <v>574553968</v>
      </c>
      <c r="AP82" s="127"/>
      <c r="AQ82" s="127">
        <f>SUM(AQ77:AQ81)</f>
        <v>574553968</v>
      </c>
      <c r="AR82" s="127">
        <f>SUM(AR77:AR81)</f>
        <v>39592215286.471001</v>
      </c>
      <c r="AS82" s="127"/>
      <c r="AT82" s="127">
        <f>SUM(AT77:AT81)</f>
        <v>39592215286.471001</v>
      </c>
      <c r="AU82" s="127">
        <f>SUM(AU77:AU81)</f>
        <v>0</v>
      </c>
      <c r="AV82" s="127"/>
      <c r="AW82" s="127">
        <f>SUM(AW77:AW81)</f>
        <v>0</v>
      </c>
      <c r="AX82" s="127">
        <f>SUM(AX77:AX81)</f>
        <v>0</v>
      </c>
      <c r="AY82" s="127"/>
      <c r="AZ82" s="127"/>
      <c r="BA82" s="127">
        <f>SUM(BA77:BA81)</f>
        <v>598087906052.88635</v>
      </c>
      <c r="BB82" s="127">
        <f>SUM(BB77:BB81)</f>
        <v>-33149995310.144566</v>
      </c>
      <c r="BC82" s="127">
        <f>SUM(BC77:BC81)</f>
        <v>8728958944.7613792</v>
      </c>
      <c r="BD82" s="127">
        <f>SUM(BD77:BD81)</f>
        <v>566675272672.67639</v>
      </c>
    </row>
    <row r="83" spans="2:56" ht="13">
      <c r="B83" s="133"/>
      <c r="C83" s="133"/>
      <c r="D83" s="22" t="s">
        <v>40</v>
      </c>
      <c r="E83" s="22"/>
      <c r="F83" s="22"/>
      <c r="G83" s="22"/>
      <c r="H83" s="22" t="s">
        <v>40</v>
      </c>
      <c r="I83" s="22"/>
      <c r="J83" s="22"/>
      <c r="K83" s="22" t="s">
        <v>40</v>
      </c>
      <c r="L83" s="22"/>
      <c r="M83" s="22"/>
      <c r="N83" s="22" t="s">
        <v>40</v>
      </c>
      <c r="O83" s="22"/>
      <c r="P83" s="22"/>
      <c r="Q83" s="22" t="s">
        <v>40</v>
      </c>
      <c r="R83" s="22"/>
      <c r="S83" s="22"/>
      <c r="T83" s="22" t="s">
        <v>40</v>
      </c>
      <c r="U83" s="22"/>
      <c r="V83" s="22"/>
      <c r="W83" s="22"/>
      <c r="X83" s="22"/>
      <c r="Y83" s="22"/>
      <c r="Z83" s="22"/>
      <c r="AA83" s="22"/>
      <c r="AB83" s="22"/>
      <c r="AC83" s="22"/>
      <c r="AE83" s="22" t="s">
        <v>40</v>
      </c>
      <c r="AF83" s="22"/>
      <c r="AG83" s="22"/>
      <c r="AH83" s="22"/>
      <c r="AI83" s="22" t="s">
        <v>40</v>
      </c>
      <c r="AJ83" s="22"/>
      <c r="AK83" s="22"/>
      <c r="AL83" s="22" t="s">
        <v>40</v>
      </c>
      <c r="AM83" s="22"/>
      <c r="AN83" s="22"/>
      <c r="AO83" s="22" t="s">
        <v>40</v>
      </c>
      <c r="AP83" s="22"/>
      <c r="AQ83" s="22"/>
      <c r="AR83" s="22" t="s">
        <v>40</v>
      </c>
      <c r="AS83" s="22"/>
      <c r="AT83" s="22"/>
      <c r="AU83" s="22" t="s">
        <v>40</v>
      </c>
      <c r="AV83" s="22"/>
      <c r="AW83" s="22"/>
      <c r="AX83" s="22"/>
      <c r="AY83" s="22"/>
      <c r="AZ83" s="22"/>
      <c r="BA83" s="22"/>
      <c r="BB83" s="22"/>
      <c r="BC83" s="22"/>
      <c r="BD83" s="22"/>
    </row>
    <row r="84" spans="2:56" ht="13">
      <c r="B84" s="133"/>
      <c r="C84" s="133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</row>
    <row r="85" spans="2:56" ht="13">
      <c r="B85" s="134" t="s">
        <v>154</v>
      </c>
      <c r="C85" s="75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</row>
    <row r="86" spans="2:56">
      <c r="B86" s="135" t="s">
        <v>155</v>
      </c>
      <c r="C86" s="71"/>
      <c r="D86" s="136">
        <f>D63-D87</f>
        <v>307170485582.5</v>
      </c>
      <c r="E86" s="136"/>
      <c r="F86" s="136"/>
      <c r="G86" s="136">
        <f>G63-G87</f>
        <v>307170485582.5</v>
      </c>
      <c r="H86" s="136">
        <f>H63-H87</f>
        <v>603198187479.59229</v>
      </c>
      <c r="I86" s="136"/>
      <c r="J86" s="136">
        <f>J89-J87</f>
        <v>603198187479.59229</v>
      </c>
      <c r="K86" s="136">
        <f>K63-K87</f>
        <v>-2677772539</v>
      </c>
      <c r="L86" s="136"/>
      <c r="M86" s="136">
        <f>M63-M87</f>
        <v>-2677772539</v>
      </c>
      <c r="N86" s="136">
        <f>N63-N87</f>
        <v>-1013465132</v>
      </c>
      <c r="O86" s="136"/>
      <c r="P86" s="136">
        <f>SUM(N86:O86)</f>
        <v>-1013465132</v>
      </c>
      <c r="Q86" s="136">
        <f>Q63-Q87</f>
        <v>79178338799.328873</v>
      </c>
      <c r="R86" s="136"/>
      <c r="S86" s="136">
        <f>SUM(Q86:R86)</f>
        <v>79178338799.328873</v>
      </c>
      <c r="T86" s="136">
        <f>T63-T87</f>
        <v>0</v>
      </c>
      <c r="U86" s="136"/>
      <c r="V86" s="136">
        <f>SUM(T86:U86)</f>
        <v>0</v>
      </c>
      <c r="W86" s="136"/>
      <c r="X86" s="136"/>
      <c r="Y86" s="136"/>
      <c r="Z86" s="136">
        <f>Z89-Z87</f>
        <v>985855774190.40576</v>
      </c>
      <c r="AA86" s="49"/>
      <c r="AB86" s="49"/>
      <c r="AC86" s="136">
        <f>AC63-AC87</f>
        <v>326205816417.49524</v>
      </c>
      <c r="AE86" s="136">
        <f>AE63-AE87</f>
        <v>177933758110.67499</v>
      </c>
      <c r="AF86" s="136"/>
      <c r="AG86" s="136"/>
      <c r="AH86" s="136">
        <f>AH63-AH87</f>
        <v>177933758110.67499</v>
      </c>
      <c r="AI86" s="136">
        <f>AI63-AI87</f>
        <v>382074481738.04993</v>
      </c>
      <c r="AJ86" s="136"/>
      <c r="AK86" s="136">
        <f>SUM(AI86:AJ86)</f>
        <v>382074481738.04993</v>
      </c>
      <c r="AL86" s="136">
        <f>AL63-AL87</f>
        <v>282618817.42500013</v>
      </c>
      <c r="AM86" s="136"/>
      <c r="AN86" s="136">
        <f>AN89-AN87</f>
        <v>282618817.42500013</v>
      </c>
      <c r="AO86" s="136">
        <f>AO82</f>
        <v>574553968</v>
      </c>
      <c r="AP86" s="136"/>
      <c r="AQ86" s="136">
        <f>AQ89-AQ87</f>
        <v>574553968</v>
      </c>
      <c r="AR86" s="136">
        <f>AR89-AR87</f>
        <v>39420351553.376801</v>
      </c>
      <c r="AS86" s="136"/>
      <c r="AT86" s="136">
        <f>AT89-AT87</f>
        <v>39420351553.376801</v>
      </c>
      <c r="AU86" s="136">
        <f>AU63-AU87</f>
        <v>0</v>
      </c>
      <c r="AV86" s="136"/>
      <c r="AW86" s="136">
        <f>SUM(AU86:AV86)</f>
        <v>0</v>
      </c>
      <c r="AX86" s="136"/>
      <c r="AY86" s="136"/>
      <c r="AZ86" s="136"/>
      <c r="BA86" s="49">
        <f>SUM(AH86,AK86,AN86,AQ86,AT86,AW86,AX86)</f>
        <v>600285764187.52673</v>
      </c>
      <c r="BB86" s="49"/>
      <c r="BC86" s="49"/>
      <c r="BD86" s="136">
        <f>BD89-BD87</f>
        <v>177933758110.67499</v>
      </c>
    </row>
    <row r="87" spans="2:56">
      <c r="B87" s="135" t="s">
        <v>103</v>
      </c>
      <c r="C87" s="79"/>
      <c r="D87" s="49"/>
      <c r="E87" s="49"/>
      <c r="F87" s="49"/>
      <c r="G87" s="136">
        <f>SUM(D87:E87)</f>
        <v>0</v>
      </c>
      <c r="H87" s="49">
        <v>0</v>
      </c>
      <c r="I87" s="49"/>
      <c r="J87" s="136">
        <f>SUM(H87:I87)</f>
        <v>0</v>
      </c>
      <c r="K87" s="49">
        <v>0</v>
      </c>
      <c r="L87" s="49"/>
      <c r="M87" s="136">
        <v>0</v>
      </c>
      <c r="N87" s="49">
        <v>0</v>
      </c>
      <c r="O87" s="49"/>
      <c r="P87" s="136">
        <f>SUM(N87:O87)</f>
        <v>0</v>
      </c>
      <c r="Q87" s="49">
        <v>208781084.52661905</v>
      </c>
      <c r="R87" s="49"/>
      <c r="S87" s="136">
        <f>SUM(Q87:R87)</f>
        <v>208781084.52661905</v>
      </c>
      <c r="T87" s="49">
        <v>0</v>
      </c>
      <c r="U87" s="49"/>
      <c r="V87" s="136">
        <f>SUM(T87:U87)</f>
        <v>0</v>
      </c>
      <c r="W87" s="136"/>
      <c r="X87" s="49"/>
      <c r="Y87" s="49"/>
      <c r="Z87" s="136">
        <f>ROUND(SUM(G87,J87,M87,P87,S87,V87,W87:Y87),0)</f>
        <v>208781085</v>
      </c>
      <c r="AA87" s="49">
        <f>'Elimination 23'!G13+'Elimination 23'!G53</f>
        <v>622090033304.43689</v>
      </c>
      <c r="AB87" s="49">
        <f>'Elimination 23'!H35+'Elimination 23'!H46</f>
        <v>-1808706459.1099999</v>
      </c>
      <c r="AC87" s="49">
        <f>SUM(Z87,AA87,AB87)</f>
        <v>620490107930.3269</v>
      </c>
      <c r="AE87" s="49"/>
      <c r="AF87" s="49"/>
      <c r="AG87" s="49"/>
      <c r="AH87" s="136">
        <f>SUM(AE87:AF87)</f>
        <v>0</v>
      </c>
      <c r="AI87" s="49"/>
      <c r="AJ87" s="49"/>
      <c r="AK87" s="136">
        <f>SUM(AI87:AJ87)</f>
        <v>0</v>
      </c>
      <c r="AL87" s="49">
        <v>0</v>
      </c>
      <c r="AM87" s="49"/>
      <c r="AN87" s="136">
        <f>SUM(AL87:AM87)</f>
        <v>0</v>
      </c>
      <c r="AO87" s="49">
        <v>0</v>
      </c>
      <c r="AP87" s="49"/>
      <c r="AQ87" s="136">
        <f>SUM(AO87:AP87)</f>
        <v>0</v>
      </c>
      <c r="AR87" s="49">
        <v>171863733.09419999</v>
      </c>
      <c r="AS87" s="49"/>
      <c r="AT87" s="136">
        <f>SUM(AR87:AS87)</f>
        <v>171863733.09419999</v>
      </c>
      <c r="AU87" s="49">
        <v>0</v>
      </c>
      <c r="AV87" s="49"/>
      <c r="AW87" s="136">
        <f>SUM(AU87:AV87)</f>
        <v>0</v>
      </c>
      <c r="AX87" s="136"/>
      <c r="AY87" s="49"/>
      <c r="AZ87" s="49"/>
      <c r="BA87" s="49">
        <f>SUM(AH87,AK87,AN87,AQ87,AT87,AW87,AX87,AY87:AZ87)</f>
        <v>171863733.09419999</v>
      </c>
      <c r="BB87" s="49">
        <f>'Elimination 22'!G17+'Elimination 22'!G35+'Elimination 22'!H50+'Elimination 22'!H60</f>
        <v>389202010766.70728</v>
      </c>
      <c r="BC87" s="49"/>
      <c r="BD87" s="49">
        <f>SUM(BA87:BC87)</f>
        <v>389373874499.80145</v>
      </c>
    </row>
    <row r="88" spans="2:56">
      <c r="B88" s="135"/>
      <c r="C88" s="7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84"/>
      <c r="AA88" s="49"/>
      <c r="AB88" s="49"/>
      <c r="AC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84"/>
      <c r="BB88" s="49"/>
      <c r="BC88" s="49"/>
      <c r="BD88" s="49"/>
    </row>
    <row r="89" spans="2:56" s="40" customFormat="1" ht="13">
      <c r="B89" s="60" t="s">
        <v>156</v>
      </c>
      <c r="C89" s="61"/>
      <c r="D89" s="73">
        <f t="shared" ref="D89" si="51">SUM(D85:D87)</f>
        <v>307170485582.5</v>
      </c>
      <c r="E89" s="73"/>
      <c r="F89" s="73"/>
      <c r="G89" s="73">
        <f t="shared" ref="G89" si="52">SUM(G85:G87)</f>
        <v>307170485582.5</v>
      </c>
      <c r="H89" s="73">
        <f>SUM(H85:H87)</f>
        <v>603198187479.59229</v>
      </c>
      <c r="I89" s="73"/>
      <c r="J89" s="73">
        <f>J63</f>
        <v>603198187479.59229</v>
      </c>
      <c r="K89" s="73">
        <f>SUM(K85:K87)</f>
        <v>-2677772539</v>
      </c>
      <c r="L89" s="73"/>
      <c r="M89" s="73">
        <f t="shared" ref="M89:N89" si="53">SUM(M85:M87)</f>
        <v>-2677772539</v>
      </c>
      <c r="N89" s="73">
        <f t="shared" si="53"/>
        <v>-1013465132</v>
      </c>
      <c r="O89" s="73"/>
      <c r="P89" s="73">
        <f>SUM(P85:P87)</f>
        <v>-1013465132</v>
      </c>
      <c r="Q89" s="73">
        <f t="shared" ref="Q89" si="54">SUM(Q85:Q87)</f>
        <v>79387119883.855499</v>
      </c>
      <c r="R89" s="73"/>
      <c r="S89" s="73">
        <f>SUM(S85:S87)</f>
        <v>79387119883.855499</v>
      </c>
      <c r="T89" s="73">
        <f t="shared" ref="T89" si="55">SUM(T85:T87)</f>
        <v>0</v>
      </c>
      <c r="U89" s="73"/>
      <c r="V89" s="73">
        <f>SUM(V85:V87)</f>
        <v>0</v>
      </c>
      <c r="W89" s="73"/>
      <c r="X89" s="73"/>
      <c r="Y89" s="73"/>
      <c r="Z89" s="73">
        <f>Z63</f>
        <v>986064555275.40576</v>
      </c>
      <c r="AA89" s="73"/>
      <c r="AB89" s="73"/>
      <c r="AC89" s="73">
        <f>AC63</f>
        <v>946695924347.82214</v>
      </c>
      <c r="AE89" s="73">
        <f t="shared" ref="AE89" si="56">SUM(AE85:AE87)</f>
        <v>177933758110.67499</v>
      </c>
      <c r="AF89" s="73"/>
      <c r="AG89" s="73"/>
      <c r="AH89" s="73">
        <f>AH78</f>
        <v>177301398172.875</v>
      </c>
      <c r="AI89" s="73">
        <f>SUM(AI85:AI87)</f>
        <v>382074481738.04993</v>
      </c>
      <c r="AJ89" s="73"/>
      <c r="AK89" s="73">
        <f>SUM(AK85:AK87)</f>
        <v>382074481738.04993</v>
      </c>
      <c r="AL89" s="73">
        <f>SUM(AL85:AL87)</f>
        <v>282618817.42500013</v>
      </c>
      <c r="AM89" s="73"/>
      <c r="AN89" s="73">
        <f>AN78</f>
        <v>282618817.42500013</v>
      </c>
      <c r="AO89" s="73">
        <f>SUM(AO85:AO87)</f>
        <v>574553968</v>
      </c>
      <c r="AP89" s="73"/>
      <c r="AQ89" s="73">
        <f>AQ78</f>
        <v>574553968</v>
      </c>
      <c r="AR89" s="73">
        <f>AR82</f>
        <v>39592215286.471001</v>
      </c>
      <c r="AS89" s="73"/>
      <c r="AT89" s="73">
        <f>AT78</f>
        <v>39592215286.471001</v>
      </c>
      <c r="AU89" s="73">
        <f t="shared" ref="AU89" si="57">SUM(AU85:AU87)</f>
        <v>0</v>
      </c>
      <c r="AV89" s="73"/>
      <c r="AW89" s="73">
        <f>SUM(AW85:AW87)</f>
        <v>0</v>
      </c>
      <c r="AX89" s="73"/>
      <c r="AY89" s="73"/>
      <c r="AZ89" s="73"/>
      <c r="BA89" s="73">
        <f>BA78</f>
        <v>598030573109.19849</v>
      </c>
      <c r="BB89" s="73"/>
      <c r="BC89" s="73"/>
      <c r="BD89" s="73">
        <f>BD63</f>
        <v>567307632610.47644</v>
      </c>
    </row>
    <row r="90" spans="2:56" ht="13">
      <c r="B90" s="133"/>
      <c r="C90" s="133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>
        <f>AC89-AC63</f>
        <v>0</v>
      </c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</row>
    <row r="91" spans="2:56" ht="13">
      <c r="B91" s="133"/>
      <c r="C91" s="133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</row>
    <row r="92" spans="2:56" ht="13">
      <c r="B92" s="134" t="s">
        <v>157</v>
      </c>
      <c r="C92" s="75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</row>
    <row r="93" spans="2:56">
      <c r="B93" s="135" t="s">
        <v>155</v>
      </c>
      <c r="C93" s="71"/>
      <c r="D93" s="136">
        <f>D78-D96</f>
        <v>306555782009.32501</v>
      </c>
      <c r="E93" s="136"/>
      <c r="F93" s="136"/>
      <c r="G93" s="136">
        <f>G78-G96</f>
        <v>306555782009.32501</v>
      </c>
      <c r="H93" s="136">
        <f>H97-H94</f>
        <v>602357083962.38074</v>
      </c>
      <c r="I93" s="136"/>
      <c r="J93" s="136">
        <f>J78-J96-J94-J95</f>
        <v>602357083962.38074</v>
      </c>
      <c r="K93" s="136">
        <f>K97-K94</f>
        <v>-2677772539</v>
      </c>
      <c r="L93" s="136"/>
      <c r="M93" s="136">
        <f>M78-M96-M94-M95</f>
        <v>-2677772539</v>
      </c>
      <c r="N93" s="136">
        <f>N97-N94</f>
        <v>-1013465132</v>
      </c>
      <c r="O93" s="136"/>
      <c r="P93" s="136">
        <f>P97-P94</f>
        <v>-1013465132</v>
      </c>
      <c r="Q93" s="136">
        <f>Q97-Q94</f>
        <v>79178338799.328873</v>
      </c>
      <c r="R93" s="136"/>
      <c r="S93" s="136">
        <f>S97-S94</f>
        <v>79178338799.328873</v>
      </c>
      <c r="T93" s="136">
        <f>T97-T94</f>
        <v>0</v>
      </c>
      <c r="U93" s="136"/>
      <c r="V93" s="136">
        <f>V97-V94</f>
        <v>0</v>
      </c>
      <c r="W93" s="136"/>
      <c r="X93" s="136"/>
      <c r="Y93" s="136"/>
      <c r="Z93" s="49">
        <f>ROUND(SUM(G93,J93,M93,P93,S93,V93,W93:Y93),0)</f>
        <v>984399967100</v>
      </c>
      <c r="AA93" s="49"/>
      <c r="AB93" s="49"/>
      <c r="AC93" s="136">
        <f>AC97-AC94</f>
        <v>326376703529.70679</v>
      </c>
      <c r="AE93" s="136">
        <f>AE78-AE96</f>
        <v>177301398172.875</v>
      </c>
      <c r="AF93" s="136"/>
      <c r="AG93" s="136"/>
      <c r="AH93" s="136">
        <f>AH78-AH96</f>
        <v>177301398172.875</v>
      </c>
      <c r="AI93" s="136">
        <f>AI78-AI96-AI94-AI95</f>
        <v>380337119808.1153</v>
      </c>
      <c r="AJ93" s="136"/>
      <c r="AK93" s="136">
        <f>AK78-AK96-AK94-AK95</f>
        <v>380337119808.1153</v>
      </c>
      <c r="AL93" s="136">
        <f>AL78-AL96-AL94-AL95</f>
        <v>282618817.42500013</v>
      </c>
      <c r="AM93" s="136"/>
      <c r="AN93" s="136">
        <f>AN78-AN96-AN94-AN95</f>
        <v>282618817.42500013</v>
      </c>
      <c r="AO93" s="136">
        <f>AO78-AO96-AO94-AO95</f>
        <v>574553968</v>
      </c>
      <c r="AP93" s="136"/>
      <c r="AQ93" s="136">
        <f>AQ78-AQ96-AQ94-AQ95</f>
        <v>574553968</v>
      </c>
      <c r="AR93" s="136">
        <f>AR78-AR96-AR94-AR95</f>
        <v>39420351553.376801</v>
      </c>
      <c r="AS93" s="136"/>
      <c r="AT93" s="136">
        <f>AT78-AT96-AT94-AT95</f>
        <v>39420351553.376801</v>
      </c>
      <c r="AU93" s="136">
        <f>AU97-AU94</f>
        <v>0</v>
      </c>
      <c r="AV93" s="136"/>
      <c r="AW93" s="136">
        <v>0</v>
      </c>
      <c r="AX93" s="136"/>
      <c r="AY93" s="136"/>
      <c r="AZ93" s="136"/>
      <c r="BA93" s="49">
        <f>SUM(AH93,AK93,AW93,AX93,AY93:AZ93)</f>
        <v>557638517980.99023</v>
      </c>
      <c r="BB93" s="49"/>
      <c r="BC93" s="49"/>
      <c r="BD93" s="136">
        <f>BD78-BD96-BD94-BD95</f>
        <v>179153290891.90375</v>
      </c>
    </row>
    <row r="94" spans="2:56">
      <c r="B94" s="135" t="s">
        <v>158</v>
      </c>
      <c r="C94" s="71"/>
      <c r="D94" s="136"/>
      <c r="E94" s="136"/>
      <c r="F94" s="136"/>
      <c r="G94" s="136"/>
      <c r="H94" s="136">
        <v>0</v>
      </c>
      <c r="I94" s="136"/>
      <c r="J94" s="136">
        <f>SUM(H94:I94)</f>
        <v>0</v>
      </c>
      <c r="K94" s="136">
        <v>0</v>
      </c>
      <c r="L94" s="136"/>
      <c r="M94" s="136">
        <f>SUM(K94:L94)</f>
        <v>0</v>
      </c>
      <c r="N94" s="136">
        <f>N87</f>
        <v>0</v>
      </c>
      <c r="O94" s="136"/>
      <c r="P94" s="136">
        <f>P87</f>
        <v>0</v>
      </c>
      <c r="Q94" s="136">
        <f>Q87</f>
        <v>208781084.52661905</v>
      </c>
      <c r="R94" s="136"/>
      <c r="S94" s="136">
        <f>S87</f>
        <v>208781084.52661905</v>
      </c>
      <c r="T94" s="136">
        <f>T87</f>
        <v>0</v>
      </c>
      <c r="U94" s="136"/>
      <c r="V94" s="136">
        <f>V87</f>
        <v>0</v>
      </c>
      <c r="W94" s="136"/>
      <c r="X94" s="136"/>
      <c r="Y94" s="136"/>
      <c r="Z94" s="136">
        <f>Z87</f>
        <v>208781085</v>
      </c>
      <c r="AA94" s="49">
        <f>AA87</f>
        <v>622090033304.43689</v>
      </c>
      <c r="AB94" s="49">
        <f>AB87+'Elimination 23'!H26</f>
        <v>-2622053560.1099997</v>
      </c>
      <c r="AC94" s="49">
        <f>SUM(Z94,AA94,AB94)</f>
        <v>619676760829.3269</v>
      </c>
      <c r="AE94" s="136"/>
      <c r="AF94" s="136"/>
      <c r="AG94" s="136"/>
      <c r="AH94" s="136"/>
      <c r="AI94" s="136">
        <f>AI87</f>
        <v>0</v>
      </c>
      <c r="AJ94" s="136"/>
      <c r="AK94" s="136">
        <f>SUM(AI94:AJ94)</f>
        <v>0</v>
      </c>
      <c r="AL94" s="136">
        <f>AL87</f>
        <v>0</v>
      </c>
      <c r="AM94" s="136"/>
      <c r="AN94" s="136">
        <f>SUM(AL94:AM94)</f>
        <v>0</v>
      </c>
      <c r="AO94" s="136">
        <f>AO87</f>
        <v>0</v>
      </c>
      <c r="AP94" s="136"/>
      <c r="AQ94" s="136">
        <f>SUM(AO94:AP94)</f>
        <v>0</v>
      </c>
      <c r="AR94" s="136">
        <f>AR87</f>
        <v>171863733.09419999</v>
      </c>
      <c r="AS94" s="136"/>
      <c r="AT94" s="136">
        <f>SUM(AR94:AS94)</f>
        <v>171863733.09419999</v>
      </c>
      <c r="AU94" s="136">
        <f>SUM(AU66:AU67)</f>
        <v>0</v>
      </c>
      <c r="AV94" s="136"/>
      <c r="AW94" s="136">
        <v>0</v>
      </c>
      <c r="AX94" s="136"/>
      <c r="AY94" s="136"/>
      <c r="AZ94" s="136"/>
      <c r="BA94" s="49">
        <f>SUM(AH94,AK94,AN94,AQ94,AT94,AW94,AX94,AY94:AZ94)</f>
        <v>171863733.09419999</v>
      </c>
      <c r="BB94" s="49">
        <f>BB87</f>
        <v>389202010766.70728</v>
      </c>
      <c r="BC94" s="49">
        <f>'Elimination 22'!H28</f>
        <v>-1680028985.9346149</v>
      </c>
      <c r="BD94" s="49">
        <f>SUM(BB94:BC94)</f>
        <v>387521981780.77264</v>
      </c>
    </row>
    <row r="95" spans="2:56">
      <c r="B95" s="135" t="s">
        <v>159</v>
      </c>
      <c r="C95" s="71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49">
        <f>SUM(G95,J95,W95:Y95)</f>
        <v>0</v>
      </c>
      <c r="AA95" s="49"/>
      <c r="AB95" s="49"/>
      <c r="AC95" s="49">
        <f>SUM(Z95,AA95,AB95)</f>
        <v>0</v>
      </c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49">
        <f>SUM(AH95,AK95,AW95)</f>
        <v>0</v>
      </c>
      <c r="BB95" s="49"/>
      <c r="BC95" s="49"/>
      <c r="BD95" s="136">
        <f t="shared" ref="BD95" si="58">SUM(BA95:BC95)</f>
        <v>0</v>
      </c>
    </row>
    <row r="96" spans="2:56">
      <c r="B96" s="135" t="s">
        <v>160</v>
      </c>
      <c r="C96" s="79"/>
      <c r="D96" s="68"/>
      <c r="E96" s="49"/>
      <c r="F96" s="49"/>
      <c r="G96" s="136">
        <f>SUM(D96:E96)</f>
        <v>0</v>
      </c>
      <c r="H96" s="49"/>
      <c r="I96" s="49"/>
      <c r="J96" s="136">
        <f>SUM(H96:I96)</f>
        <v>0</v>
      </c>
      <c r="K96" s="49"/>
      <c r="L96" s="49"/>
      <c r="M96" s="136">
        <f>SUM(K96:L96)</f>
        <v>0</v>
      </c>
      <c r="N96" s="68"/>
      <c r="O96" s="49"/>
      <c r="P96" s="136">
        <f>SUM(N96:O96)</f>
        <v>0</v>
      </c>
      <c r="Q96" s="68"/>
      <c r="R96" s="49"/>
      <c r="S96" s="136">
        <f>SUM(Q96:R96)</f>
        <v>0</v>
      </c>
      <c r="T96" s="68"/>
      <c r="U96" s="49"/>
      <c r="V96" s="136">
        <f>SUM(T96:U96)</f>
        <v>0</v>
      </c>
      <c r="W96" s="136"/>
      <c r="X96" s="49"/>
      <c r="Y96" s="49"/>
      <c r="Z96" s="49">
        <f>SUM(G96,J96,W96:Y96)</f>
        <v>0</v>
      </c>
      <c r="AA96" s="49"/>
      <c r="AB96" s="49"/>
      <c r="AC96" s="49">
        <f>SUM(Z96:AB96)</f>
        <v>0</v>
      </c>
      <c r="AE96" s="68"/>
      <c r="AF96" s="49"/>
      <c r="AG96" s="49"/>
      <c r="AH96" s="136">
        <f>SUM(AE96:AF96)</f>
        <v>0</v>
      </c>
      <c r="AI96" s="49"/>
      <c r="AJ96" s="49"/>
      <c r="AK96" s="136">
        <f>SUM(AI96:AJ96)</f>
        <v>0</v>
      </c>
      <c r="AL96" s="49"/>
      <c r="AM96" s="49"/>
      <c r="AN96" s="136">
        <f>SUM(AL96:AM96)</f>
        <v>0</v>
      </c>
      <c r="AO96" s="49"/>
      <c r="AP96" s="49"/>
      <c r="AQ96" s="136">
        <f>SUM(AO96:AP96)</f>
        <v>0</v>
      </c>
      <c r="AR96" s="49"/>
      <c r="AS96" s="49"/>
      <c r="AT96" s="136">
        <f>SUM(AR96:AS96)</f>
        <v>0</v>
      </c>
      <c r="AU96" s="68"/>
      <c r="AV96" s="49"/>
      <c r="AW96" s="136">
        <f>SUM(AU96:AV96)</f>
        <v>0</v>
      </c>
      <c r="AX96" s="136"/>
      <c r="AY96" s="49"/>
      <c r="AZ96" s="49"/>
      <c r="BA96" s="49">
        <f>SUM(AH96,AK96,AW96)</f>
        <v>0</v>
      </c>
      <c r="BB96" s="49"/>
      <c r="BC96" s="49"/>
      <c r="BD96" s="49">
        <f>SUM(BA96:BC96)</f>
        <v>0</v>
      </c>
    </row>
    <row r="97" spans="2:56" s="40" customFormat="1" ht="13">
      <c r="B97" s="60" t="s">
        <v>153</v>
      </c>
      <c r="C97" s="61"/>
      <c r="D97" s="73">
        <f>SUM(D92:D96)</f>
        <v>306555782009.32501</v>
      </c>
      <c r="E97" s="73"/>
      <c r="F97" s="73"/>
      <c r="G97" s="73">
        <f t="shared" ref="G97" si="59">SUM(G92:G96)</f>
        <v>306555782009.32501</v>
      </c>
      <c r="H97" s="73">
        <f>H82</f>
        <v>602357083962.38074</v>
      </c>
      <c r="I97" s="73"/>
      <c r="J97" s="73">
        <f>J82</f>
        <v>602357083962.38074</v>
      </c>
      <c r="K97" s="73">
        <f>K82</f>
        <v>-2677772539</v>
      </c>
      <c r="L97" s="73"/>
      <c r="M97" s="73">
        <f>M82</f>
        <v>-2677772539</v>
      </c>
      <c r="N97" s="73">
        <f>N89</f>
        <v>-1013465132</v>
      </c>
      <c r="O97" s="73"/>
      <c r="P97" s="73">
        <f>P89</f>
        <v>-1013465132</v>
      </c>
      <c r="Q97" s="73">
        <f>Q89</f>
        <v>79387119883.855499</v>
      </c>
      <c r="R97" s="73"/>
      <c r="S97" s="73">
        <f>S89</f>
        <v>79387119883.855499</v>
      </c>
      <c r="T97" s="73">
        <f>T89</f>
        <v>0</v>
      </c>
      <c r="U97" s="73"/>
      <c r="V97" s="73">
        <f>V89</f>
        <v>0</v>
      </c>
      <c r="W97" s="73"/>
      <c r="X97" s="73"/>
      <c r="Y97" s="73"/>
      <c r="Z97" s="73">
        <f>Z82</f>
        <v>984608748185.40576</v>
      </c>
      <c r="AA97" s="73"/>
      <c r="AB97" s="73"/>
      <c r="AC97" s="73">
        <f>AC78</f>
        <v>946053464359.03369</v>
      </c>
      <c r="AE97" s="73">
        <f>SUM(AE92:AE96)</f>
        <v>177301398172.875</v>
      </c>
      <c r="AF97" s="73"/>
      <c r="AG97" s="73"/>
      <c r="AH97" s="73">
        <f t="shared" ref="AH97" si="60">SUM(AH92:AH96)</f>
        <v>177301398172.875</v>
      </c>
      <c r="AI97" s="73">
        <f>SUM(AI92:AI96)</f>
        <v>380337119808.1153</v>
      </c>
      <c r="AJ97" s="73"/>
      <c r="AK97" s="73">
        <f t="shared" ref="AK97" si="61">SUM(AK92:AK96)</f>
        <v>380337119808.1153</v>
      </c>
      <c r="AL97" s="73">
        <f>SUM(AL92:AL96)</f>
        <v>282618817.42500013</v>
      </c>
      <c r="AM97" s="73"/>
      <c r="AN97" s="73">
        <f t="shared" ref="AN97" si="62">SUM(AN92:AN96)</f>
        <v>282618817.42500013</v>
      </c>
      <c r="AO97" s="73">
        <f>SUM(AO92:AO96)</f>
        <v>574553968</v>
      </c>
      <c r="AP97" s="73"/>
      <c r="AQ97" s="73">
        <f t="shared" ref="AQ97" si="63">SUM(AQ92:AQ96)</f>
        <v>574553968</v>
      </c>
      <c r="AR97" s="73">
        <f>SUM(AR92:AR96)</f>
        <v>39592215286.471001</v>
      </c>
      <c r="AS97" s="73"/>
      <c r="AT97" s="73">
        <f t="shared" ref="AT97" si="64">SUM(AT92:AT96)</f>
        <v>39592215286.471001</v>
      </c>
      <c r="AU97" s="73">
        <f>AU78</f>
        <v>0</v>
      </c>
      <c r="AV97" s="73"/>
      <c r="AW97" s="73">
        <f>AW78</f>
        <v>0</v>
      </c>
      <c r="AX97" s="73"/>
      <c r="AY97" s="73"/>
      <c r="AZ97" s="73"/>
      <c r="BA97" s="73">
        <f>BA78</f>
        <v>598030573109.19849</v>
      </c>
      <c r="BB97" s="73"/>
      <c r="BC97" s="73"/>
      <c r="BD97" s="73">
        <f>SUM(BD92:BD96)</f>
        <v>566675272672.67639</v>
      </c>
    </row>
    <row r="98" spans="2:56" s="40" customFormat="1" ht="13">
      <c r="B98" s="137"/>
      <c r="C98" s="63"/>
      <c r="D98" s="138">
        <f>D97-D78</f>
        <v>0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38">
        <f>N97-N78</f>
        <v>0</v>
      </c>
      <c r="O98" s="138"/>
      <c r="P98" s="138"/>
      <c r="Q98" s="138">
        <f>Q97-Q78</f>
        <v>0</v>
      </c>
      <c r="R98" s="138"/>
      <c r="S98" s="138"/>
      <c r="T98" s="138">
        <f>T97-T78</f>
        <v>0</v>
      </c>
      <c r="U98" s="138"/>
      <c r="V98" s="138"/>
      <c r="W98" s="138"/>
      <c r="X98" s="138"/>
      <c r="Y98" s="138"/>
      <c r="Z98" s="138"/>
      <c r="AA98" s="138"/>
      <c r="AB98" s="138"/>
      <c r="AC98" s="138">
        <f>AC97-AC78</f>
        <v>0</v>
      </c>
      <c r="AE98" s="138">
        <f>AE97-AE78</f>
        <v>0</v>
      </c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  <c r="AP98" s="138"/>
      <c r="AQ98" s="138"/>
      <c r="AR98" s="138"/>
      <c r="AS98" s="138"/>
      <c r="AT98" s="138"/>
      <c r="AU98" s="138"/>
      <c r="AV98" s="138"/>
      <c r="AW98" s="138"/>
      <c r="AX98" s="138"/>
      <c r="AY98" s="138"/>
      <c r="AZ98" s="138"/>
      <c r="BA98" s="138"/>
      <c r="BB98" s="138"/>
      <c r="BC98" s="138"/>
      <c r="BD98" s="138">
        <f>BD97-BD78</f>
        <v>0</v>
      </c>
    </row>
    <row r="99" spans="2:56" s="40" customFormat="1" ht="13">
      <c r="B99" s="137"/>
      <c r="C99" s="63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E99" s="138"/>
      <c r="AF99" s="138"/>
      <c r="AG99" s="138"/>
      <c r="AH99" s="138"/>
      <c r="AI99" s="138"/>
      <c r="AJ99" s="138"/>
      <c r="AK99" s="138"/>
      <c r="AL99" s="138"/>
      <c r="AM99" s="138"/>
      <c r="AN99" s="138"/>
      <c r="AO99" s="138"/>
      <c r="AP99" s="138"/>
      <c r="AQ99" s="138"/>
      <c r="AR99" s="138"/>
      <c r="AS99" s="138"/>
      <c r="AT99" s="138"/>
      <c r="AU99" s="138"/>
      <c r="AV99" s="138"/>
      <c r="AW99" s="138"/>
      <c r="AX99" s="138"/>
      <c r="AY99" s="138"/>
      <c r="AZ99" s="138"/>
      <c r="BA99" s="138"/>
      <c r="BB99" s="138"/>
      <c r="BC99" s="138"/>
      <c r="BD99" s="138"/>
    </row>
    <row r="100" spans="2:56">
      <c r="B100" s="133"/>
      <c r="G100" s="28"/>
      <c r="J100" s="28"/>
      <c r="M100" s="28"/>
      <c r="P100" s="28"/>
      <c r="S100" s="28"/>
      <c r="V100" s="28"/>
      <c r="W100" s="28"/>
      <c r="Z100" s="28"/>
      <c r="AA100" s="28"/>
      <c r="AH100" s="28"/>
      <c r="AK100" s="28"/>
      <c r="AN100" s="28"/>
      <c r="AQ100" s="28"/>
      <c r="AT100" s="28"/>
      <c r="AW100" s="28"/>
      <c r="AX100" s="28"/>
      <c r="BA100" s="28"/>
      <c r="BB100" s="28"/>
    </row>
    <row r="101" spans="2:56" s="139" customFormat="1">
      <c r="AC101" s="140"/>
      <c r="BD101" s="140"/>
    </row>
    <row r="102" spans="2:56" s="142" customFormat="1">
      <c r="C102" s="143" t="s">
        <v>166</v>
      </c>
      <c r="G102" s="144"/>
      <c r="H102" s="145"/>
      <c r="J102" s="144"/>
      <c r="K102" s="145"/>
      <c r="M102" s="144"/>
      <c r="P102" s="144"/>
      <c r="S102" s="144"/>
      <c r="V102" s="144"/>
      <c r="W102" s="144"/>
      <c r="Z102" s="146"/>
      <c r="AC102" s="147"/>
      <c r="AH102" s="144"/>
      <c r="AI102" s="145"/>
      <c r="AK102" s="144"/>
      <c r="AL102" s="145"/>
      <c r="AN102" s="144"/>
      <c r="AO102" s="145"/>
      <c r="AQ102" s="144"/>
      <c r="AR102" s="145"/>
      <c r="AT102" s="144"/>
      <c r="AW102" s="144"/>
      <c r="AX102" s="144"/>
      <c r="BA102" s="146"/>
      <c r="BD102" s="147"/>
    </row>
    <row r="103" spans="2:56" s="148" customFormat="1">
      <c r="C103" s="142" t="s">
        <v>167</v>
      </c>
      <c r="D103" s="149"/>
      <c r="G103" s="149"/>
      <c r="H103" s="149"/>
      <c r="J103" s="149"/>
      <c r="K103" s="149"/>
      <c r="M103" s="149"/>
      <c r="N103" s="149"/>
      <c r="P103" s="149"/>
      <c r="Q103" s="149"/>
      <c r="S103" s="149"/>
      <c r="T103" s="149"/>
      <c r="V103" s="149"/>
      <c r="W103" s="149"/>
      <c r="Y103" s="149"/>
      <c r="Z103" s="146"/>
      <c r="AA103" s="149"/>
      <c r="AC103" s="150"/>
      <c r="AE103" s="149"/>
      <c r="AH103" s="149"/>
      <c r="AI103" s="149"/>
      <c r="AK103" s="149"/>
      <c r="AL103" s="149"/>
      <c r="AN103" s="149"/>
      <c r="AO103" s="149"/>
      <c r="AQ103" s="149"/>
      <c r="AR103" s="149"/>
      <c r="AT103" s="149"/>
      <c r="AU103" s="149"/>
      <c r="AW103" s="149"/>
      <c r="AX103" s="149"/>
      <c r="AZ103" s="149"/>
      <c r="BA103" s="146"/>
      <c r="BB103" s="149"/>
      <c r="BD103" s="150"/>
    </row>
    <row r="104" spans="2:56" s="148" customFormat="1">
      <c r="C104" s="142" t="s">
        <v>168</v>
      </c>
      <c r="D104" s="149"/>
      <c r="G104" s="149"/>
      <c r="H104" s="149"/>
      <c r="J104" s="149"/>
      <c r="K104" s="149"/>
      <c r="M104" s="149"/>
      <c r="N104" s="149"/>
      <c r="P104" s="149"/>
      <c r="Q104" s="149"/>
      <c r="S104" s="149"/>
      <c r="T104" s="149"/>
      <c r="V104" s="149"/>
      <c r="W104" s="149"/>
      <c r="Z104" s="146"/>
      <c r="AA104" s="149"/>
      <c r="AE104" s="149"/>
      <c r="AH104" s="149"/>
      <c r="AI104" s="149"/>
      <c r="AK104" s="149"/>
      <c r="AL104" s="149"/>
      <c r="AN104" s="149"/>
      <c r="AO104" s="149"/>
      <c r="AQ104" s="149"/>
      <c r="AR104" s="149"/>
      <c r="AT104" s="149"/>
      <c r="AU104" s="149"/>
      <c r="AW104" s="149"/>
      <c r="AX104" s="149"/>
      <c r="BA104" s="146"/>
      <c r="BB104" s="149"/>
    </row>
    <row r="105" spans="2:56" s="148" customFormat="1">
      <c r="C105" s="148" t="s">
        <v>169</v>
      </c>
      <c r="D105" s="149"/>
      <c r="G105" s="149"/>
      <c r="H105" s="149"/>
      <c r="J105" s="149"/>
      <c r="K105" s="149"/>
      <c r="M105" s="149"/>
      <c r="N105" s="149"/>
      <c r="P105" s="149"/>
      <c r="Q105" s="149"/>
      <c r="S105" s="149"/>
      <c r="T105" s="149"/>
      <c r="V105" s="149"/>
      <c r="W105" s="149"/>
      <c r="Z105" s="146"/>
      <c r="AA105" s="149"/>
      <c r="AE105" s="149"/>
      <c r="AH105" s="149"/>
      <c r="AI105" s="149"/>
      <c r="AK105" s="149"/>
      <c r="AL105" s="149"/>
      <c r="AN105" s="149"/>
      <c r="AO105" s="149"/>
      <c r="AQ105" s="149"/>
      <c r="AR105" s="149"/>
      <c r="AT105" s="149"/>
      <c r="AU105" s="149"/>
      <c r="AW105" s="149"/>
      <c r="AX105" s="149"/>
      <c r="BA105" s="146"/>
      <c r="BB105" s="149"/>
    </row>
  </sheetData>
  <mergeCells count="19">
    <mergeCell ref="AG12:AG13"/>
    <mergeCell ref="B12:C13"/>
    <mergeCell ref="E12:E13"/>
    <mergeCell ref="F12:F13"/>
    <mergeCell ref="I12:I13"/>
    <mergeCell ref="L12:L13"/>
    <mergeCell ref="O12:O13"/>
    <mergeCell ref="R12:R13"/>
    <mergeCell ref="U12:U13"/>
    <mergeCell ref="X12:Y12"/>
    <mergeCell ref="AA12:AB12"/>
    <mergeCell ref="AF12:AF13"/>
    <mergeCell ref="BB12:BC12"/>
    <mergeCell ref="AJ12:AJ13"/>
    <mergeCell ref="AM12:AM13"/>
    <mergeCell ref="AP12:AP13"/>
    <mergeCell ref="AS12:AS13"/>
    <mergeCell ref="AV12:AV13"/>
    <mergeCell ref="AY12:AZ12"/>
  </mergeCells>
  <pageMargins left="0.7" right="0.7" top="0.75" bottom="0.75" header="0.3" footer="0.3"/>
  <pageSetup paperSize="9" orientation="portrait" horizont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CCD8-595D-4C11-BE2B-D287817847C2}">
  <dimension ref="A2:Z86"/>
  <sheetViews>
    <sheetView workbookViewId="0"/>
  </sheetViews>
  <sheetFormatPr defaultColWidth="9.1796875" defaultRowHeight="12.5"/>
  <cols>
    <col min="1" max="1" width="3.1796875" style="27" customWidth="1"/>
    <col min="2" max="2" width="11.26953125" style="27" customWidth="1"/>
    <col min="3" max="3" width="34.453125" style="27" customWidth="1"/>
    <col min="4" max="4" width="7.81640625" style="27" customWidth="1"/>
    <col min="5" max="5" width="3" style="27" customWidth="1"/>
    <col min="6" max="6" width="19.26953125" style="27" customWidth="1"/>
    <col min="7" max="7" width="3" style="27" customWidth="1"/>
    <col min="8" max="8" width="19.26953125" style="27" customWidth="1"/>
    <col min="9" max="9" width="3" style="27" customWidth="1"/>
    <col min="10" max="10" width="19.26953125" style="27" customWidth="1"/>
    <col min="11" max="11" width="3" style="27" customWidth="1"/>
    <col min="12" max="12" width="19.26953125" style="27" customWidth="1"/>
    <col min="13" max="13" width="3" style="27" customWidth="1"/>
    <col min="14" max="14" width="19.26953125" style="27" customWidth="1"/>
    <col min="15" max="15" width="3" style="27" customWidth="1"/>
    <col min="16" max="16" width="19.26953125" style="27" customWidth="1"/>
    <col min="17" max="17" width="3" style="27" customWidth="1"/>
    <col min="18" max="18" width="19.26953125" style="27" customWidth="1"/>
    <col min="19" max="19" width="3" style="27" customWidth="1"/>
    <col min="20" max="20" width="19.26953125" style="27" customWidth="1"/>
    <col min="21" max="21" width="3" style="27" customWidth="1"/>
    <col min="22" max="22" width="19.26953125" style="27" customWidth="1"/>
    <col min="23" max="23" width="3" style="27" customWidth="1"/>
    <col min="24" max="24" width="21.81640625" style="27" bestFit="1" customWidth="1"/>
    <col min="25" max="25" width="2.1796875" style="27" bestFit="1" customWidth="1"/>
    <col min="26" max="26" width="21" style="27" bestFit="1" customWidth="1"/>
    <col min="27" max="27" width="9.1796875" style="27"/>
    <col min="28" max="28" width="16.1796875" style="27" bestFit="1" customWidth="1"/>
    <col min="29" max="16384" width="9.1796875" style="27"/>
  </cols>
  <sheetData>
    <row r="2" spans="1:26" s="153" customFormat="1" ht="13">
      <c r="A2" s="152" t="s">
        <v>472</v>
      </c>
    </row>
    <row r="3" spans="1:26" s="153" customFormat="1" ht="13">
      <c r="A3" s="152" t="s">
        <v>170</v>
      </c>
    </row>
    <row r="4" spans="1:26" s="153" customFormat="1" ht="13">
      <c r="A4" s="152" t="s">
        <v>557</v>
      </c>
      <c r="V4" s="153" t="s">
        <v>171</v>
      </c>
    </row>
    <row r="5" spans="1:26" ht="14.9" customHeight="1">
      <c r="B5" s="40"/>
      <c r="C5" s="154"/>
      <c r="D5" s="40"/>
      <c r="Z5" s="467"/>
    </row>
    <row r="6" spans="1:26" ht="14.9" customHeight="1">
      <c r="B6" s="40"/>
      <c r="C6" s="154"/>
      <c r="D6" s="40"/>
      <c r="R6" s="151"/>
      <c r="Z6" s="467"/>
    </row>
    <row r="7" spans="1:26" ht="78">
      <c r="D7" s="155" t="s">
        <v>172</v>
      </c>
      <c r="E7" s="156"/>
      <c r="F7" s="155" t="s">
        <v>173</v>
      </c>
      <c r="G7" s="156"/>
      <c r="H7" s="155" t="s">
        <v>89</v>
      </c>
      <c r="I7" s="156"/>
      <c r="J7" s="155" t="s">
        <v>90</v>
      </c>
      <c r="K7" s="156"/>
      <c r="L7" s="155" t="s">
        <v>174</v>
      </c>
      <c r="M7" s="156"/>
      <c r="N7" s="155" t="s">
        <v>175</v>
      </c>
      <c r="O7" s="156"/>
      <c r="P7" s="155" t="s">
        <v>176</v>
      </c>
      <c r="Q7" s="156"/>
      <c r="R7" s="155" t="s">
        <v>177</v>
      </c>
      <c r="S7" s="156"/>
      <c r="T7" s="155" t="s">
        <v>178</v>
      </c>
      <c r="U7" s="156"/>
      <c r="V7" s="155" t="s">
        <v>103</v>
      </c>
      <c r="W7" s="156"/>
      <c r="X7" s="155" t="s">
        <v>179</v>
      </c>
      <c r="Y7" s="157"/>
      <c r="Z7" s="468" t="s">
        <v>111</v>
      </c>
    </row>
    <row r="8" spans="1:26" ht="13">
      <c r="D8" s="157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7"/>
      <c r="U8" s="157"/>
      <c r="V8" s="157"/>
      <c r="W8" s="157"/>
      <c r="X8" s="158"/>
      <c r="Y8" s="158"/>
      <c r="Z8" s="469"/>
    </row>
    <row r="9" spans="1:26" ht="13">
      <c r="D9" s="157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7"/>
      <c r="U9" s="157"/>
      <c r="V9" s="157"/>
      <c r="W9" s="157"/>
      <c r="X9" s="158"/>
      <c r="Y9" s="158"/>
      <c r="Z9" s="469"/>
    </row>
    <row r="10" spans="1:26" s="40" customFormat="1" ht="13">
      <c r="B10" s="40" t="s">
        <v>473</v>
      </c>
      <c r="E10" s="159"/>
      <c r="F10" s="159">
        <v>142427250000</v>
      </c>
      <c r="G10" s="159"/>
      <c r="H10" s="159">
        <f>-'Consol SoFP 23 &amp; 22'!AJ94</f>
        <v>357853579197.97498</v>
      </c>
      <c r="I10" s="159"/>
      <c r="J10" s="159"/>
      <c r="K10" s="159"/>
      <c r="L10" s="159"/>
      <c r="M10" s="159"/>
      <c r="N10" s="159">
        <f>-'Consol SoFP 23 &amp; 22'!AJ105-'Consol SoFP 23 &amp; 22'!AJ104</f>
        <v>890579715.375</v>
      </c>
      <c r="O10" s="159"/>
      <c r="P10" s="159">
        <f>-SUM('Consol SoFP 23 &amp; 22'!AJ97:AJ98)</f>
        <v>28533901860.449997</v>
      </c>
      <c r="Q10" s="159"/>
      <c r="R10" s="159">
        <f>-'Consol SoFP 23 &amp; 22'!AJ102-'Consol SoFP 23 &amp; 22'!AJ101</f>
        <v>-323673912324.67499</v>
      </c>
      <c r="S10" s="159"/>
      <c r="T10" s="159">
        <f>SUM(F10,H10,J10,L10,N10,P10,R10)</f>
        <v>206031398449.125</v>
      </c>
      <c r="U10" s="159"/>
      <c r="V10" s="159"/>
      <c r="W10" s="159"/>
      <c r="X10" s="159">
        <f>SUM(T10:V10)</f>
        <v>206031398449.125</v>
      </c>
      <c r="Y10" s="160"/>
      <c r="Z10" s="469"/>
    </row>
    <row r="11" spans="1:26" ht="13"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0"/>
      <c r="Z11" s="469"/>
    </row>
    <row r="12" spans="1:26" ht="13">
      <c r="B12" s="27" t="s">
        <v>182</v>
      </c>
      <c r="E12" s="162"/>
      <c r="F12" s="162"/>
      <c r="G12" s="162"/>
      <c r="H12" s="162"/>
      <c r="I12" s="162"/>
      <c r="J12" s="162"/>
      <c r="K12" s="162"/>
      <c r="L12" s="162">
        <v>0</v>
      </c>
      <c r="M12" s="162"/>
      <c r="N12" s="162"/>
      <c r="O12" s="162"/>
      <c r="P12" s="162"/>
      <c r="Q12" s="162"/>
      <c r="R12" s="162"/>
      <c r="S12" s="162"/>
      <c r="T12" s="159">
        <f>SUM(F12,H12,J12,L12,N12,P12,R12)</f>
        <v>0</v>
      </c>
      <c r="U12" s="164"/>
      <c r="V12" s="163"/>
      <c r="W12" s="163"/>
      <c r="X12" s="159">
        <f>SUM(T12:V12)</f>
        <v>0</v>
      </c>
      <c r="Y12" s="160"/>
      <c r="Z12" s="470">
        <v>0</v>
      </c>
    </row>
    <row r="13" spans="1:26" ht="13"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1"/>
      <c r="U13" s="162"/>
      <c r="V13" s="162"/>
      <c r="W13" s="162"/>
      <c r="X13" s="162"/>
      <c r="Y13" s="160"/>
      <c r="Z13" s="469"/>
    </row>
    <row r="14" spans="1:26" ht="13">
      <c r="B14" s="27" t="s">
        <v>183</v>
      </c>
      <c r="E14" s="162"/>
      <c r="F14" s="162"/>
      <c r="G14" s="162"/>
      <c r="H14" s="162"/>
      <c r="I14" s="162"/>
      <c r="J14" s="162"/>
      <c r="K14" s="162"/>
      <c r="L14" s="162">
        <f>-'Proforma Adjustment'!R15</f>
        <v>35078824664.238449</v>
      </c>
      <c r="M14" s="162"/>
      <c r="N14" s="162"/>
      <c r="O14" s="162"/>
      <c r="P14" s="162"/>
      <c r="Q14" s="162"/>
      <c r="R14" s="162"/>
      <c r="S14" s="162"/>
      <c r="T14" s="159">
        <f>SUM(F14,H14,J14,L14,N14,P14,R14)</f>
        <v>35078824664.238449</v>
      </c>
      <c r="U14" s="164"/>
      <c r="V14" s="163">
        <f>-SUM('NCI Detail &amp; Movement'!P48,'NCI Detail &amp; Movement'!P49,'NCI Detail &amp; Movement'!P51,'NCI Detail &amp; Movement'!P56)</f>
        <v>519210096211.63654</v>
      </c>
      <c r="W14" s="163"/>
      <c r="X14" s="159">
        <f>SUM(T14:V14)</f>
        <v>554288920875.875</v>
      </c>
      <c r="Y14" s="160"/>
      <c r="Z14" s="470">
        <v>0</v>
      </c>
    </row>
    <row r="15" spans="1:26" ht="13"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1"/>
      <c r="U15" s="162"/>
      <c r="V15" s="162"/>
      <c r="W15" s="162"/>
      <c r="X15" s="162"/>
      <c r="Y15" s="160"/>
      <c r="Z15" s="469"/>
    </row>
    <row r="16" spans="1:26" ht="13">
      <c r="B16" s="27" t="s">
        <v>184</v>
      </c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0"/>
      <c r="Z16" s="469"/>
    </row>
    <row r="17" spans="2:26" ht="13">
      <c r="B17" s="165" t="s">
        <v>185</v>
      </c>
      <c r="E17" s="162"/>
      <c r="F17" s="162"/>
      <c r="G17" s="162"/>
      <c r="H17" s="162"/>
      <c r="I17" s="162"/>
      <c r="J17" s="162"/>
      <c r="K17" s="162"/>
      <c r="L17" s="162">
        <f>-'Proforma Adjustment'!S15</f>
        <v>-33149995310.144566</v>
      </c>
      <c r="M17" s="162"/>
      <c r="N17" s="162"/>
      <c r="O17" s="162"/>
      <c r="P17" s="162"/>
      <c r="Q17" s="162"/>
      <c r="R17" s="162"/>
      <c r="S17" s="162"/>
      <c r="T17" s="159">
        <f>SUM(F17,H17,J17,L17,N17,P17,R17)</f>
        <v>-33149995310.144566</v>
      </c>
      <c r="U17" s="164"/>
      <c r="V17" s="163">
        <f>-'NCI Detail &amp; Movement'!P50</f>
        <v>-389373874499.80139</v>
      </c>
      <c r="W17" s="163"/>
      <c r="X17" s="159">
        <f>SUM(T17:V17)</f>
        <v>-422523869809.94598</v>
      </c>
      <c r="Y17" s="160"/>
      <c r="Z17" s="470">
        <v>0</v>
      </c>
    </row>
    <row r="18" spans="2:26" ht="13">
      <c r="B18" s="165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59"/>
      <c r="U18" s="164"/>
      <c r="V18" s="163"/>
      <c r="W18" s="163"/>
      <c r="X18" s="159"/>
      <c r="Y18" s="160"/>
      <c r="Z18" s="470"/>
    </row>
    <row r="19" spans="2:26" ht="13">
      <c r="B19" s="27" t="s">
        <v>184</v>
      </c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0"/>
      <c r="Z19" s="469"/>
    </row>
    <row r="20" spans="2:26" ht="13">
      <c r="B20" s="165" t="s">
        <v>186</v>
      </c>
      <c r="E20" s="162"/>
      <c r="F20" s="162"/>
      <c r="G20" s="162"/>
      <c r="H20" s="162"/>
      <c r="I20" s="162"/>
      <c r="J20" s="162"/>
      <c r="K20" s="162"/>
      <c r="L20" s="162">
        <f>-'Proforma Adjustment'!U15</f>
        <v>107557597.84770001</v>
      </c>
      <c r="M20" s="162"/>
      <c r="N20" s="162"/>
      <c r="O20" s="162"/>
      <c r="P20" s="162"/>
      <c r="Q20" s="162"/>
      <c r="R20" s="162"/>
      <c r="S20" s="162"/>
      <c r="T20" s="159">
        <f>SUM(F20,H20,J20,L20,N20,P20,R20)</f>
        <v>107557597.84770001</v>
      </c>
      <c r="U20" s="164"/>
      <c r="V20" s="163">
        <f>-'NCI Detail &amp; Movement'!P52</f>
        <v>3151763549.0523</v>
      </c>
      <c r="W20" s="163"/>
      <c r="X20" s="159">
        <f>SUM(T20:V20)</f>
        <v>3259321146.9000001</v>
      </c>
      <c r="Y20" s="160"/>
      <c r="Z20" s="470">
        <v>0</v>
      </c>
    </row>
    <row r="21" spans="2:26" ht="13">
      <c r="B21" s="165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59"/>
      <c r="U21" s="164"/>
      <c r="V21" s="163"/>
      <c r="W21" s="163"/>
      <c r="X21" s="159"/>
      <c r="Y21" s="160"/>
      <c r="Z21" s="470"/>
    </row>
    <row r="22" spans="2:26" ht="13">
      <c r="B22" s="27" t="s">
        <v>184</v>
      </c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0"/>
      <c r="Z22" s="469"/>
    </row>
    <row r="23" spans="2:26" ht="13">
      <c r="B23" s="165" t="s">
        <v>187</v>
      </c>
      <c r="E23" s="162"/>
      <c r="F23" s="162"/>
      <c r="G23" s="162"/>
      <c r="H23" s="162"/>
      <c r="I23" s="162"/>
      <c r="J23" s="162"/>
      <c r="K23" s="162"/>
      <c r="L23" s="162">
        <f>-'Proforma Adjustment'!T15</f>
        <v>57332943.687842295</v>
      </c>
      <c r="M23" s="162"/>
      <c r="N23" s="162"/>
      <c r="O23" s="162"/>
      <c r="P23" s="162"/>
      <c r="Q23" s="162"/>
      <c r="R23" s="162"/>
      <c r="S23" s="162"/>
      <c r="T23" s="159">
        <f>SUM(F23,H23,J23,L23,N23,P23,R23)</f>
        <v>57332943.687842295</v>
      </c>
      <c r="U23" s="164"/>
      <c r="V23" s="163">
        <f>-'NCI Detail &amp; Movement'!P54</f>
        <v>1680028986.2467725</v>
      </c>
      <c r="W23" s="163"/>
      <c r="X23" s="159">
        <f>SUM(T23:V23)</f>
        <v>1737361929.9346149</v>
      </c>
      <c r="Y23" s="160"/>
      <c r="Z23" s="470">
        <v>0</v>
      </c>
    </row>
    <row r="25" spans="2:26" ht="15" customHeight="1" thickBot="1">
      <c r="B25" s="40" t="s">
        <v>474</v>
      </c>
      <c r="C25" s="40"/>
      <c r="D25" s="40"/>
      <c r="E25" s="156"/>
      <c r="F25" s="166">
        <f>SUM(F10,F12,F14,F17,F20,F23)</f>
        <v>142427250000</v>
      </c>
      <c r="G25" s="163"/>
      <c r="H25" s="166">
        <f>SUM(H10,H12,H14,H17,H20,H23)</f>
        <v>357853579197.97498</v>
      </c>
      <c r="I25" s="163"/>
      <c r="J25" s="166">
        <f>SUM(J10,J12,J14,J17,J20,J23)</f>
        <v>0</v>
      </c>
      <c r="K25" s="163"/>
      <c r="L25" s="166">
        <f>SUM(L10,L12,L14,L17,L20,L23)</f>
        <v>2093719895.629426</v>
      </c>
      <c r="M25" s="163"/>
      <c r="N25" s="166">
        <f>SUM(N10,N12,N14,N17,N20,N23)</f>
        <v>890579715.375</v>
      </c>
      <c r="O25" s="163"/>
      <c r="P25" s="166">
        <f>SUM(P10,P12,P14,P17,P20,P23)</f>
        <v>28533901860.449997</v>
      </c>
      <c r="Q25" s="163"/>
      <c r="R25" s="166">
        <f>SUM(R10,R12,R14,R17,R20,R23)</f>
        <v>-323673912324.67499</v>
      </c>
      <c r="S25" s="163"/>
      <c r="T25" s="166">
        <f>SUM(T10,T12,T14,T17,T20,T23)</f>
        <v>208125118344.75443</v>
      </c>
      <c r="U25" s="163"/>
      <c r="V25" s="166">
        <f>SUM(V10,V12,V14,V17,V20,V23)</f>
        <v>134668014247.13422</v>
      </c>
      <c r="W25" s="163"/>
      <c r="X25" s="166">
        <f>SUM(X10,X12,X14,X17,X20,X23)</f>
        <v>342793132591.88867</v>
      </c>
    </row>
    <row r="26" spans="2:26" ht="13" thickTop="1"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</row>
    <row r="27" spans="2:26" s="40" customFormat="1" ht="13">
      <c r="B27" s="168" t="s">
        <v>188</v>
      </c>
      <c r="C27" s="168"/>
      <c r="D27" s="168"/>
      <c r="E27" s="169"/>
      <c r="F27" s="169">
        <f>'Consol SoFP 23 &amp; 22'!BF93</f>
        <v>-142427250000</v>
      </c>
      <c r="G27" s="169"/>
      <c r="H27" s="169">
        <f>'Consol SoFP 23 &amp; 22'!BF94</f>
        <v>-357853579198</v>
      </c>
      <c r="I27" s="169"/>
      <c r="J27" s="169">
        <f>'Consol SoFP 23 &amp; 22'!BF95</f>
        <v>0</v>
      </c>
      <c r="K27" s="169"/>
      <c r="L27" s="169">
        <f>'Consol SoFP 23 &amp; 22'!BF106</f>
        <v>-2093719896</v>
      </c>
      <c r="M27" s="169"/>
      <c r="N27" s="169">
        <f>SUM('Consol SoFP 23 &amp; 22'!BF104:BF105)</f>
        <v>-890579715</v>
      </c>
      <c r="O27" s="169"/>
      <c r="P27" s="169">
        <f>SUM('Consol SoFP 23 &amp; 22'!BF97:BF98)</f>
        <v>-28533901860</v>
      </c>
      <c r="Q27" s="169"/>
      <c r="R27" s="169">
        <f>SUM('Consol SoFP 23 &amp; 22'!BF101:BF102)</f>
        <v>323673912325</v>
      </c>
      <c r="S27" s="169"/>
      <c r="T27" s="169">
        <f>'Consol SoFP 23 &amp; 22'!BF109</f>
        <v>-208125118344</v>
      </c>
      <c r="U27" s="169"/>
      <c r="V27" s="169">
        <f>'Consol SoFP 23 &amp; 22'!BF110</f>
        <v>-134668014247</v>
      </c>
      <c r="W27" s="169"/>
      <c r="X27" s="169">
        <f>'Consol SoFP 23 &amp; 22'!BF112</f>
        <v>-342793132591</v>
      </c>
    </row>
    <row r="28" spans="2:26" s="40" customFormat="1" ht="13">
      <c r="B28" s="168" t="s">
        <v>189</v>
      </c>
      <c r="C28" s="168"/>
      <c r="D28" s="168"/>
      <c r="E28" s="169"/>
      <c r="F28" s="169">
        <f t="shared" ref="F28" si="0">ROUND(F25+F27,0)</f>
        <v>0</v>
      </c>
      <c r="G28" s="169"/>
      <c r="H28" s="169">
        <f t="shared" ref="H28" si="1">ROUND(H25+H27,0)</f>
        <v>0</v>
      </c>
      <c r="I28" s="169"/>
      <c r="J28" s="169">
        <f t="shared" ref="J28" si="2">ROUND(J25+J27,0)</f>
        <v>0</v>
      </c>
      <c r="K28" s="169"/>
      <c r="L28" s="169">
        <f t="shared" ref="L28" si="3">ROUND(L25+L27,0)</f>
        <v>0</v>
      </c>
      <c r="M28" s="169"/>
      <c r="N28" s="169">
        <f t="shared" ref="N28" si="4">ROUND(N25+N27,0)</f>
        <v>0</v>
      </c>
      <c r="O28" s="169"/>
      <c r="P28" s="169">
        <f t="shared" ref="P28" si="5">ROUND(P25+P27,0)</f>
        <v>0</v>
      </c>
      <c r="Q28" s="169"/>
      <c r="R28" s="169">
        <f t="shared" ref="R28" si="6">ROUND(R25+R27,0)</f>
        <v>0</v>
      </c>
      <c r="S28" s="169"/>
      <c r="T28" s="169">
        <f t="shared" ref="T28" si="7">ROUND(T25+T27,0)</f>
        <v>1</v>
      </c>
      <c r="U28" s="169"/>
      <c r="V28" s="169">
        <f>ROUND(V25+V27,0)</f>
        <v>0</v>
      </c>
      <c r="W28" s="169"/>
      <c r="X28" s="169">
        <f>ROUND(X25+X27,0)</f>
        <v>1</v>
      </c>
    </row>
    <row r="29" spans="2:26">
      <c r="E29" s="162"/>
      <c r="F29" s="161"/>
      <c r="G29" s="162"/>
      <c r="H29" s="161">
        <f>-H28</f>
        <v>0</v>
      </c>
      <c r="I29" s="162"/>
      <c r="J29" s="161"/>
      <c r="K29" s="162"/>
      <c r="L29" s="161"/>
      <c r="M29" s="162"/>
      <c r="N29" s="162"/>
      <c r="O29" s="162"/>
      <c r="P29" s="162"/>
      <c r="Q29" s="162"/>
      <c r="R29" s="162"/>
      <c r="S29" s="162"/>
      <c r="T29" s="161"/>
      <c r="U29" s="161"/>
      <c r="V29" s="161"/>
      <c r="W29" s="161"/>
      <c r="X29" s="161"/>
    </row>
    <row r="30" spans="2:26" ht="13">
      <c r="B30" s="27" t="s">
        <v>190</v>
      </c>
      <c r="E30" s="162"/>
      <c r="F30" s="161">
        <v>0</v>
      </c>
      <c r="G30" s="162"/>
      <c r="H30" s="161">
        <v>989702895645.44995</v>
      </c>
      <c r="I30" s="162"/>
      <c r="J30" s="161"/>
      <c r="K30" s="162"/>
      <c r="L30" s="161"/>
      <c r="M30" s="162"/>
      <c r="N30" s="162"/>
      <c r="O30" s="162"/>
      <c r="P30" s="162"/>
      <c r="Q30" s="162"/>
      <c r="R30" s="162">
        <v>0</v>
      </c>
      <c r="S30" s="162"/>
      <c r="T30" s="163">
        <f>SUM(F30,H30,J30,L30,N30,P30,R30)</f>
        <v>989702895645.44995</v>
      </c>
      <c r="U30" s="163"/>
      <c r="V30" s="163"/>
      <c r="W30" s="163"/>
      <c r="X30" s="159">
        <f>SUM(T30:V30)</f>
        <v>989702895645.44995</v>
      </c>
    </row>
    <row r="31" spans="2:26" ht="13">
      <c r="B31" s="40"/>
      <c r="E31" s="163"/>
      <c r="F31" s="163"/>
      <c r="G31" s="163"/>
      <c r="H31" s="161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</row>
    <row r="32" spans="2:26" ht="13">
      <c r="B32" s="27" t="s">
        <v>191</v>
      </c>
      <c r="E32" s="162"/>
      <c r="F32" s="161">
        <v>344280825000</v>
      </c>
      <c r="G32" s="162"/>
      <c r="H32" s="161">
        <f>-F32</f>
        <v>-344280825000</v>
      </c>
      <c r="I32" s="162"/>
      <c r="J32" s="161"/>
      <c r="K32" s="162"/>
      <c r="L32" s="161"/>
      <c r="M32" s="162"/>
      <c r="N32" s="162"/>
      <c r="O32" s="162"/>
      <c r="P32" s="162"/>
      <c r="Q32" s="162"/>
      <c r="R32" s="162"/>
      <c r="S32" s="162"/>
      <c r="T32" s="163">
        <f>SUM(F32,H32,J32,L32,N32,P32,R32)</f>
        <v>0</v>
      </c>
      <c r="U32" s="163"/>
      <c r="V32" s="163"/>
      <c r="W32" s="163"/>
      <c r="X32" s="159">
        <f>SUM(T32:V32)</f>
        <v>0</v>
      </c>
    </row>
    <row r="33" spans="2:24" ht="13">
      <c r="B33" s="40"/>
      <c r="E33" s="163"/>
      <c r="F33" s="163"/>
      <c r="G33" s="163"/>
      <c r="H33" s="161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</row>
    <row r="34" spans="2:24" ht="13">
      <c r="B34" s="27" t="s">
        <v>192</v>
      </c>
      <c r="E34" s="162"/>
      <c r="F34" s="162"/>
      <c r="G34" s="162"/>
      <c r="H34" s="161"/>
      <c r="I34" s="162"/>
      <c r="J34" s="162"/>
      <c r="K34" s="162"/>
      <c r="L34" s="162"/>
      <c r="M34" s="162"/>
      <c r="N34" s="162"/>
      <c r="O34" s="162"/>
      <c r="P34" s="162"/>
      <c r="Q34" s="162"/>
      <c r="R34" s="162">
        <f>-'Consol SoPL-OCI 23 &amp; 22'!AC86</f>
        <v>-326205816417.49524</v>
      </c>
      <c r="S34" s="162"/>
      <c r="T34" s="163">
        <f>SUM(F34,H34,J34,L34,N34,P34,R34)</f>
        <v>-326205816417.49524</v>
      </c>
      <c r="U34" s="163"/>
      <c r="V34" s="163"/>
      <c r="W34" s="163"/>
      <c r="X34" s="159">
        <f>SUM(T34:V34)</f>
        <v>-326205816417.49524</v>
      </c>
    </row>
    <row r="35" spans="2:24" ht="13">
      <c r="B35" s="40"/>
      <c r="E35" s="163"/>
      <c r="F35" s="163"/>
      <c r="G35" s="163"/>
      <c r="H35" s="16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</row>
    <row r="36" spans="2:24" ht="13">
      <c r="B36" s="27" t="s">
        <v>180</v>
      </c>
      <c r="E36" s="162"/>
      <c r="F36" s="162"/>
      <c r="G36" s="162"/>
      <c r="H36" s="161"/>
      <c r="I36" s="162"/>
      <c r="J36" s="162"/>
      <c r="K36" s="162"/>
      <c r="L36" s="162"/>
      <c r="M36" s="162"/>
      <c r="N36" s="162">
        <f>-'Consol SoFP 23 &amp; 22'!AE105</f>
        <v>614703573</v>
      </c>
      <c r="O36" s="162"/>
      <c r="P36" s="162"/>
      <c r="Q36" s="162"/>
      <c r="R36" s="162">
        <f>-'Consol SoPL-OCI 23 &amp; 22'!AC88</f>
        <v>0</v>
      </c>
      <c r="S36" s="162"/>
      <c r="T36" s="163">
        <f>SUM(F36,H36,J36,L36,N36,P36,R36)</f>
        <v>614703573</v>
      </c>
      <c r="U36" s="163"/>
      <c r="V36" s="163"/>
      <c r="W36" s="163"/>
      <c r="X36" s="159">
        <f>SUM(T36:V36)</f>
        <v>614703573</v>
      </c>
    </row>
    <row r="37" spans="2:24" ht="13">
      <c r="E37" s="163"/>
      <c r="F37" s="163"/>
      <c r="G37" s="163"/>
      <c r="H37" s="16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</row>
    <row r="38" spans="2:24" ht="13">
      <c r="B38" s="27" t="s">
        <v>181</v>
      </c>
      <c r="E38" s="162"/>
      <c r="F38" s="162"/>
      <c r="G38" s="162"/>
      <c r="H38" s="161"/>
      <c r="I38" s="162"/>
      <c r="J38" s="162"/>
      <c r="K38" s="162"/>
      <c r="L38" s="162"/>
      <c r="M38" s="162"/>
      <c r="N38" s="162"/>
      <c r="O38" s="162"/>
      <c r="P38" s="162">
        <f>-'Consol SoFP 23 &amp; 22'!AE98</f>
        <v>13850428637</v>
      </c>
      <c r="Q38" s="162"/>
      <c r="R38" s="162">
        <f>-'Consol SoPL-OCI 23 &amp; 22'!AC90</f>
        <v>0</v>
      </c>
      <c r="S38" s="162"/>
      <c r="T38" s="163">
        <f>SUM(F38,H38,J38,L38,N38,P38,R38)</f>
        <v>13850428637</v>
      </c>
      <c r="U38" s="163"/>
      <c r="V38" s="163"/>
      <c r="W38" s="163"/>
      <c r="X38" s="159">
        <f>SUM(T38:V38)</f>
        <v>13850428637</v>
      </c>
    </row>
    <row r="39" spans="2:24" ht="13">
      <c r="B39" s="40"/>
      <c r="E39" s="163"/>
      <c r="F39" s="163"/>
      <c r="G39" s="163"/>
      <c r="H39" s="16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</row>
    <row r="40" spans="2:24" ht="13">
      <c r="B40" s="27" t="s">
        <v>193</v>
      </c>
      <c r="E40" s="162"/>
      <c r="F40" s="162"/>
      <c r="G40" s="162"/>
      <c r="H40" s="161"/>
      <c r="I40" s="162"/>
      <c r="J40" s="162"/>
      <c r="K40" s="162"/>
      <c r="L40" s="162"/>
      <c r="M40" s="162"/>
      <c r="N40" s="162"/>
      <c r="O40" s="162"/>
      <c r="P40" s="162"/>
      <c r="Q40" s="162"/>
      <c r="R40" s="163"/>
      <c r="S40" s="162"/>
      <c r="T40" s="163"/>
      <c r="U40" s="163"/>
      <c r="V40" s="163"/>
      <c r="W40" s="163"/>
      <c r="X40" s="163"/>
    </row>
    <row r="41" spans="2:24" ht="13">
      <c r="B41" s="165" t="s">
        <v>194</v>
      </c>
      <c r="E41" s="162"/>
      <c r="F41" s="161"/>
      <c r="G41" s="162"/>
      <c r="H41" s="161"/>
      <c r="I41" s="162"/>
      <c r="J41" s="161"/>
      <c r="K41" s="162"/>
      <c r="L41" s="161">
        <f>-'Proforma Adjustment'!E78+'Proforma Adjustment'!D97</f>
        <v>1045543711.3348504</v>
      </c>
      <c r="M41" s="162"/>
      <c r="N41" s="162"/>
      <c r="O41" s="162"/>
      <c r="P41" s="162"/>
      <c r="Q41" s="162"/>
      <c r="R41" s="162">
        <v>0</v>
      </c>
      <c r="S41" s="162"/>
      <c r="T41" s="163">
        <f>SUM(F41,H41,J41,L41,N41,P41,R41)</f>
        <v>1045543711.3348504</v>
      </c>
      <c r="U41" s="163"/>
      <c r="V41" s="163">
        <f>-'NCI Detail &amp; Movement'!F200</f>
        <v>5025951329.1151619</v>
      </c>
      <c r="W41" s="163"/>
      <c r="X41" s="159">
        <f>SUM(T41:V41)</f>
        <v>6071495040.4500122</v>
      </c>
    </row>
    <row r="42" spans="2:24" ht="13">
      <c r="B42" s="165"/>
      <c r="E42" s="163"/>
      <c r="F42" s="163"/>
      <c r="G42" s="163"/>
      <c r="H42" s="161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</row>
    <row r="43" spans="2:24" ht="13">
      <c r="B43" s="27" t="s">
        <v>184</v>
      </c>
      <c r="E43" s="162"/>
      <c r="F43" s="162"/>
      <c r="G43" s="162"/>
      <c r="H43" s="161"/>
      <c r="I43" s="162"/>
      <c r="J43" s="162"/>
      <c r="K43" s="162"/>
      <c r="L43" s="162"/>
      <c r="M43" s="162"/>
      <c r="N43" s="162"/>
      <c r="O43" s="162"/>
      <c r="P43" s="162"/>
      <c r="Q43" s="162"/>
      <c r="R43" s="163"/>
      <c r="S43" s="162"/>
      <c r="T43" s="163"/>
      <c r="U43" s="163"/>
      <c r="V43" s="163"/>
      <c r="W43" s="163"/>
      <c r="X43" s="163"/>
    </row>
    <row r="44" spans="2:24" ht="13">
      <c r="B44" s="165" t="s">
        <v>195</v>
      </c>
      <c r="E44" s="162"/>
      <c r="F44" s="162"/>
      <c r="G44" s="162"/>
      <c r="H44" s="161"/>
      <c r="I44" s="162"/>
      <c r="J44" s="162"/>
      <c r="K44" s="162"/>
      <c r="L44" s="162">
        <f>-'Capital Proforma Control'!P61</f>
        <v>-58403961762.274269</v>
      </c>
      <c r="M44" s="162"/>
      <c r="N44" s="162"/>
      <c r="O44" s="162"/>
      <c r="P44" s="162"/>
      <c r="Q44" s="162"/>
      <c r="R44" s="163"/>
      <c r="S44" s="162"/>
      <c r="T44" s="163">
        <f>SUM(F44,H44,J44,L44,N44,P44,R44)</f>
        <v>-58403961762.274269</v>
      </c>
      <c r="U44" s="163"/>
      <c r="V44" s="163">
        <f>-'Consol SoPL-OCI 23 &amp; 22'!AC87</f>
        <v>-620490107930.3269</v>
      </c>
      <c r="W44" s="163"/>
      <c r="X44" s="159">
        <f>SUM(T44:V44)</f>
        <v>-678894069692.6012</v>
      </c>
    </row>
    <row r="45" spans="2:24" ht="13">
      <c r="E45" s="162"/>
      <c r="F45" s="162"/>
      <c r="G45" s="162"/>
      <c r="H45" s="161"/>
      <c r="I45" s="162"/>
      <c r="J45" s="162"/>
      <c r="K45" s="162"/>
      <c r="L45" s="162"/>
      <c r="M45" s="162"/>
      <c r="N45" s="162"/>
      <c r="O45" s="162"/>
      <c r="P45" s="162"/>
      <c r="Q45" s="162"/>
      <c r="R45" s="163"/>
      <c r="S45" s="162"/>
      <c r="T45" s="163"/>
      <c r="U45" s="163"/>
      <c r="V45" s="163"/>
      <c r="W45" s="163"/>
      <c r="X45" s="163"/>
    </row>
    <row r="46" spans="2:24" ht="13">
      <c r="B46" s="27" t="s">
        <v>184</v>
      </c>
      <c r="E46" s="162"/>
      <c r="F46" s="162"/>
      <c r="G46" s="162"/>
      <c r="H46" s="161"/>
      <c r="I46" s="162"/>
      <c r="J46" s="162"/>
      <c r="K46" s="162"/>
      <c r="L46" s="162"/>
      <c r="M46" s="162"/>
      <c r="N46" s="162"/>
      <c r="O46" s="162"/>
      <c r="P46" s="162"/>
      <c r="Q46" s="162"/>
      <c r="R46" s="163"/>
      <c r="S46" s="162"/>
      <c r="T46" s="163"/>
      <c r="U46" s="163"/>
      <c r="V46" s="163"/>
      <c r="W46" s="163"/>
      <c r="X46" s="163"/>
    </row>
    <row r="47" spans="2:24" ht="13">
      <c r="B47" s="165" t="s">
        <v>186</v>
      </c>
      <c r="E47" s="162"/>
      <c r="F47" s="162"/>
      <c r="G47" s="162"/>
      <c r="H47" s="161"/>
      <c r="I47" s="162"/>
      <c r="J47" s="162"/>
      <c r="K47" s="162"/>
      <c r="L47" s="162">
        <f>-'Proforma Adjustment'!E86</f>
        <v>231177233</v>
      </c>
      <c r="M47" s="162"/>
      <c r="N47" s="162"/>
      <c r="O47" s="162"/>
      <c r="P47" s="162"/>
      <c r="Q47" s="162"/>
      <c r="R47" s="163"/>
      <c r="S47" s="162"/>
      <c r="T47" s="163">
        <f>SUM(F47,H47,J47,L47,N47,P47,R47)</f>
        <v>231177233</v>
      </c>
      <c r="U47" s="163"/>
      <c r="V47" s="163">
        <f>-'NCI Detail &amp; Movement'!L200</f>
        <v>6774193467.3593245</v>
      </c>
      <c r="W47" s="163"/>
      <c r="X47" s="159">
        <f>SUM(T47:V47)</f>
        <v>7005370700.3593245</v>
      </c>
    </row>
    <row r="48" spans="2:24" ht="13">
      <c r="B48" s="165"/>
      <c r="E48" s="162"/>
      <c r="F48" s="162"/>
      <c r="G48" s="162"/>
      <c r="H48" s="161"/>
      <c r="I48" s="162"/>
      <c r="J48" s="162"/>
      <c r="K48" s="162"/>
      <c r="L48" s="162"/>
      <c r="M48" s="162"/>
      <c r="N48" s="162"/>
      <c r="O48" s="162"/>
      <c r="P48" s="162"/>
      <c r="Q48" s="162"/>
      <c r="R48" s="170"/>
      <c r="S48" s="162"/>
      <c r="T48" s="163"/>
      <c r="U48" s="162"/>
      <c r="V48" s="162"/>
      <c r="W48" s="162"/>
      <c r="X48" s="163"/>
    </row>
    <row r="49" spans="2:26" ht="13">
      <c r="B49" s="27" t="s">
        <v>184</v>
      </c>
      <c r="E49" s="162"/>
      <c r="F49" s="162"/>
      <c r="G49" s="162"/>
      <c r="H49" s="161"/>
      <c r="I49" s="162"/>
      <c r="J49" s="162"/>
      <c r="K49" s="162"/>
      <c r="L49" s="162"/>
      <c r="M49" s="162"/>
      <c r="N49" s="162"/>
      <c r="O49" s="162"/>
      <c r="P49" s="162"/>
      <c r="Q49" s="162"/>
      <c r="R49" s="163"/>
      <c r="S49" s="162"/>
      <c r="T49" s="163"/>
      <c r="U49" s="163"/>
      <c r="V49" s="163"/>
      <c r="W49" s="163"/>
      <c r="X49" s="163"/>
    </row>
    <row r="50" spans="2:26" ht="13">
      <c r="B50" s="165" t="s">
        <v>187</v>
      </c>
      <c r="E50" s="162"/>
      <c r="F50" s="162"/>
      <c r="G50" s="162"/>
      <c r="H50" s="161"/>
      <c r="I50" s="162"/>
      <c r="J50" s="162"/>
      <c r="K50" s="162"/>
      <c r="L50" s="162">
        <f>-'Proforma Adjustment'!E90</f>
        <v>27756416</v>
      </c>
      <c r="M50" s="162"/>
      <c r="N50" s="162"/>
      <c r="O50" s="162"/>
      <c r="P50" s="162"/>
      <c r="Q50" s="162"/>
      <c r="R50" s="163"/>
      <c r="S50" s="162"/>
      <c r="T50" s="163">
        <f>SUM(F50,H50,J50,L50,N50,P50,R50)</f>
        <v>27756416</v>
      </c>
      <c r="U50" s="163"/>
      <c r="V50" s="163">
        <f>-('Consol SoPL-OCI 23 &amp; 22'!AB94-'Consol SoPL-OCI 23 &amp; 22'!AB87)</f>
        <v>813347100.99999976</v>
      </c>
      <c r="W50" s="163"/>
      <c r="X50" s="159">
        <f>SUM(T50:V50)</f>
        <v>841103516.99999976</v>
      </c>
    </row>
    <row r="51" spans="2:26" ht="13">
      <c r="C51" s="40"/>
      <c r="D51" s="40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3"/>
    </row>
    <row r="52" spans="2:26" ht="17.25" customHeight="1" thickBot="1">
      <c r="B52" s="40" t="s">
        <v>200</v>
      </c>
      <c r="E52" s="163"/>
      <c r="F52" s="166">
        <f>SUM(F25,F30,F32,F34,F36,F38,F41,F44,F47,F50)</f>
        <v>486708075000</v>
      </c>
      <c r="G52" s="163"/>
      <c r="H52" s="166">
        <f>SUM(H25,H30,H32,H34,H36,H38,H41,H44,H47,H50)</f>
        <v>1003275649843.4248</v>
      </c>
      <c r="I52" s="163"/>
      <c r="J52" s="166">
        <f>SUM(J25,J30,J32,J34,J36,J38,J41,J44,J47,J50)</f>
        <v>0</v>
      </c>
      <c r="K52" s="163"/>
      <c r="L52" s="166">
        <f>SUM(L25,L30,L32,L34,L36,L38,L41,L44,L47,L50)</f>
        <v>-55005764506.30999</v>
      </c>
      <c r="M52" s="163"/>
      <c r="N52" s="166">
        <f>SUM(N25,N30,N32,N34,N36,N38,N41,N44,N47,N50)</f>
        <v>1505283288.375</v>
      </c>
      <c r="O52" s="163"/>
      <c r="P52" s="166">
        <f>SUM(P25,P30,P32,P34,P36,P38,P41,P44,P47,P50)</f>
        <v>42384330497.449997</v>
      </c>
      <c r="Q52" s="163"/>
      <c r="R52" s="166">
        <f>SUM(R25,R30,R32,R34,R36,R38,R41,R44,R47,R50)</f>
        <v>-649879728742.17017</v>
      </c>
      <c r="S52" s="163"/>
      <c r="T52" s="166">
        <f>SUM(T25,T30,T32,T34,T36,T38,T41,T44,T47,T50)</f>
        <v>828987845380.76965</v>
      </c>
      <c r="U52" s="163"/>
      <c r="V52" s="166">
        <f>SUM(V25,V30,V32,V34,V36,V38,V41,V44,V47,V50)</f>
        <v>-473208601785.7182</v>
      </c>
      <c r="W52" s="163"/>
      <c r="X52" s="166">
        <f>SUM(X25,X30,X32,X34,X36,X38,X41,X44,X47,X50)</f>
        <v>355779243595.05157</v>
      </c>
    </row>
    <row r="53" spans="2:26" ht="13" thickTop="1">
      <c r="E53" s="167"/>
      <c r="F53" s="167"/>
      <c r="G53" s="167"/>
      <c r="H53" s="162"/>
      <c r="I53" s="167"/>
      <c r="J53" s="162"/>
      <c r="K53" s="167"/>
      <c r="L53" s="162"/>
      <c r="M53" s="167"/>
      <c r="N53" s="167"/>
      <c r="O53" s="167"/>
      <c r="P53" s="167"/>
      <c r="Q53" s="167"/>
      <c r="R53" s="167"/>
      <c r="S53" s="167"/>
      <c r="T53" s="162"/>
      <c r="U53" s="162"/>
      <c r="V53" s="162"/>
      <c r="W53" s="162"/>
      <c r="X53" s="167"/>
    </row>
    <row r="54" spans="2:26" s="40" customFormat="1" ht="13">
      <c r="B54" s="168" t="s">
        <v>188</v>
      </c>
      <c r="C54" s="168"/>
      <c r="D54" s="168"/>
      <c r="E54" s="169"/>
      <c r="F54" s="169">
        <f>'Consol SoFP 23 &amp; 22'!AE93</f>
        <v>-486708075000</v>
      </c>
      <c r="G54" s="169"/>
      <c r="H54" s="169">
        <f>'Consol SoFP 23 &amp; 22'!AE94</f>
        <v>-1003275649843</v>
      </c>
      <c r="I54" s="169"/>
      <c r="J54" s="169">
        <f>SUM('Consol SoFP 23 &amp; 22'!AE95)</f>
        <v>0</v>
      </c>
      <c r="K54" s="169"/>
      <c r="L54" s="169">
        <f>'Consol SoFP 23 &amp; 22'!AE106</f>
        <v>55005764507</v>
      </c>
      <c r="M54" s="169"/>
      <c r="N54" s="169">
        <f>SUM('Consol SoFP 23 &amp; 22'!AE104:AE105)</f>
        <v>-1505283288</v>
      </c>
      <c r="O54" s="169"/>
      <c r="P54" s="169">
        <f>SUM('Consol SoFP 23 &amp; 22'!AE97:AE98)</f>
        <v>-42384330497</v>
      </c>
      <c r="Q54" s="169"/>
      <c r="R54" s="169">
        <f>SUM('Consol SoFP 23 &amp; 22'!AE101:AE102)</f>
        <v>649879728743</v>
      </c>
      <c r="S54" s="169"/>
      <c r="T54" s="169">
        <f>'Consol SoFP 23 &amp; 22'!AE109</f>
        <v>-828987845378</v>
      </c>
      <c r="U54" s="169"/>
      <c r="V54" s="169">
        <f>'Consol SoFP 23 &amp; 22'!AE110</f>
        <v>473208601783.68762</v>
      </c>
      <c r="W54" s="169"/>
      <c r="X54" s="169">
        <f>'Consol SoFP 23 &amp; 22'!AE112</f>
        <v>-355779243594.31238</v>
      </c>
    </row>
    <row r="55" spans="2:26" s="40" customFormat="1" ht="13">
      <c r="B55" s="168" t="s">
        <v>189</v>
      </c>
      <c r="C55" s="168"/>
      <c r="D55" s="168"/>
      <c r="E55" s="169"/>
      <c r="F55" s="169">
        <f t="shared" ref="F55:L55" si="8">ROUND(F52+F54,0)</f>
        <v>0</v>
      </c>
      <c r="G55" s="169"/>
      <c r="H55" s="169">
        <f t="shared" si="8"/>
        <v>0</v>
      </c>
      <c r="I55" s="169"/>
      <c r="J55" s="169">
        <f t="shared" si="8"/>
        <v>0</v>
      </c>
      <c r="K55" s="169"/>
      <c r="L55" s="169">
        <f t="shared" si="8"/>
        <v>1</v>
      </c>
      <c r="M55" s="169"/>
      <c r="N55" s="169">
        <f>N52+N54</f>
        <v>0.375</v>
      </c>
      <c r="O55" s="169"/>
      <c r="P55" s="169">
        <f t="shared" ref="P55:X55" si="9">ROUND(P52+P54,0)</f>
        <v>0</v>
      </c>
      <c r="Q55" s="169"/>
      <c r="R55" s="169">
        <f t="shared" si="9"/>
        <v>1</v>
      </c>
      <c r="S55" s="169"/>
      <c r="T55" s="169">
        <f t="shared" si="9"/>
        <v>3</v>
      </c>
      <c r="U55" s="169"/>
      <c r="V55" s="169">
        <f t="shared" si="9"/>
        <v>-2</v>
      </c>
      <c r="W55" s="169"/>
      <c r="X55" s="169">
        <f t="shared" si="9"/>
        <v>1</v>
      </c>
    </row>
    <row r="57" spans="2:26" ht="13">
      <c r="B57" s="27" t="s">
        <v>190</v>
      </c>
      <c r="E57" s="162"/>
      <c r="F57" s="161">
        <v>0</v>
      </c>
      <c r="G57" s="162"/>
      <c r="H57" s="161"/>
      <c r="I57" s="162"/>
      <c r="J57" s="161"/>
      <c r="K57" s="162"/>
      <c r="L57" s="161"/>
      <c r="M57" s="162"/>
      <c r="N57" s="162"/>
      <c r="O57" s="162"/>
      <c r="P57" s="162"/>
      <c r="Q57" s="162"/>
      <c r="R57" s="162">
        <v>0</v>
      </c>
      <c r="S57" s="162"/>
      <c r="T57" s="163">
        <f>SUM(F57,H57,J57,L57,N57,P57,R57)</f>
        <v>0</v>
      </c>
      <c r="U57" s="163"/>
      <c r="V57" s="163"/>
      <c r="W57" s="163"/>
      <c r="X57" s="159">
        <f>SUM(T57:V57)</f>
        <v>0</v>
      </c>
      <c r="Y57" s="160"/>
    </row>
    <row r="58" spans="2:26" ht="13">
      <c r="B58" s="40"/>
      <c r="E58" s="163"/>
      <c r="F58" s="163"/>
      <c r="G58" s="163"/>
      <c r="H58" s="161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0"/>
      <c r="Z58" s="151"/>
    </row>
    <row r="59" spans="2:26" ht="13">
      <c r="B59" s="27" t="s">
        <v>191</v>
      </c>
      <c r="E59" s="162"/>
      <c r="F59" s="161"/>
      <c r="G59" s="162"/>
      <c r="H59" s="161">
        <v>604970548439</v>
      </c>
      <c r="I59" s="162"/>
      <c r="J59" s="161"/>
      <c r="K59" s="162"/>
      <c r="L59" s="161"/>
      <c r="M59" s="162"/>
      <c r="N59" s="162"/>
      <c r="O59" s="162"/>
      <c r="P59" s="162"/>
      <c r="Q59" s="162"/>
      <c r="R59" s="162"/>
      <c r="S59" s="162"/>
      <c r="T59" s="163">
        <f>SUM(F59,H59,J59,L59,N59,P59,R59)</f>
        <v>604970548439</v>
      </c>
      <c r="U59" s="163"/>
      <c r="V59" s="163"/>
      <c r="W59" s="163"/>
      <c r="X59" s="159">
        <f>SUM(T59:V59)</f>
        <v>604970548439</v>
      </c>
      <c r="Y59" s="160"/>
    </row>
    <row r="60" spans="2:26" ht="13">
      <c r="B60" s="40"/>
      <c r="E60" s="163"/>
      <c r="F60" s="163"/>
      <c r="G60" s="163"/>
      <c r="H60" s="161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0"/>
      <c r="Z60" s="151"/>
    </row>
    <row r="61" spans="2:26" ht="13">
      <c r="B61" s="27" t="s">
        <v>196</v>
      </c>
      <c r="E61" s="163"/>
      <c r="F61" s="163"/>
      <c r="G61" s="163"/>
      <c r="H61" s="161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0"/>
      <c r="Z61" s="151"/>
    </row>
    <row r="62" spans="2:26" ht="13">
      <c r="B62" s="165" t="s">
        <v>197</v>
      </c>
      <c r="E62" s="162"/>
      <c r="F62" s="162"/>
      <c r="G62" s="162"/>
      <c r="H62" s="161"/>
      <c r="I62" s="162"/>
      <c r="J62" s="162"/>
      <c r="K62" s="162"/>
      <c r="L62" s="162"/>
      <c r="M62" s="162"/>
      <c r="N62" s="162"/>
      <c r="O62" s="162"/>
      <c r="P62" s="162"/>
      <c r="Q62" s="162"/>
      <c r="R62" s="162">
        <v>0</v>
      </c>
      <c r="S62" s="162"/>
      <c r="T62" s="163">
        <f>SUM(F62,H62,J62,L62,N62,P62,R62)</f>
        <v>0</v>
      </c>
      <c r="U62" s="163"/>
      <c r="V62" s="163">
        <v>0</v>
      </c>
      <c r="W62" s="163"/>
      <c r="X62" s="159">
        <f>SUM(T62:V62)</f>
        <v>0</v>
      </c>
      <c r="Y62" s="160"/>
    </row>
    <row r="63" spans="2:26" ht="13">
      <c r="B63" s="40"/>
      <c r="E63" s="163"/>
      <c r="F63" s="163"/>
      <c r="G63" s="163"/>
      <c r="H63" s="161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0"/>
      <c r="Z63" s="151"/>
    </row>
    <row r="64" spans="2:26" ht="13">
      <c r="B64" s="27" t="s">
        <v>192</v>
      </c>
      <c r="E64" s="162"/>
      <c r="F64" s="162"/>
      <c r="G64" s="162"/>
      <c r="H64" s="161"/>
      <c r="I64" s="162"/>
      <c r="J64" s="162"/>
      <c r="K64" s="162"/>
      <c r="L64" s="162"/>
      <c r="M64" s="162"/>
      <c r="N64" s="162"/>
      <c r="O64" s="162"/>
      <c r="P64" s="162"/>
      <c r="Q64" s="162"/>
      <c r="R64" s="162">
        <f>-'Consol SoPL-OCI 24'!AG87</f>
        <v>-252352390589.87088</v>
      </c>
      <c r="S64" s="162"/>
      <c r="T64" s="163">
        <f>SUM(F64,H64,J64,L64,N64,P64,R64)</f>
        <v>-252352390589.87088</v>
      </c>
      <c r="U64" s="163"/>
      <c r="V64" s="163">
        <f>-'Consol SoPL-OCI 24'!AG88</f>
        <v>-263097981905.69095</v>
      </c>
      <c r="W64" s="163"/>
      <c r="X64" s="159">
        <f>SUM(T64:V64)</f>
        <v>-515450372495.56183</v>
      </c>
      <c r="Y64" s="160"/>
    </row>
    <row r="65" spans="2:26" ht="13">
      <c r="B65" s="40"/>
      <c r="E65" s="163"/>
      <c r="F65" s="163"/>
      <c r="G65" s="163"/>
      <c r="H65" s="161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0"/>
      <c r="Z65" s="151"/>
    </row>
    <row r="66" spans="2:26" ht="13">
      <c r="B66" s="27" t="s">
        <v>180</v>
      </c>
      <c r="E66" s="162"/>
      <c r="F66" s="162"/>
      <c r="G66" s="162"/>
      <c r="H66" s="161"/>
      <c r="I66" s="162"/>
      <c r="J66" s="162"/>
      <c r="K66" s="162"/>
      <c r="L66" s="162"/>
      <c r="M66" s="162"/>
      <c r="N66" s="162">
        <v>0</v>
      </c>
      <c r="O66" s="162"/>
      <c r="P66" s="162"/>
      <c r="Q66" s="162"/>
      <c r="R66" s="162">
        <v>0</v>
      </c>
      <c r="S66" s="162"/>
      <c r="T66" s="163">
        <f>SUM(F66,H66,J66,L66,N66,P66,R66)</f>
        <v>0</v>
      </c>
      <c r="U66" s="163"/>
      <c r="V66" s="163">
        <v>0</v>
      </c>
      <c r="W66" s="163"/>
      <c r="X66" s="159">
        <f>SUM(T66:V66)</f>
        <v>0</v>
      </c>
      <c r="Y66" s="160"/>
    </row>
    <row r="67" spans="2:26" ht="13">
      <c r="E67" s="163"/>
      <c r="F67" s="163"/>
      <c r="G67" s="163"/>
      <c r="H67" s="161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0"/>
      <c r="Z67" s="151"/>
    </row>
    <row r="68" spans="2:26" ht="13">
      <c r="B68" s="27" t="s">
        <v>181</v>
      </c>
      <c r="E68" s="162"/>
      <c r="F68" s="162"/>
      <c r="G68" s="162"/>
      <c r="H68" s="161"/>
      <c r="I68" s="162"/>
      <c r="J68" s="162"/>
      <c r="K68" s="162"/>
      <c r="L68" s="162"/>
      <c r="M68" s="162"/>
      <c r="N68" s="162"/>
      <c r="O68" s="162"/>
      <c r="P68" s="162">
        <v>0</v>
      </c>
      <c r="Q68" s="162"/>
      <c r="R68" s="162">
        <v>0</v>
      </c>
      <c r="S68" s="162"/>
      <c r="T68" s="163">
        <f>SUM(F68,H68,J68,L68,N68,P68,R68)</f>
        <v>0</v>
      </c>
      <c r="U68" s="163"/>
      <c r="V68" s="163">
        <v>0</v>
      </c>
      <c r="W68" s="163"/>
      <c r="X68" s="159">
        <f>SUM(T68:V68)</f>
        <v>0</v>
      </c>
      <c r="Y68" s="160"/>
    </row>
    <row r="69" spans="2:26" ht="13">
      <c r="B69" s="40"/>
      <c r="E69" s="163"/>
      <c r="F69" s="163"/>
      <c r="G69" s="163"/>
      <c r="H69" s="161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0"/>
      <c r="Z69" s="151"/>
    </row>
    <row r="70" spans="2:26" ht="13">
      <c r="B70" s="27" t="s">
        <v>193</v>
      </c>
      <c r="E70" s="162"/>
      <c r="F70" s="162"/>
      <c r="G70" s="162"/>
      <c r="H70" s="161"/>
      <c r="I70" s="162"/>
      <c r="J70" s="162"/>
      <c r="K70" s="162"/>
      <c r="L70" s="162"/>
      <c r="M70" s="162"/>
      <c r="N70" s="162"/>
      <c r="O70" s="162"/>
      <c r="P70" s="162"/>
      <c r="Q70" s="162"/>
      <c r="R70" s="163"/>
      <c r="S70" s="162"/>
      <c r="T70" s="163"/>
      <c r="U70" s="163"/>
      <c r="V70" s="163"/>
      <c r="W70" s="163"/>
      <c r="X70" s="163"/>
      <c r="Y70" s="160"/>
    </row>
    <row r="71" spans="2:26" ht="13">
      <c r="B71" s="165" t="s">
        <v>194</v>
      </c>
      <c r="E71" s="162"/>
      <c r="F71" s="161"/>
      <c r="G71" s="162"/>
      <c r="H71" s="161"/>
      <c r="I71" s="162"/>
      <c r="J71" s="161"/>
      <c r="K71" s="162"/>
      <c r="L71" s="161"/>
      <c r="M71" s="162"/>
      <c r="N71" s="162"/>
      <c r="O71" s="162"/>
      <c r="P71" s="162"/>
      <c r="Q71" s="162"/>
      <c r="R71" s="162">
        <v>0</v>
      </c>
      <c r="S71" s="162"/>
      <c r="T71" s="163">
        <f>SUM(F71,H71,J71,L71,N71,P71,R71)</f>
        <v>0</v>
      </c>
      <c r="U71" s="163"/>
      <c r="V71" s="163">
        <v>0</v>
      </c>
      <c r="W71" s="163"/>
      <c r="X71" s="159">
        <f>SUM(T71:V71)</f>
        <v>0</v>
      </c>
      <c r="Y71" s="160"/>
    </row>
    <row r="72" spans="2:26" ht="13">
      <c r="B72" s="165"/>
      <c r="E72" s="163"/>
      <c r="F72" s="163"/>
      <c r="G72" s="163"/>
      <c r="H72" s="161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0"/>
      <c r="Z72" s="151"/>
    </row>
    <row r="73" spans="2:26" ht="13">
      <c r="B73" s="27" t="s">
        <v>184</v>
      </c>
      <c r="E73" s="162"/>
      <c r="F73" s="162"/>
      <c r="G73" s="162"/>
      <c r="H73" s="161"/>
      <c r="I73" s="162"/>
      <c r="J73" s="162"/>
      <c r="K73" s="162"/>
      <c r="L73" s="162"/>
      <c r="M73" s="162"/>
      <c r="N73" s="162"/>
      <c r="O73" s="162"/>
      <c r="P73" s="162"/>
      <c r="Q73" s="162"/>
      <c r="R73" s="163"/>
      <c r="S73" s="162"/>
      <c r="T73" s="163"/>
      <c r="U73" s="163"/>
      <c r="V73" s="163"/>
      <c r="W73" s="163"/>
      <c r="X73" s="163"/>
      <c r="Y73" s="160"/>
    </row>
    <row r="74" spans="2:26" ht="13">
      <c r="B74" s="165" t="s">
        <v>195</v>
      </c>
      <c r="E74" s="162"/>
      <c r="F74" s="162"/>
      <c r="G74" s="162"/>
      <c r="H74" s="161"/>
      <c r="I74" s="162"/>
      <c r="J74" s="162"/>
      <c r="K74" s="162"/>
      <c r="L74" s="162">
        <f>'Consol SoPL-OCI 24'!AA61</f>
        <v>-6046239731.4340792</v>
      </c>
      <c r="M74" s="162"/>
      <c r="N74" s="162"/>
      <c r="O74" s="162"/>
      <c r="P74" s="162"/>
      <c r="Q74" s="162"/>
      <c r="R74" s="163"/>
      <c r="S74" s="162"/>
      <c r="T74" s="163">
        <f>SUM(F74,H74,J74,L74,N74,P74,R74)</f>
        <v>-6046239731.4340792</v>
      </c>
      <c r="U74" s="163"/>
      <c r="V74" s="163"/>
      <c r="W74" s="163"/>
      <c r="X74" s="159">
        <f>SUM(T74:V74)</f>
        <v>-6046239731.4340792</v>
      </c>
      <c r="Y74" s="160"/>
    </row>
    <row r="75" spans="2:26" ht="13">
      <c r="E75" s="162"/>
      <c r="F75" s="162"/>
      <c r="G75" s="162"/>
      <c r="H75" s="161"/>
      <c r="I75" s="162"/>
      <c r="J75" s="162"/>
      <c r="K75" s="162"/>
      <c r="L75" s="162"/>
      <c r="M75" s="162"/>
      <c r="N75" s="162"/>
      <c r="O75" s="162"/>
      <c r="P75" s="162"/>
      <c r="Q75" s="162"/>
      <c r="R75" s="163"/>
      <c r="S75" s="162"/>
      <c r="T75" s="163"/>
      <c r="U75" s="163"/>
      <c r="V75" s="163"/>
      <c r="W75" s="163"/>
      <c r="X75" s="163"/>
      <c r="Y75" s="160"/>
    </row>
    <row r="76" spans="2:26" ht="13">
      <c r="B76" s="27" t="s">
        <v>198</v>
      </c>
      <c r="E76" s="162"/>
      <c r="F76" s="162"/>
      <c r="G76" s="162"/>
      <c r="H76" s="161"/>
      <c r="I76" s="162"/>
      <c r="J76" s="162"/>
      <c r="K76" s="162"/>
      <c r="L76" s="162"/>
      <c r="M76" s="162"/>
      <c r="N76" s="162"/>
      <c r="O76" s="162"/>
      <c r="P76" s="162"/>
      <c r="Q76" s="162"/>
      <c r="R76" s="163"/>
      <c r="S76" s="162"/>
      <c r="T76" s="163"/>
      <c r="U76" s="163"/>
      <c r="V76" s="163"/>
      <c r="W76" s="163"/>
      <c r="X76" s="163"/>
      <c r="Y76" s="160"/>
    </row>
    <row r="77" spans="2:26" ht="13">
      <c r="B77" s="165" t="s">
        <v>199</v>
      </c>
      <c r="E77" s="162"/>
      <c r="F77" s="162"/>
      <c r="G77" s="162"/>
      <c r="H77" s="161"/>
      <c r="I77" s="162"/>
      <c r="J77" s="162">
        <f>'Capital Proforma Control'!T146</f>
        <v>-85320141312.569885</v>
      </c>
      <c r="K77" s="162"/>
      <c r="L77" s="162">
        <f>'Capital Proforma Control'!N146</f>
        <v>61052004237.56987</v>
      </c>
      <c r="M77" s="162"/>
      <c r="N77" s="162"/>
      <c r="O77" s="162"/>
      <c r="P77" s="162"/>
      <c r="Q77" s="162"/>
      <c r="R77" s="163"/>
      <c r="S77" s="162"/>
      <c r="T77" s="163">
        <f>SUM(F77,H77,J77,L77,N77,P77,R77)</f>
        <v>-24268137075.000015</v>
      </c>
      <c r="U77" s="163"/>
      <c r="V77" s="163"/>
      <c r="W77" s="163"/>
      <c r="X77" s="159">
        <f>SUM(T77:V77)</f>
        <v>-24268137075.000015</v>
      </c>
      <c r="Y77" s="160"/>
    </row>
    <row r="78" spans="2:26" ht="13">
      <c r="B78" s="165"/>
      <c r="E78" s="162"/>
      <c r="F78" s="162"/>
      <c r="G78" s="162"/>
      <c r="H78" s="161"/>
      <c r="I78" s="162"/>
      <c r="J78" s="162"/>
      <c r="K78" s="162"/>
      <c r="L78" s="162"/>
      <c r="M78" s="162"/>
      <c r="N78" s="162"/>
      <c r="O78" s="162"/>
      <c r="P78" s="162"/>
      <c r="Q78" s="162"/>
      <c r="R78" s="170"/>
      <c r="S78" s="162"/>
      <c r="T78" s="163"/>
      <c r="U78" s="162"/>
      <c r="V78" s="162"/>
      <c r="W78" s="162"/>
      <c r="X78" s="163"/>
      <c r="Y78" s="160"/>
    </row>
    <row r="79" spans="2:26" ht="13">
      <c r="B79" s="27" t="s">
        <v>184</v>
      </c>
      <c r="E79" s="162"/>
      <c r="F79" s="162"/>
      <c r="G79" s="162"/>
      <c r="H79" s="161"/>
      <c r="I79" s="162"/>
      <c r="J79" s="162"/>
      <c r="K79" s="162"/>
      <c r="L79" s="162"/>
      <c r="M79" s="162"/>
      <c r="N79" s="162"/>
      <c r="O79" s="162"/>
      <c r="P79" s="162"/>
      <c r="Q79" s="162"/>
      <c r="R79" s="163"/>
      <c r="S79" s="162"/>
      <c r="T79" s="163"/>
      <c r="U79" s="163"/>
      <c r="V79" s="163"/>
      <c r="W79" s="163"/>
      <c r="X79" s="163"/>
      <c r="Y79" s="160"/>
    </row>
    <row r="80" spans="2:26" ht="13">
      <c r="B80" s="165" t="s">
        <v>187</v>
      </c>
      <c r="E80" s="162"/>
      <c r="F80" s="162"/>
      <c r="G80" s="162"/>
      <c r="H80" s="161"/>
      <c r="I80" s="162"/>
      <c r="J80" s="162"/>
      <c r="K80" s="162"/>
      <c r="L80" s="162">
        <f>-'Proforma Adjustment'!E109</f>
        <v>0</v>
      </c>
      <c r="M80" s="162"/>
      <c r="N80" s="162"/>
      <c r="O80" s="162"/>
      <c r="P80" s="162"/>
      <c r="Q80" s="162"/>
      <c r="R80" s="163"/>
      <c r="S80" s="162"/>
      <c r="T80" s="163">
        <f>SUM(F80,H80,J80,L80,N80,P80,R80)</f>
        <v>0</v>
      </c>
      <c r="U80" s="163"/>
      <c r="V80" s="163"/>
      <c r="W80" s="163"/>
      <c r="X80" s="159">
        <f>SUM(T80:V80)</f>
        <v>0</v>
      </c>
      <c r="Y80" s="160"/>
    </row>
    <row r="81" spans="2:25" ht="13">
      <c r="C81" s="40"/>
      <c r="D81" s="40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3"/>
      <c r="Y81" s="160"/>
    </row>
    <row r="82" spans="2:25" ht="17.25" customHeight="1" thickBot="1">
      <c r="B82" s="40" t="s">
        <v>200</v>
      </c>
      <c r="E82" s="163"/>
      <c r="F82" s="166">
        <f>SUM(F52,F57,F59,F64,F66,F68,F71,F74,F77,F80)</f>
        <v>486708075000</v>
      </c>
      <c r="G82" s="163"/>
      <c r="H82" s="166">
        <f>SUM(H52,H57,H59,H64,H66,H68,H71,H74,H77,H80)</f>
        <v>1608246198282.4248</v>
      </c>
      <c r="I82" s="163"/>
      <c r="J82" s="166">
        <f>SUM(J52,J57,J59,J64,J66,J68,J71,J74,J77,J80)</f>
        <v>-85320141312.569885</v>
      </c>
      <c r="K82" s="163"/>
      <c r="L82" s="166">
        <f>SUM(L52,L57,L59,L64,L66,L68,L71,L74,L77,L80)</f>
        <v>-0.17420196533203125</v>
      </c>
      <c r="M82" s="163"/>
      <c r="N82" s="166">
        <f>SUM(N52,N57,N59,N62,N64,N66,N68,N71,N74,N77,N80)</f>
        <v>1505283288.375</v>
      </c>
      <c r="O82" s="163"/>
      <c r="P82" s="166">
        <f>SUM(P52,P57,P59,P62,P64,P66,P68,P71,P74,P77,P80)</f>
        <v>42384330497.449997</v>
      </c>
      <c r="Q82" s="163"/>
      <c r="R82" s="166">
        <f>SUM(R52,R57,R59,R62,R64,R66,R68,R71,R74,R77,R80)</f>
        <v>-902232119332.04102</v>
      </c>
      <c r="S82" s="163"/>
      <c r="T82" s="166">
        <f>SUM(T52,T57,T59,T62,T64,T66,T68,T71,T74,T77,T80)</f>
        <v>1151291626423.4646</v>
      </c>
      <c r="U82" s="163"/>
      <c r="V82" s="166">
        <f>SUM(V52,V57,V59,V62,V64,V66,V68,V71,V74,V77,V80)</f>
        <v>-736306583691.40918</v>
      </c>
      <c r="W82" s="163"/>
      <c r="X82" s="166">
        <f>SUM(X52,X57,X59,X64,X66,X68,X71,X74,X77,X80)</f>
        <v>414985042732.0556</v>
      </c>
      <c r="Y82" s="163"/>
    </row>
    <row r="83" spans="2:25" ht="13" thickTop="1">
      <c r="E83" s="167"/>
      <c r="F83" s="167"/>
      <c r="G83" s="167"/>
      <c r="H83" s="162"/>
      <c r="I83" s="167"/>
      <c r="J83" s="162"/>
      <c r="K83" s="167"/>
      <c r="L83" s="162"/>
      <c r="M83" s="167"/>
      <c r="N83" s="167"/>
      <c r="O83" s="167"/>
      <c r="P83" s="167"/>
      <c r="Q83" s="167"/>
      <c r="R83" s="167"/>
      <c r="S83" s="167"/>
      <c r="T83" s="162"/>
      <c r="U83" s="162"/>
      <c r="V83" s="162"/>
      <c r="W83" s="162"/>
      <c r="X83" s="167"/>
      <c r="Y83" s="162"/>
    </row>
    <row r="84" spans="2:25" s="40" customFormat="1" ht="13">
      <c r="B84" s="168" t="s">
        <v>188</v>
      </c>
      <c r="C84" s="168"/>
      <c r="D84" s="168"/>
      <c r="E84" s="169"/>
      <c r="F84" s="169">
        <f>'Consol SoFP 24'!AH93</f>
        <v>-486708075000</v>
      </c>
      <c r="G84" s="169"/>
      <c r="H84" s="169">
        <f>'Consol SoFP 24'!AH94</f>
        <v>-1608246198282</v>
      </c>
      <c r="I84" s="169"/>
      <c r="J84" s="169">
        <f>'Consol SoFP 24'!AH96</f>
        <v>85320141313</v>
      </c>
      <c r="K84" s="169"/>
      <c r="L84" s="169"/>
      <c r="M84" s="169"/>
      <c r="N84" s="169">
        <f>'Consol SoFP 24'!AH104</f>
        <v>-1505283289</v>
      </c>
      <c r="O84" s="169"/>
      <c r="P84" s="169">
        <f>'Consol SoFP 24'!AH98</f>
        <v>-42384330497</v>
      </c>
      <c r="Q84" s="169"/>
      <c r="R84" s="169">
        <f>SUM('Consol SoFP 24'!AH101:AH102)</f>
        <v>902232119329</v>
      </c>
      <c r="S84" s="169"/>
      <c r="T84" s="169">
        <f>'Consol SoFP 24'!AH109</f>
        <v>-1151291626426</v>
      </c>
      <c r="U84" s="169"/>
      <c r="V84" s="169">
        <f>'Consol SoFP 24'!AH110</f>
        <v>736306584348.53674</v>
      </c>
      <c r="W84" s="169"/>
      <c r="X84" s="169">
        <f>'Consol SoFP 24'!AH112</f>
        <v>-414985042077.46326</v>
      </c>
      <c r="Y84" s="163"/>
    </row>
    <row r="85" spans="2:25" s="40" customFormat="1" ht="13">
      <c r="B85" s="168" t="s">
        <v>189</v>
      </c>
      <c r="C85" s="168"/>
      <c r="D85" s="168"/>
      <c r="E85" s="169"/>
      <c r="F85" s="169">
        <f t="shared" ref="F85:H85" si="10">ROUND(F82+F84,0)</f>
        <v>0</v>
      </c>
      <c r="G85" s="169"/>
      <c r="H85" s="169">
        <f t="shared" si="10"/>
        <v>0</v>
      </c>
      <c r="I85" s="169"/>
      <c r="J85" s="169">
        <f t="shared" ref="J85" si="11">ROUND(J82+J84,0)</f>
        <v>0</v>
      </c>
      <c r="K85" s="169"/>
      <c r="L85" s="169">
        <f t="shared" ref="L85" si="12">ROUND(L82+L84,0)</f>
        <v>0</v>
      </c>
      <c r="M85" s="169"/>
      <c r="N85" s="169">
        <f>N82+N84</f>
        <v>-0.625</v>
      </c>
      <c r="O85" s="169"/>
      <c r="P85" s="169">
        <f t="shared" ref="P85" si="13">ROUND(P82+P84,0)</f>
        <v>0</v>
      </c>
      <c r="Q85" s="169"/>
      <c r="R85" s="169">
        <f t="shared" ref="R85" si="14">ROUND(R82+R84,0)</f>
        <v>-3</v>
      </c>
      <c r="S85" s="169"/>
      <c r="T85" s="169">
        <f t="shared" ref="T85" si="15">ROUND(T82+T84,0)</f>
        <v>-3</v>
      </c>
      <c r="U85" s="169"/>
      <c r="V85" s="169">
        <f t="shared" ref="V85" si="16">ROUND(V82+V84,0)</f>
        <v>657</v>
      </c>
      <c r="W85" s="169"/>
      <c r="X85" s="169">
        <f t="shared" ref="X85" si="17">ROUND(X82+X84,0)</f>
        <v>655</v>
      </c>
      <c r="Y85" s="163"/>
    </row>
    <row r="86" spans="2:25"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71"/>
      <c r="S86" s="162"/>
      <c r="T86" s="162"/>
      <c r="U86" s="162"/>
      <c r="V86" s="162"/>
      <c r="W86" s="162"/>
      <c r="X86" s="162"/>
      <c r="Y86" s="162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BFD8-FCEA-4491-8010-535074F78A80}">
  <dimension ref="A1:BB99"/>
  <sheetViews>
    <sheetView workbookViewId="0"/>
  </sheetViews>
  <sheetFormatPr defaultColWidth="8.26953125" defaultRowHeight="13"/>
  <cols>
    <col min="1" max="1" width="2.7265625" style="519" customWidth="1"/>
    <col min="2" max="2" width="2" style="519" customWidth="1"/>
    <col min="3" max="3" width="25.26953125" style="519" customWidth="1"/>
    <col min="4" max="4" width="10.1796875" style="519" customWidth="1"/>
    <col min="5" max="5" width="20" style="520" customWidth="1"/>
    <col min="6" max="6" width="20.81640625" style="519" bestFit="1" customWidth="1"/>
    <col min="7" max="7" width="18.81640625" style="519" hidden="1" customWidth="1"/>
    <col min="8" max="8" width="16.453125" style="521" customWidth="1"/>
    <col min="9" max="19" width="16.453125" style="519" customWidth="1"/>
    <col min="20" max="20" width="16.453125" style="519" hidden="1" customWidth="1"/>
    <col min="21" max="25" width="16.453125" style="519" customWidth="1"/>
    <col min="26" max="27" width="16.54296875" style="519" customWidth="1"/>
    <col min="28" max="35" width="16.453125" style="519" customWidth="1"/>
    <col min="36" max="37" width="18.1796875" style="519" customWidth="1"/>
    <col min="38" max="38" width="16.453125" style="519" customWidth="1"/>
    <col min="39" max="40" width="16.453125" style="519" hidden="1" customWidth="1"/>
    <col min="41" max="45" width="16.453125" style="519" customWidth="1"/>
    <col min="46" max="46" width="18.81640625" style="519" customWidth="1"/>
    <col min="47" max="53" width="16.453125" style="519" customWidth="1"/>
    <col min="54" max="54" width="16.54296875" style="519" bestFit="1" customWidth="1"/>
    <col min="55" max="16384" width="8.26953125" style="519"/>
  </cols>
  <sheetData>
    <row r="1" spans="1:54">
      <c r="A1" s="518" t="s">
        <v>954</v>
      </c>
      <c r="B1" s="518"/>
      <c r="I1" s="522"/>
      <c r="Z1" s="522" t="s">
        <v>823</v>
      </c>
      <c r="AJ1" s="522"/>
      <c r="AK1" s="522"/>
      <c r="AP1" s="522" t="s">
        <v>823</v>
      </c>
      <c r="AQ1" s="522"/>
      <c r="AY1" s="522" t="s">
        <v>823</v>
      </c>
      <c r="AZ1" s="522" t="s">
        <v>823</v>
      </c>
    </row>
    <row r="2" spans="1:54">
      <c r="A2" s="518" t="s">
        <v>824</v>
      </c>
      <c r="B2" s="518"/>
    </row>
    <row r="3" spans="1:54">
      <c r="A3" s="523" t="s">
        <v>955</v>
      </c>
      <c r="B3" s="518"/>
    </row>
    <row r="4" spans="1:54">
      <c r="B4" s="518"/>
      <c r="E4" s="524" t="s">
        <v>347</v>
      </c>
      <c r="F4" s="525"/>
      <c r="G4" s="525"/>
      <c r="H4" s="526">
        <f t="shared" ref="H4:AF4" si="0">H97</f>
        <v>0</v>
      </c>
      <c r="I4" s="526">
        <f t="shared" si="0"/>
        <v>0</v>
      </c>
      <c r="J4" s="526">
        <f t="shared" si="0"/>
        <v>0</v>
      </c>
      <c r="K4" s="526">
        <f t="shared" si="0"/>
        <v>0</v>
      </c>
      <c r="L4" s="526">
        <f t="shared" si="0"/>
        <v>0</v>
      </c>
      <c r="M4" s="526">
        <f t="shared" si="0"/>
        <v>0</v>
      </c>
      <c r="N4" s="526">
        <f t="shared" si="0"/>
        <v>0</v>
      </c>
      <c r="O4" s="526">
        <f t="shared" si="0"/>
        <v>0</v>
      </c>
      <c r="P4" s="526">
        <f t="shared" si="0"/>
        <v>0</v>
      </c>
      <c r="Q4" s="526">
        <f t="shared" si="0"/>
        <v>0</v>
      </c>
      <c r="R4" s="526">
        <f t="shared" si="0"/>
        <v>0</v>
      </c>
      <c r="S4" s="526">
        <f t="shared" si="0"/>
        <v>-1.4698638916015625</v>
      </c>
      <c r="T4" s="526">
        <f t="shared" si="0"/>
        <v>0</v>
      </c>
      <c r="U4" s="526">
        <f t="shared" si="0"/>
        <v>0.27500152587890625</v>
      </c>
      <c r="V4" s="526">
        <f t="shared" si="0"/>
        <v>-0.9976654052734375</v>
      </c>
      <c r="W4" s="526">
        <f t="shared" si="0"/>
        <v>0</v>
      </c>
      <c r="X4" s="526">
        <f t="shared" si="0"/>
        <v>0</v>
      </c>
      <c r="Y4" s="526">
        <f t="shared" si="0"/>
        <v>0</v>
      </c>
      <c r="Z4" s="526">
        <f t="shared" si="0"/>
        <v>-4</v>
      </c>
      <c r="AA4" s="526">
        <f t="shared" si="0"/>
        <v>-1</v>
      </c>
      <c r="AB4" s="526">
        <f t="shared" si="0"/>
        <v>0</v>
      </c>
      <c r="AC4" s="526">
        <f t="shared" si="0"/>
        <v>0</v>
      </c>
      <c r="AD4" s="526">
        <f t="shared" si="0"/>
        <v>0</v>
      </c>
      <c r="AE4" s="526">
        <f t="shared" si="0"/>
        <v>0</v>
      </c>
      <c r="AF4" s="526">
        <f t="shared" si="0"/>
        <v>0</v>
      </c>
      <c r="AG4" s="526"/>
      <c r="AH4" s="526"/>
      <c r="AI4" s="526">
        <f t="shared" ref="AI4:AP4" si="1">AI97</f>
        <v>0</v>
      </c>
      <c r="AJ4" s="526">
        <f t="shared" si="1"/>
        <v>0</v>
      </c>
      <c r="AK4" s="526">
        <f t="shared" si="1"/>
        <v>0</v>
      </c>
      <c r="AL4" s="526">
        <f t="shared" si="1"/>
        <v>0</v>
      </c>
      <c r="AM4" s="526">
        <f t="shared" si="1"/>
        <v>0</v>
      </c>
      <c r="AN4" s="526">
        <f t="shared" si="1"/>
        <v>0</v>
      </c>
      <c r="AO4" s="526">
        <f t="shared" si="1"/>
        <v>0</v>
      </c>
      <c r="AP4" s="526">
        <f t="shared" si="1"/>
        <v>0</v>
      </c>
      <c r="AQ4" s="526"/>
      <c r="AR4" s="526">
        <f>AR97</f>
        <v>0</v>
      </c>
      <c r="AS4" s="526">
        <f>AS97</f>
        <v>0</v>
      </c>
      <c r="AT4" s="526">
        <f>AT97</f>
        <v>-0.27490234375</v>
      </c>
      <c r="AU4" s="526">
        <f>AU97</f>
        <v>0</v>
      </c>
      <c r="AV4" s="526">
        <f t="shared" ref="AV4" si="2">AV97</f>
        <v>-1</v>
      </c>
      <c r="AW4" s="526">
        <f>AW97</f>
        <v>-0.8642120361328125</v>
      </c>
      <c r="AX4" s="526"/>
      <c r="AY4" s="526">
        <f>AY97</f>
        <v>-3.870880126953125</v>
      </c>
      <c r="AZ4" s="526">
        <f>AZ97</f>
        <v>659.15817260742188</v>
      </c>
    </row>
    <row r="5" spans="1:54" ht="13.5" customHeight="1">
      <c r="A5" s="527"/>
      <c r="D5" s="528"/>
      <c r="F5" s="529"/>
      <c r="G5" s="529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0"/>
      <c r="AB5" s="520"/>
      <c r="AC5" s="520"/>
      <c r="AD5" s="520"/>
      <c r="AE5" s="520"/>
      <c r="AF5" s="520"/>
      <c r="AG5" s="520"/>
      <c r="AH5" s="520"/>
      <c r="AI5" s="520"/>
      <c r="AJ5" s="520"/>
      <c r="AK5" s="520"/>
      <c r="AL5" s="520"/>
      <c r="AM5" s="520"/>
      <c r="AN5" s="520"/>
      <c r="AO5" s="520"/>
      <c r="AP5" s="520"/>
      <c r="AQ5" s="520"/>
      <c r="AR5" s="520"/>
      <c r="AS5" s="520"/>
      <c r="AT5" s="520"/>
      <c r="AU5" s="520"/>
      <c r="AV5" s="520"/>
      <c r="AW5" s="520"/>
      <c r="AX5" s="520"/>
      <c r="AY5" s="520"/>
      <c r="AZ5" s="520"/>
      <c r="BA5" s="520"/>
    </row>
    <row r="6" spans="1:54" ht="13.5" customHeight="1">
      <c r="A6" s="527"/>
      <c r="D6" s="528"/>
      <c r="F6" s="529">
        <v>0.42999267578125</v>
      </c>
      <c r="G6" s="529"/>
      <c r="H6" s="530"/>
      <c r="I6" s="531"/>
      <c r="J6" s="531"/>
      <c r="K6" s="531"/>
      <c r="L6" s="531"/>
      <c r="M6" s="531"/>
      <c r="N6" s="531"/>
      <c r="O6" s="532"/>
      <c r="P6" s="532"/>
      <c r="Q6" s="533"/>
      <c r="R6" s="534"/>
      <c r="S6" s="534"/>
      <c r="T6" s="534"/>
      <c r="U6" s="534"/>
      <c r="V6" s="534" t="s">
        <v>826</v>
      </c>
      <c r="W6" s="534"/>
      <c r="X6" s="534"/>
      <c r="Y6" s="534"/>
      <c r="Z6" s="535"/>
      <c r="AA6" s="536"/>
      <c r="AB6" s="520"/>
      <c r="AC6" s="520"/>
      <c r="AD6" s="520"/>
      <c r="AE6" s="520"/>
      <c r="AF6" s="520"/>
      <c r="AG6" s="520"/>
      <c r="AH6" s="520"/>
      <c r="AI6" s="520"/>
      <c r="AJ6" s="520"/>
      <c r="AK6" s="520"/>
      <c r="AL6" s="520"/>
      <c r="AM6" s="520"/>
      <c r="AN6" s="520"/>
      <c r="AO6" s="520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</row>
    <row r="7" spans="1:54" s="537" customFormat="1" ht="69.5">
      <c r="E7" s="538"/>
      <c r="F7" s="540"/>
      <c r="H7" s="541" t="s">
        <v>18</v>
      </c>
      <c r="I7" s="541" t="s">
        <v>827</v>
      </c>
      <c r="J7" s="541" t="s">
        <v>25</v>
      </c>
      <c r="K7" s="541" t="s">
        <v>956</v>
      </c>
      <c r="L7" s="541" t="s">
        <v>828</v>
      </c>
      <c r="M7" s="541" t="s">
        <v>830</v>
      </c>
      <c r="N7" s="541" t="s">
        <v>831</v>
      </c>
      <c r="O7" s="541" t="s">
        <v>832</v>
      </c>
      <c r="P7" s="541" t="s">
        <v>38</v>
      </c>
      <c r="Q7" s="541" t="s">
        <v>833</v>
      </c>
      <c r="R7" s="541" t="s">
        <v>834</v>
      </c>
      <c r="S7" s="541" t="s">
        <v>835</v>
      </c>
      <c r="T7" s="541" t="s">
        <v>836</v>
      </c>
      <c r="U7" s="541" t="s">
        <v>837</v>
      </c>
      <c r="V7" s="541" t="s">
        <v>838</v>
      </c>
      <c r="W7" s="541" t="s">
        <v>48</v>
      </c>
      <c r="X7" s="541" t="s">
        <v>51</v>
      </c>
      <c r="Y7" s="541" t="s">
        <v>840</v>
      </c>
      <c r="Z7" s="541" t="s">
        <v>841</v>
      </c>
      <c r="AA7" s="541" t="s">
        <v>842</v>
      </c>
      <c r="AB7" s="541" t="s">
        <v>843</v>
      </c>
      <c r="AC7" s="541" t="s">
        <v>846</v>
      </c>
      <c r="AD7" s="541" t="s">
        <v>260</v>
      </c>
      <c r="AE7" s="541" t="s">
        <v>63</v>
      </c>
      <c r="AF7" s="541" t="s">
        <v>65</v>
      </c>
      <c r="AG7" s="541" t="s">
        <v>957</v>
      </c>
      <c r="AH7" s="541" t="s">
        <v>71</v>
      </c>
      <c r="AI7" s="541" t="s">
        <v>848</v>
      </c>
      <c r="AJ7" s="541" t="s">
        <v>849</v>
      </c>
      <c r="AK7" s="541" t="s">
        <v>73</v>
      </c>
      <c r="AL7" s="541" t="s">
        <v>69</v>
      </c>
      <c r="AM7" s="541" t="s">
        <v>850</v>
      </c>
      <c r="AN7" s="541" t="s">
        <v>851</v>
      </c>
      <c r="AO7" s="541" t="s">
        <v>852</v>
      </c>
      <c r="AP7" s="541" t="s">
        <v>853</v>
      </c>
      <c r="AQ7" s="541" t="s">
        <v>958</v>
      </c>
      <c r="AR7" s="541" t="s">
        <v>854</v>
      </c>
      <c r="AS7" s="541" t="s">
        <v>205</v>
      </c>
      <c r="AT7" s="541" t="s">
        <v>89</v>
      </c>
      <c r="AU7" s="541" t="s">
        <v>855</v>
      </c>
      <c r="AV7" s="541" t="s">
        <v>80</v>
      </c>
      <c r="AW7" s="541" t="s">
        <v>174</v>
      </c>
      <c r="AX7" s="541" t="s">
        <v>91</v>
      </c>
      <c r="AY7" s="541" t="s">
        <v>95</v>
      </c>
      <c r="AZ7" s="541" t="s">
        <v>856</v>
      </c>
      <c r="BA7" s="542" t="s">
        <v>347</v>
      </c>
    </row>
    <row r="8" spans="1:54" s="543" customFormat="1" ht="12">
      <c r="E8" s="544"/>
      <c r="F8" s="546"/>
      <c r="G8" s="545">
        <v>45657</v>
      </c>
      <c r="H8" s="547">
        <f>'Consol SoFP 24'!AH15</f>
        <v>61178535792</v>
      </c>
      <c r="I8" s="547">
        <f>SUM('Consol SoFP 24'!AH17:AH18,'Consol SoFP 24'!AH20)</f>
        <v>244672056004</v>
      </c>
      <c r="J8" s="547">
        <f>'Consol SoFP 24'!AH22</f>
        <v>5217740512</v>
      </c>
      <c r="K8" s="547">
        <f>SUM('Consol SoFP 24'!AH25:AH26)</f>
        <v>134787570854</v>
      </c>
      <c r="L8" s="547">
        <f>SUM('Consol SoFP 24'!AH28:AH29,'Consol SoFP 24'!AH23)</f>
        <v>59861730804</v>
      </c>
      <c r="M8" s="547">
        <f>SUM('Consol SoFP 24'!AH32:AH33)+'Consol SoFP 24'!AH30</f>
        <v>10309535399</v>
      </c>
      <c r="N8" s="547">
        <f>'Consol SoFP 24'!AH34</f>
        <v>143195607918</v>
      </c>
      <c r="O8" s="547">
        <f>'Consol SoFP 24'!AH31</f>
        <v>6267463919</v>
      </c>
      <c r="P8" s="547">
        <f>'Consol SoFP 24'!AH35</f>
        <v>1564112875</v>
      </c>
      <c r="Q8" s="547">
        <v>0</v>
      </c>
      <c r="R8" s="547">
        <f>'Consol SoFP 24'!AH42</f>
        <v>0</v>
      </c>
      <c r="S8" s="547">
        <f>'Consol SoFP 24'!AH43</f>
        <v>71907700936</v>
      </c>
      <c r="T8" s="547"/>
      <c r="U8" s="547">
        <f>'Consol SoFP 24'!AH45</f>
        <v>36242446809</v>
      </c>
      <c r="V8" s="547">
        <f>'Consol SoFP 24'!AH44</f>
        <v>16469508674</v>
      </c>
      <c r="W8" s="547">
        <f>'Consol SoFP 24'!AH46</f>
        <v>2314180101</v>
      </c>
      <c r="X8" s="547">
        <f>'Consol SoFP 24'!AH49</f>
        <v>84860041916</v>
      </c>
      <c r="Y8" s="547"/>
      <c r="Z8" s="547"/>
      <c r="AA8" s="547">
        <f>'Consol SoFP 24'!AH84</f>
        <v>-11841969436</v>
      </c>
      <c r="AB8" s="547">
        <f>'Consol SoFP 24'!AH57</f>
        <v>-109688388792</v>
      </c>
      <c r="AC8" s="547">
        <f>SUM('Consol SoFP 24'!AH59:AH60)</f>
        <v>-93585773120</v>
      </c>
      <c r="AD8" s="547">
        <f>SUM('Consol SoFP 24'!AH68:AH69)</f>
        <v>-6658605447</v>
      </c>
      <c r="AE8" s="547">
        <f>'Consol SoFP 24'!AH64</f>
        <v>-1597985933</v>
      </c>
      <c r="AF8" s="547">
        <f>'Consol SoFP 24'!AH66</f>
        <v>-81841385213</v>
      </c>
      <c r="AG8" s="547">
        <f>'Consol SoFP 24'!AH73</f>
        <v>0</v>
      </c>
      <c r="AH8" s="547">
        <f>'Consol SoFP 24'!AH72</f>
        <v>0</v>
      </c>
      <c r="AI8" s="547">
        <f>'Consol SoFP 24'!AH65</f>
        <v>-351201384</v>
      </c>
      <c r="AJ8" s="547">
        <f>SUM('Consol SoFP 24'!AH62:AH63)</f>
        <v>-28052747312</v>
      </c>
      <c r="AK8" s="547">
        <f>'Consol SoFP 24'!AH74</f>
        <v>-22024685439</v>
      </c>
      <c r="AL8" s="547">
        <f>'Consol SoFP 24'!AH71</f>
        <v>0</v>
      </c>
      <c r="AM8" s="547"/>
      <c r="AN8" s="547"/>
      <c r="AO8" s="547">
        <f>'Consol SoFP 24'!AH75+'Consol SoFP 24'!AH81</f>
        <v>-98631811794</v>
      </c>
      <c r="AP8" s="547">
        <f>'Consol SoFP 24'!AH83</f>
        <v>-4853302291</v>
      </c>
      <c r="AQ8" s="547">
        <f>'Consol SoFP 24'!AH82</f>
        <v>0</v>
      </c>
      <c r="AR8" s="547">
        <f>'Consol SoFP 24'!AH85</f>
        <v>-4735334275</v>
      </c>
      <c r="AS8" s="547">
        <f>'Consol SoFP 24'!AH93</f>
        <v>-486708075000</v>
      </c>
      <c r="AT8" s="547">
        <f>'Consol SoFP 24'!AH94</f>
        <v>-1608246198282</v>
      </c>
      <c r="AU8" s="547">
        <f>'Consol SoFP 24'!AH98</f>
        <v>-42384330497</v>
      </c>
      <c r="AV8" s="547">
        <f>'Consol SoFP 24'!AH104</f>
        <v>-1505283289</v>
      </c>
      <c r="AW8" s="547"/>
      <c r="AX8" s="547">
        <f>'Consol SoFP 24'!AH96</f>
        <v>85320141313</v>
      </c>
      <c r="AY8" s="547">
        <f>SUM('Consol SoFP 24'!AH101:AH102)</f>
        <v>902232119329</v>
      </c>
      <c r="AZ8" s="547">
        <f>'Consol SoFP 24'!AH110</f>
        <v>736306584348.53674</v>
      </c>
      <c r="BA8" s="544">
        <f>SUM(H8:AZ8)</f>
        <v>-0.4632568359375</v>
      </c>
      <c r="BB8" s="548"/>
    </row>
    <row r="9" spans="1:54" s="543" customFormat="1" ht="12">
      <c r="E9" s="544"/>
      <c r="F9" s="546"/>
      <c r="G9" s="545">
        <v>45291</v>
      </c>
      <c r="H9" s="547">
        <f>'Consol SoFP 23 &amp; 22'!AE15</f>
        <v>75109486095</v>
      </c>
      <c r="I9" s="547">
        <f>SUM('Consol SoFP 23 &amp; 22'!AE17:AE18,'Consol SoFP 23 &amp; 22'!AE20)</f>
        <v>323260364520</v>
      </c>
      <c r="J9" s="547">
        <f>SUM('Consol SoFP 23 &amp; 22'!AE22)</f>
        <v>15830303102</v>
      </c>
      <c r="K9" s="547">
        <f>SUM('Consol SoFP 23 &amp; 22'!AE25:AE26)</f>
        <v>20326406410</v>
      </c>
      <c r="L9" s="547">
        <f>SUM('Consol SoFP 23 &amp; 22'!AE28:AE29)</f>
        <v>38356602143</v>
      </c>
      <c r="M9" s="547">
        <f>SUM('Consol SoFP 23 &amp; 22'!AE32)</f>
        <v>11811728970</v>
      </c>
      <c r="N9" s="547">
        <f>'Consol SoFP 23 &amp; 22'!AE34</f>
        <v>159588593589</v>
      </c>
      <c r="O9" s="547">
        <f>'Consol SoFP 23 &amp; 22'!AE31</f>
        <v>2623976876</v>
      </c>
      <c r="P9" s="547">
        <f>'Consol SoFP 23 &amp; 22'!AE35</f>
        <v>24013216750</v>
      </c>
      <c r="Q9" s="547"/>
      <c r="R9" s="547">
        <f>'Consol SoFP 23 &amp; 22'!AE42</f>
        <v>2156177190</v>
      </c>
      <c r="S9" s="547">
        <f>'Consol SoFP 23 &amp; 22'!AE44</f>
        <v>21832710982</v>
      </c>
      <c r="T9" s="547"/>
      <c r="U9" s="547">
        <f>'Consol SoFP 23 &amp; 22'!AE46</f>
        <v>11843914378</v>
      </c>
      <c r="V9" s="547">
        <f>'Consol SoFP 23 &amp; 22'!AE45</f>
        <v>24886088064</v>
      </c>
      <c r="W9" s="547">
        <f>'Consol SoFP 23 &amp; 22'!AE47</f>
        <v>2482200000</v>
      </c>
      <c r="X9" s="547">
        <f>'Consol SoFP 23 &amp; 22'!AE50</f>
        <v>12960995205</v>
      </c>
      <c r="Y9" s="547"/>
      <c r="Z9" s="547"/>
      <c r="AA9" s="547">
        <f>'Consol SoFP 23 &amp; 22'!AE84</f>
        <v>-11841969435</v>
      </c>
      <c r="AB9" s="547">
        <f>'Consol SoFP 23 &amp; 22'!AE58</f>
        <v>-141442017128</v>
      </c>
      <c r="AC9" s="547">
        <f>SUM('Consol SoFP 23 &amp; 22'!AE60:AE61)</f>
        <v>-48531295722</v>
      </c>
      <c r="AD9" s="547">
        <f>'Consol SoFP 23 &amp; 22'!AE70</f>
        <v>-5410354427</v>
      </c>
      <c r="AE9" s="547">
        <f>'Consol SoFP 23 &amp; 22'!AE65</f>
        <v>-3998598175</v>
      </c>
      <c r="AF9" s="547">
        <f>'Consol SoFP 23 &amp; 22'!AE67</f>
        <v>-15917342497</v>
      </c>
      <c r="AG9" s="547">
        <f>'Consol SoFP 23 &amp; 22'!AE73</f>
        <v>0</v>
      </c>
      <c r="AH9" s="547">
        <f>'Consol SoFP 23 &amp; 22'!AE72</f>
        <v>0</v>
      </c>
      <c r="AI9" s="547">
        <f>'Consol SoFP 23 &amp; 22'!AE66</f>
        <v>-5484244074</v>
      </c>
      <c r="AJ9" s="547">
        <f>'Consol SoFP 23 &amp; 22'!AE63</f>
        <v>-59423529841</v>
      </c>
      <c r="AK9" s="547">
        <f>'Consol SoFP 23 &amp; 22'!AE74</f>
        <v>0</v>
      </c>
      <c r="AL9" s="547">
        <f>'Consol SoFP 23 &amp; 22'!AE71</f>
        <v>0</v>
      </c>
      <c r="AM9" s="547"/>
      <c r="AN9" s="547"/>
      <c r="AO9" s="547">
        <f>'Consol SoFP 23 &amp; 22'!AE81+'Consol SoFP 23 &amp; 22'!AE75</f>
        <v>-89665532815</v>
      </c>
      <c r="AP9" s="547">
        <f>'Consol SoFP 23 &amp; 22'!AE82</f>
        <v>-4853302291</v>
      </c>
      <c r="AQ9" s="547">
        <f>'Consol SoFP 23 &amp; 22'!AE83</f>
        <v>0</v>
      </c>
      <c r="AR9" s="547">
        <f>'Consol SoFP 23 &amp; 22'!AE85</f>
        <v>-4735334275</v>
      </c>
      <c r="AS9" s="547">
        <f>'Consol SoFP 23 &amp; 22'!AE93</f>
        <v>-486708075000</v>
      </c>
      <c r="AT9" s="547">
        <f>'Consol SoFP 23 &amp; 22'!AE94</f>
        <v>-1003275649843</v>
      </c>
      <c r="AU9" s="547">
        <f>SUM('Consol SoFP 23 &amp; 22'!AE97:AE98)</f>
        <v>-42384330497</v>
      </c>
      <c r="AV9" s="547">
        <f>SUM('Consol SoFP 23 &amp; 22'!AE104:AE105)</f>
        <v>-1505283288</v>
      </c>
      <c r="AW9" s="547">
        <f>'Consol SoFP 23 &amp; 22'!AE106</f>
        <v>55005764507</v>
      </c>
      <c r="AX9" s="547"/>
      <c r="AY9" s="547">
        <f>SUM('Consol SoFP 23 &amp; 22'!AE101:AE102)</f>
        <v>649879728743</v>
      </c>
      <c r="AZ9" s="547">
        <f>'Consol SoFP 23 &amp; 22'!AE110</f>
        <v>473208601783.68762</v>
      </c>
      <c r="BA9" s="544">
        <f>SUM(H9:AZ9)</f>
        <v>-0.3123779296875</v>
      </c>
      <c r="BB9" s="549"/>
    </row>
    <row r="10" spans="1:54" s="554" customFormat="1" ht="12" thickBot="1">
      <c r="A10" s="550"/>
      <c r="B10" s="550"/>
      <c r="C10" s="550"/>
      <c r="D10" s="550"/>
      <c r="E10" s="551"/>
      <c r="F10" s="552"/>
      <c r="G10" s="552" t="s">
        <v>857</v>
      </c>
      <c r="H10" s="553">
        <f>H8-H9</f>
        <v>-13930950303</v>
      </c>
      <c r="I10" s="553">
        <f t="shared" ref="I10:AZ10" si="3">I8-I9</f>
        <v>-78588308516</v>
      </c>
      <c r="J10" s="553">
        <f t="shared" si="3"/>
        <v>-10612562590</v>
      </c>
      <c r="K10" s="553">
        <f t="shared" ref="K10" si="4">K8-K9</f>
        <v>114461164444</v>
      </c>
      <c r="L10" s="553">
        <f t="shared" si="3"/>
        <v>21505128661</v>
      </c>
      <c r="M10" s="553">
        <f t="shared" si="3"/>
        <v>-1502193571</v>
      </c>
      <c r="N10" s="553">
        <f t="shared" si="3"/>
        <v>-16392985671</v>
      </c>
      <c r="O10" s="553">
        <f>O8-O9</f>
        <v>3643487043</v>
      </c>
      <c r="P10" s="553">
        <f>P8-P9</f>
        <v>-22449103875</v>
      </c>
      <c r="Q10" s="553">
        <f>Q8-Q9</f>
        <v>0</v>
      </c>
      <c r="R10" s="553">
        <f>R8-R9</f>
        <v>-2156177190</v>
      </c>
      <c r="S10" s="553">
        <f>S8-S9</f>
        <v>50074989954</v>
      </c>
      <c r="T10" s="553">
        <f t="shared" si="3"/>
        <v>0</v>
      </c>
      <c r="U10" s="553">
        <f t="shared" si="3"/>
        <v>24398532431</v>
      </c>
      <c r="V10" s="553">
        <f t="shared" si="3"/>
        <v>-8416579390</v>
      </c>
      <c r="W10" s="553">
        <f t="shared" si="3"/>
        <v>-168019899</v>
      </c>
      <c r="X10" s="553">
        <f t="shared" si="3"/>
        <v>71899046711</v>
      </c>
      <c r="Y10" s="553">
        <f t="shared" si="3"/>
        <v>0</v>
      </c>
      <c r="Z10" s="553">
        <f t="shared" si="3"/>
        <v>0</v>
      </c>
      <c r="AA10" s="553">
        <f>AA8-AA9</f>
        <v>-1</v>
      </c>
      <c r="AB10" s="553">
        <f t="shared" si="3"/>
        <v>31753628336</v>
      </c>
      <c r="AC10" s="553">
        <f>AC8-AC9</f>
        <v>-45054477398</v>
      </c>
      <c r="AD10" s="553">
        <f t="shared" si="3"/>
        <v>-1248251020</v>
      </c>
      <c r="AE10" s="553">
        <f t="shared" si="3"/>
        <v>2400612242</v>
      </c>
      <c r="AF10" s="553">
        <f t="shared" si="3"/>
        <v>-65924042716</v>
      </c>
      <c r="AG10" s="553">
        <f t="shared" si="3"/>
        <v>0</v>
      </c>
      <c r="AH10" s="553">
        <f t="shared" si="3"/>
        <v>0</v>
      </c>
      <c r="AI10" s="553">
        <f t="shared" si="3"/>
        <v>5133042690</v>
      </c>
      <c r="AJ10" s="553">
        <f t="shared" si="3"/>
        <v>31370782529</v>
      </c>
      <c r="AK10" s="553">
        <f t="shared" si="3"/>
        <v>-22024685439</v>
      </c>
      <c r="AL10" s="553">
        <f t="shared" si="3"/>
        <v>0</v>
      </c>
      <c r="AM10" s="553">
        <f t="shared" si="3"/>
        <v>0</v>
      </c>
      <c r="AN10" s="553">
        <f t="shared" si="3"/>
        <v>0</v>
      </c>
      <c r="AO10" s="553">
        <f>AO8-AO9</f>
        <v>-8966278979</v>
      </c>
      <c r="AP10" s="553">
        <f t="shared" si="3"/>
        <v>0</v>
      </c>
      <c r="AQ10" s="553">
        <f t="shared" si="3"/>
        <v>0</v>
      </c>
      <c r="AR10" s="553">
        <f t="shared" si="3"/>
        <v>0</v>
      </c>
      <c r="AS10" s="553">
        <f t="shared" si="3"/>
        <v>0</v>
      </c>
      <c r="AT10" s="553">
        <f t="shared" si="3"/>
        <v>-604970548439</v>
      </c>
      <c r="AU10" s="553">
        <f t="shared" si="3"/>
        <v>0</v>
      </c>
      <c r="AV10" s="553">
        <f t="shared" ref="AV10" si="5">AV8-AV9</f>
        <v>-1</v>
      </c>
      <c r="AW10" s="553">
        <f t="shared" si="3"/>
        <v>-55005764507</v>
      </c>
      <c r="AX10" s="553">
        <f t="shared" si="3"/>
        <v>85320141313</v>
      </c>
      <c r="AY10" s="553">
        <f t="shared" si="3"/>
        <v>252352390586</v>
      </c>
      <c r="AZ10" s="553">
        <f t="shared" si="3"/>
        <v>263097982564.84912</v>
      </c>
    </row>
    <row r="11" spans="1:54" ht="13.5" customHeight="1">
      <c r="A11" s="527"/>
      <c r="D11" s="528"/>
      <c r="F11" s="555"/>
      <c r="G11" s="555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0"/>
      <c r="AH11" s="520"/>
      <c r="AI11" s="520"/>
      <c r="AJ11" s="520"/>
      <c r="AK11" s="520"/>
      <c r="AL11" s="520"/>
      <c r="AM11" s="520"/>
      <c r="AN11" s="520"/>
      <c r="AO11" s="520"/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</row>
    <row r="12" spans="1:54" ht="13.5" customHeight="1">
      <c r="A12" s="527" t="s">
        <v>858</v>
      </c>
      <c r="D12" s="528"/>
      <c r="F12" s="556"/>
      <c r="G12" s="556"/>
      <c r="H12" s="520"/>
      <c r="I12" s="520"/>
      <c r="J12" s="520"/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520"/>
      <c r="W12" s="520"/>
      <c r="X12" s="520"/>
      <c r="Y12" s="520"/>
      <c r="Z12" s="520"/>
      <c r="AA12" s="520"/>
      <c r="AB12" s="520"/>
      <c r="AC12" s="520"/>
      <c r="AD12" s="520"/>
      <c r="AE12" s="520"/>
      <c r="AF12" s="520"/>
      <c r="AG12" s="520"/>
      <c r="AH12" s="520"/>
      <c r="AI12" s="520"/>
      <c r="AJ12" s="520"/>
      <c r="AK12" s="520"/>
      <c r="AL12" s="520"/>
      <c r="AM12" s="520"/>
      <c r="AN12" s="520"/>
      <c r="AO12" s="520"/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</row>
    <row r="13" spans="1:54" ht="13.5" customHeight="1">
      <c r="B13" s="519" t="s">
        <v>861</v>
      </c>
      <c r="D13" s="528"/>
      <c r="F13" s="559">
        <f t="shared" ref="F13" si="6">ROUND(SUM(H13:AZ13),0)</f>
        <v>-521496612227</v>
      </c>
      <c r="G13" s="557"/>
      <c r="H13" s="520"/>
      <c r="I13" s="520"/>
      <c r="J13" s="520"/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520"/>
      <c r="W13" s="520"/>
      <c r="X13" s="520"/>
      <c r="Y13" s="520"/>
      <c r="Z13" s="520"/>
      <c r="AA13" s="520">
        <v>0</v>
      </c>
      <c r="AB13" s="520"/>
      <c r="AC13" s="520"/>
      <c r="AD13" s="520"/>
      <c r="AE13" s="520"/>
      <c r="AF13" s="520"/>
      <c r="AG13" s="520"/>
      <c r="AH13" s="520"/>
      <c r="AI13" s="520">
        <v>0</v>
      </c>
      <c r="AJ13" s="520"/>
      <c r="AK13" s="520"/>
      <c r="AL13" s="520"/>
      <c r="AM13" s="520"/>
      <c r="AN13" s="520"/>
      <c r="AO13" s="520"/>
      <c r="AP13" s="520"/>
      <c r="AQ13" s="520"/>
      <c r="AR13" s="520"/>
      <c r="AS13" s="520"/>
      <c r="AT13" s="520"/>
      <c r="AU13" s="520"/>
      <c r="AV13" s="520">
        <v>0</v>
      </c>
      <c r="AW13" s="520">
        <f>-'Supplementary CF 24'!M99</f>
        <v>-6046239731.4340792</v>
      </c>
      <c r="AX13" s="520"/>
      <c r="AY13" s="520">
        <f>-'Consol SoPL-OCI 24'!AG87</f>
        <v>-252352390589.87088</v>
      </c>
      <c r="AZ13" s="520">
        <f>-'Consol SoPL-OCI 24'!AG88</f>
        <v>-263097981905.69095</v>
      </c>
      <c r="BA13" s="520">
        <f>F13-SUM(H13:AZ13)</f>
        <v>-4.08935546875E-3</v>
      </c>
    </row>
    <row r="14" spans="1:54">
      <c r="D14" s="528"/>
      <c r="F14" s="557"/>
      <c r="G14" s="557"/>
      <c r="H14" s="520"/>
      <c r="I14" s="520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  <c r="W14" s="520"/>
      <c r="X14" s="520"/>
      <c r="Y14" s="520"/>
      <c r="Z14" s="520"/>
      <c r="AA14" s="520"/>
      <c r="AB14" s="520"/>
      <c r="AC14" s="520"/>
      <c r="AD14" s="520"/>
      <c r="AE14" s="520"/>
      <c r="AF14" s="520"/>
      <c r="AG14" s="520"/>
      <c r="AH14" s="520"/>
      <c r="AI14" s="520"/>
      <c r="AJ14" s="520"/>
      <c r="AK14" s="520"/>
      <c r="AL14" s="520"/>
      <c r="AM14" s="520"/>
      <c r="AN14" s="520"/>
      <c r="AO14" s="520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</row>
    <row r="15" spans="1:54">
      <c r="B15" s="519" t="s">
        <v>862</v>
      </c>
      <c r="D15" s="528"/>
      <c r="F15" s="559"/>
      <c r="G15" s="559"/>
      <c r="H15" s="520"/>
      <c r="I15" s="520"/>
      <c r="J15" s="520"/>
      <c r="K15" s="520"/>
      <c r="L15" s="520"/>
      <c r="M15" s="520"/>
      <c r="N15" s="520"/>
      <c r="O15" s="520"/>
      <c r="P15" s="520"/>
      <c r="Q15" s="520"/>
      <c r="R15" s="520"/>
      <c r="S15" s="520"/>
      <c r="T15" s="520"/>
      <c r="U15" s="520"/>
      <c r="V15" s="520"/>
      <c r="W15" s="520"/>
      <c r="X15" s="520"/>
      <c r="Y15" s="520"/>
      <c r="Z15" s="520"/>
      <c r="AA15" s="520"/>
      <c r="AB15" s="520"/>
      <c r="AC15" s="520"/>
      <c r="AD15" s="520"/>
      <c r="AE15" s="520"/>
      <c r="AF15" s="520"/>
      <c r="AG15" s="520"/>
      <c r="AH15" s="520"/>
      <c r="AI15" s="520"/>
      <c r="AJ15" s="520"/>
      <c r="AK15" s="520"/>
      <c r="AL15" s="520"/>
      <c r="AM15" s="520"/>
      <c r="AN15" s="520"/>
      <c r="AO15" s="520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</row>
    <row r="16" spans="1:54">
      <c r="C16" s="519" t="s">
        <v>863</v>
      </c>
      <c r="D16" s="528"/>
      <c r="F16" s="559">
        <f t="shared" ref="F16:F30" si="7">ROUND(SUM(H16:AZ16),0)</f>
        <v>18620446593</v>
      </c>
      <c r="G16" s="559"/>
      <c r="H16" s="520"/>
      <c r="I16" s="520"/>
      <c r="J16" s="520"/>
      <c r="K16" s="520"/>
      <c r="L16" s="520"/>
      <c r="M16" s="520"/>
      <c r="N16" s="520"/>
      <c r="O16" s="520"/>
      <c r="P16" s="520"/>
      <c r="Q16" s="520"/>
      <c r="R16" s="520"/>
      <c r="S16" s="520">
        <f>-'Supplementary CF 24'!K24</f>
        <v>18620446593.274998</v>
      </c>
      <c r="T16" s="520"/>
      <c r="U16" s="520"/>
      <c r="V16" s="520"/>
      <c r="W16" s="520"/>
      <c r="X16" s="520"/>
      <c r="Y16" s="520"/>
      <c r="Z16" s="520"/>
      <c r="AA16" s="520"/>
      <c r="AB16" s="520"/>
      <c r="AC16" s="520"/>
      <c r="AD16" s="520"/>
      <c r="AE16" s="520"/>
      <c r="AF16" s="520"/>
      <c r="AG16" s="520"/>
      <c r="AH16" s="520"/>
      <c r="AI16" s="520"/>
      <c r="AJ16" s="520"/>
      <c r="AK16" s="520"/>
      <c r="AL16" s="520"/>
      <c r="AM16" s="520"/>
      <c r="AN16" s="520"/>
      <c r="AO16" s="520"/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>
        <f t="shared" ref="BA16:BA31" si="8">F16-SUM(H16:AZ16)</f>
        <v>-0.27499771118164063</v>
      </c>
    </row>
    <row r="17" spans="3:54">
      <c r="C17" s="519" t="s">
        <v>864</v>
      </c>
      <c r="D17" s="528"/>
      <c r="F17" s="559">
        <f t="shared" si="7"/>
        <v>0</v>
      </c>
      <c r="G17" s="559"/>
      <c r="H17" s="520"/>
      <c r="I17" s="520"/>
      <c r="J17" s="520"/>
      <c r="K17" s="520"/>
      <c r="L17" s="520"/>
      <c r="M17" s="520"/>
      <c r="N17" s="520"/>
      <c r="O17" s="520"/>
      <c r="P17" s="520"/>
      <c r="Q17" s="520"/>
      <c r="R17" s="520"/>
      <c r="S17" s="520">
        <f>-'Supplementary CF 24'!O25</f>
        <v>0</v>
      </c>
      <c r="T17" s="520"/>
      <c r="U17" s="520"/>
      <c r="V17" s="520"/>
      <c r="W17" s="520"/>
      <c r="X17" s="520"/>
      <c r="Y17" s="520"/>
      <c r="Z17" s="520"/>
      <c r="AA17" s="520"/>
      <c r="AB17" s="520"/>
      <c r="AC17" s="520"/>
      <c r="AD17" s="520"/>
      <c r="AE17" s="520"/>
      <c r="AF17" s="520"/>
      <c r="AG17" s="520"/>
      <c r="AH17" s="520"/>
      <c r="AI17" s="520"/>
      <c r="AJ17" s="520"/>
      <c r="AK17" s="520"/>
      <c r="AL17" s="520"/>
      <c r="AM17" s="520"/>
      <c r="AN17" s="520"/>
      <c r="AO17" s="520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>
        <f t="shared" si="8"/>
        <v>0</v>
      </c>
    </row>
    <row r="18" spans="3:54">
      <c r="C18" s="519" t="s">
        <v>865</v>
      </c>
      <c r="D18" s="528"/>
      <c r="F18" s="559">
        <f t="shared" si="7"/>
        <v>9829951191</v>
      </c>
      <c r="G18" s="559"/>
      <c r="H18" s="520"/>
      <c r="I18" s="520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>
        <f>-'Supplementary CF 24'!F43</f>
        <v>9829951191</v>
      </c>
      <c r="V18" s="520"/>
      <c r="W18" s="520"/>
      <c r="X18" s="520"/>
      <c r="Y18" s="520"/>
      <c r="Z18" s="520"/>
      <c r="AA18" s="520"/>
      <c r="AB18" s="520"/>
      <c r="AC18" s="520"/>
      <c r="AD18" s="520"/>
      <c r="AE18" s="520"/>
      <c r="AF18" s="520"/>
      <c r="AG18" s="520"/>
      <c r="AH18" s="520"/>
      <c r="AI18" s="520"/>
      <c r="AJ18" s="520"/>
      <c r="AK18" s="520"/>
      <c r="AL18" s="520"/>
      <c r="AM18" s="520"/>
      <c r="AN18" s="520"/>
      <c r="AO18" s="520"/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>
        <f t="shared" si="8"/>
        <v>0</v>
      </c>
    </row>
    <row r="19" spans="3:54">
      <c r="C19" s="519" t="s">
        <v>866</v>
      </c>
      <c r="D19" s="528"/>
      <c r="F19" s="559">
        <f t="shared" si="7"/>
        <v>0</v>
      </c>
      <c r="G19" s="559"/>
      <c r="H19" s="520"/>
      <c r="I19" s="520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>
        <f>-'Supplementary CF 24'!F44</f>
        <v>0</v>
      </c>
      <c r="V19" s="520"/>
      <c r="W19" s="520"/>
      <c r="X19" s="520"/>
      <c r="Y19" s="520"/>
      <c r="Z19" s="520"/>
      <c r="AA19" s="520"/>
      <c r="AB19" s="520"/>
      <c r="AC19" s="520"/>
      <c r="AD19" s="520"/>
      <c r="AE19" s="520"/>
      <c r="AF19" s="520"/>
      <c r="AG19" s="520"/>
      <c r="AH19" s="520"/>
      <c r="AI19" s="520"/>
      <c r="AJ19" s="520"/>
      <c r="AK19" s="520"/>
      <c r="AL19" s="520"/>
      <c r="AM19" s="520"/>
      <c r="AN19" s="520"/>
      <c r="AO19" s="520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>
        <f t="shared" si="8"/>
        <v>0</v>
      </c>
    </row>
    <row r="20" spans="3:54">
      <c r="C20" s="519" t="s">
        <v>867</v>
      </c>
      <c r="D20" s="528"/>
      <c r="E20" s="520" t="s">
        <v>868</v>
      </c>
      <c r="F20" s="559">
        <f t="shared" si="7"/>
        <v>0</v>
      </c>
      <c r="G20" s="559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>
        <f>-'Supplementary CF 24'!F42</f>
        <v>0</v>
      </c>
      <c r="V20" s="520"/>
      <c r="W20" s="520"/>
      <c r="X20" s="520"/>
      <c r="Y20" s="520"/>
      <c r="Z20" s="520"/>
      <c r="AA20" s="520"/>
      <c r="AB20" s="520"/>
      <c r="AC20" s="520"/>
      <c r="AD20" s="520"/>
      <c r="AE20" s="520"/>
      <c r="AF20" s="520"/>
      <c r="AG20" s="520"/>
      <c r="AH20" s="520"/>
      <c r="AI20" s="520"/>
      <c r="AJ20" s="520"/>
      <c r="AK20" s="520"/>
      <c r="AL20" s="520"/>
      <c r="AM20" s="520"/>
      <c r="AN20" s="520"/>
      <c r="AO20" s="520">
        <f>'Supplementary CF 24'!F55</f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>
        <f t="shared" si="8"/>
        <v>0</v>
      </c>
    </row>
    <row r="21" spans="3:54">
      <c r="C21" s="519" t="s">
        <v>869</v>
      </c>
      <c r="D21" s="528"/>
      <c r="F21" s="559">
        <f t="shared" si="7"/>
        <v>8416579389</v>
      </c>
      <c r="G21" s="559"/>
      <c r="H21" s="520"/>
      <c r="I21" s="520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  <c r="U21" s="520"/>
      <c r="V21" s="520">
        <f>-'Supplementary CF 24'!M66</f>
        <v>8416579389.0023346</v>
      </c>
      <c r="W21" s="520"/>
      <c r="X21" s="520"/>
      <c r="Y21" s="520"/>
      <c r="Z21" s="520"/>
      <c r="AA21" s="520"/>
      <c r="AB21" s="520"/>
      <c r="AC21" s="520"/>
      <c r="AD21" s="520"/>
      <c r="AE21" s="520"/>
      <c r="AF21" s="520"/>
      <c r="AG21" s="520"/>
      <c r="AH21" s="520"/>
      <c r="AI21" s="520"/>
      <c r="AJ21" s="520"/>
      <c r="AK21" s="520"/>
      <c r="AL21" s="520"/>
      <c r="AM21" s="520"/>
      <c r="AN21" s="520"/>
      <c r="AO21" s="5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>
        <f t="shared" si="8"/>
        <v>-2.3345947265625E-3</v>
      </c>
    </row>
    <row r="22" spans="3:54">
      <c r="C22" s="519" t="s">
        <v>870</v>
      </c>
      <c r="D22" s="528"/>
      <c r="F22" s="559">
        <f t="shared" si="7"/>
        <v>0</v>
      </c>
      <c r="G22" s="559"/>
      <c r="H22" s="520"/>
      <c r="I22" s="520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  <c r="U22" s="520"/>
      <c r="V22" s="520">
        <f>-'Supplementary CF 24'!O67</f>
        <v>0</v>
      </c>
      <c r="W22" s="520"/>
      <c r="X22" s="520"/>
      <c r="Y22" s="520"/>
      <c r="Z22" s="520"/>
      <c r="AA22" s="520"/>
      <c r="AB22" s="520"/>
      <c r="AC22" s="520"/>
      <c r="AD22" s="520"/>
      <c r="AE22" s="520"/>
      <c r="AF22" s="520"/>
      <c r="AG22" s="520"/>
      <c r="AH22" s="520"/>
      <c r="AI22" s="520"/>
      <c r="AJ22" s="520"/>
      <c r="AK22" s="520"/>
      <c r="AL22" s="520"/>
      <c r="AM22" s="520"/>
      <c r="AN22" s="520"/>
      <c r="AO22" s="520"/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>
        <f t="shared" si="8"/>
        <v>0</v>
      </c>
    </row>
    <row r="23" spans="3:54">
      <c r="C23" s="519" t="s">
        <v>871</v>
      </c>
      <c r="D23" s="528"/>
      <c r="F23" s="559">
        <f t="shared" si="7"/>
        <v>0</v>
      </c>
      <c r="G23" s="559"/>
      <c r="H23" s="520"/>
      <c r="I23" s="520"/>
      <c r="J23" s="520"/>
      <c r="K23" s="520"/>
      <c r="L23" s="520"/>
      <c r="M23" s="520"/>
      <c r="N23" s="520"/>
      <c r="O23" s="520"/>
      <c r="P23" s="520"/>
      <c r="Q23" s="520"/>
      <c r="R23" s="520"/>
      <c r="S23" s="520">
        <f>-'Supplementary CF 24'!O23</f>
        <v>0</v>
      </c>
      <c r="T23" s="520"/>
      <c r="U23" s="520"/>
      <c r="V23" s="520"/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0"/>
      <c r="AH23" s="520"/>
      <c r="AI23" s="520"/>
      <c r="AJ23" s="520"/>
      <c r="AK23" s="520"/>
      <c r="AL23" s="520"/>
      <c r="AM23" s="520"/>
      <c r="AN23" s="520"/>
      <c r="AO23" s="5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>
        <f t="shared" si="8"/>
        <v>0</v>
      </c>
    </row>
    <row r="24" spans="3:54">
      <c r="C24" s="519" t="s">
        <v>872</v>
      </c>
      <c r="D24" s="528"/>
      <c r="F24" s="559">
        <f t="shared" si="7"/>
        <v>0</v>
      </c>
      <c r="G24" s="559"/>
      <c r="H24" s="520"/>
      <c r="I24" s="520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>
        <v>0</v>
      </c>
      <c r="AA24" s="520"/>
      <c r="AB24" s="520"/>
      <c r="AC24" s="520"/>
      <c r="AD24" s="520"/>
      <c r="AE24" s="520"/>
      <c r="AF24" s="520"/>
      <c r="AG24" s="520"/>
      <c r="AH24" s="520"/>
      <c r="AI24" s="520"/>
      <c r="AJ24" s="520"/>
      <c r="AK24" s="520"/>
      <c r="AL24" s="520"/>
      <c r="AM24" s="520"/>
      <c r="AN24" s="520"/>
      <c r="AO24" s="520"/>
      <c r="AP24" s="520">
        <f>-SUM('Supplementary CF 24'!O87:O88)</f>
        <v>0</v>
      </c>
      <c r="AQ24" s="520"/>
      <c r="AR24" s="520"/>
      <c r="AS24" s="520"/>
      <c r="AT24" s="520"/>
      <c r="AU24" s="520"/>
      <c r="AV24" s="520">
        <v>0</v>
      </c>
      <c r="AW24" s="520"/>
      <c r="AX24" s="520"/>
      <c r="AY24" s="520"/>
      <c r="AZ24" s="520"/>
      <c r="BA24" s="520">
        <f t="shared" si="8"/>
        <v>0</v>
      </c>
    </row>
    <row r="25" spans="3:54">
      <c r="C25" s="519" t="s">
        <v>873</v>
      </c>
      <c r="D25" s="528"/>
      <c r="F25" s="559">
        <f t="shared" si="7"/>
        <v>0</v>
      </c>
      <c r="G25" s="559"/>
      <c r="H25" s="520"/>
      <c r="I25" s="520">
        <f>ROUND(SUM('Supplementary CF 24'!O10:O11),0)</f>
        <v>0</v>
      </c>
      <c r="J25" s="520">
        <v>0</v>
      </c>
      <c r="K25" s="520"/>
      <c r="L25" s="520"/>
      <c r="M25" s="520"/>
      <c r="N25" s="520"/>
      <c r="O25" s="520"/>
      <c r="P25" s="520"/>
      <c r="Q25" s="520">
        <v>0</v>
      </c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0"/>
      <c r="AH25" s="520"/>
      <c r="AI25" s="520"/>
      <c r="AJ25" s="520"/>
      <c r="AK25" s="520"/>
      <c r="AL25" s="520"/>
      <c r="AM25" s="520"/>
      <c r="AN25" s="520"/>
      <c r="AO25" s="520"/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>
        <f t="shared" si="8"/>
        <v>0</v>
      </c>
    </row>
    <row r="26" spans="3:54">
      <c r="C26" s="519" t="s">
        <v>874</v>
      </c>
      <c r="D26" s="528"/>
      <c r="F26" s="559">
        <f t="shared" si="7"/>
        <v>0</v>
      </c>
      <c r="G26" s="559"/>
      <c r="H26" s="520"/>
      <c r="I26" s="520"/>
      <c r="J26" s="520"/>
      <c r="K26" s="520"/>
      <c r="L26" s="520"/>
      <c r="M26" s="520"/>
      <c r="N26" s="520"/>
      <c r="O26" s="520"/>
      <c r="P26" s="520"/>
      <c r="Q26" s="520"/>
      <c r="R26" s="520"/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0"/>
      <c r="AJ26" s="520"/>
      <c r="AK26" s="520"/>
      <c r="AL26" s="520"/>
      <c r="AM26" s="520"/>
      <c r="AN26" s="520"/>
      <c r="AO26" s="520"/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>
        <f t="shared" si="8"/>
        <v>0</v>
      </c>
      <c r="BB26" s="560"/>
    </row>
    <row r="27" spans="3:54">
      <c r="C27" s="519" t="s">
        <v>92</v>
      </c>
      <c r="D27" s="528"/>
      <c r="F27" s="559">
        <f t="shared" si="7"/>
        <v>0</v>
      </c>
      <c r="G27" s="559"/>
      <c r="H27" s="520"/>
      <c r="I27" s="520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0"/>
      <c r="AG27" s="520"/>
      <c r="AH27" s="520"/>
      <c r="AI27" s="520"/>
      <c r="AJ27" s="520"/>
      <c r="AK27" s="520"/>
      <c r="AL27" s="520"/>
      <c r="AM27" s="520"/>
      <c r="AN27" s="520"/>
      <c r="AO27" s="520"/>
      <c r="AP27" s="520"/>
      <c r="AQ27" s="520"/>
      <c r="AR27" s="520"/>
      <c r="AS27" s="520"/>
      <c r="AT27" s="520"/>
      <c r="AU27" s="520">
        <f>-AU10</f>
        <v>0</v>
      </c>
      <c r="AV27" s="520">
        <v>0</v>
      </c>
      <c r="AW27" s="520"/>
      <c r="AX27" s="520"/>
      <c r="AY27" s="520"/>
      <c r="AZ27" s="520"/>
      <c r="BA27" s="520">
        <f t="shared" si="8"/>
        <v>0</v>
      </c>
    </row>
    <row r="28" spans="3:54">
      <c r="C28" s="519" t="s">
        <v>875</v>
      </c>
      <c r="D28" s="528"/>
      <c r="F28" s="559">
        <f t="shared" si="7"/>
        <v>0</v>
      </c>
      <c r="G28" s="559"/>
      <c r="H28" s="520"/>
      <c r="I28" s="520"/>
      <c r="J28" s="520"/>
      <c r="K28" s="520"/>
      <c r="L28" s="520"/>
      <c r="M28" s="520"/>
      <c r="N28" s="520"/>
      <c r="O28" s="520"/>
      <c r="P28" s="520"/>
      <c r="Q28" s="520">
        <v>0</v>
      </c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20"/>
      <c r="AF28" s="520"/>
      <c r="AG28" s="520"/>
      <c r="AH28" s="520"/>
      <c r="AI28" s="520"/>
      <c r="AJ28" s="520"/>
      <c r="AK28" s="520"/>
      <c r="AL28" s="520"/>
      <c r="AM28" s="520"/>
      <c r="AN28" s="520"/>
      <c r="AO28" s="520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>
        <f t="shared" si="8"/>
        <v>0</v>
      </c>
    </row>
    <row r="29" spans="3:54" ht="12.65" customHeight="1">
      <c r="C29" s="519" t="s">
        <v>876</v>
      </c>
      <c r="D29" s="528"/>
      <c r="F29" s="559">
        <f t="shared" si="7"/>
        <v>0</v>
      </c>
      <c r="G29" s="559"/>
      <c r="H29" s="520"/>
      <c r="I29" s="520"/>
      <c r="J29" s="520"/>
      <c r="K29" s="520"/>
      <c r="L29" s="520"/>
      <c r="M29" s="520"/>
      <c r="N29" s="520"/>
      <c r="O29" s="520"/>
      <c r="P29" s="520"/>
      <c r="Q29" s="520"/>
      <c r="R29" s="520"/>
      <c r="S29" s="520"/>
      <c r="T29" s="520"/>
      <c r="U29" s="520"/>
      <c r="V29" s="520"/>
      <c r="W29" s="520"/>
      <c r="X29" s="520"/>
      <c r="Y29" s="520"/>
      <c r="Z29" s="520"/>
      <c r="AA29" s="520"/>
      <c r="AB29" s="520"/>
      <c r="AC29" s="520"/>
      <c r="AD29" s="520"/>
      <c r="AE29" s="520"/>
      <c r="AF29" s="520"/>
      <c r="AG29" s="520"/>
      <c r="AH29" s="520"/>
      <c r="AI29" s="520"/>
      <c r="AJ29" s="520"/>
      <c r="AK29" s="520"/>
      <c r="AL29" s="520"/>
      <c r="AM29" s="520"/>
      <c r="AN29" s="520"/>
      <c r="AO29" s="520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>
        <f t="shared" si="8"/>
        <v>0</v>
      </c>
    </row>
    <row r="30" spans="3:54" ht="12.65" customHeight="1">
      <c r="C30" s="519" t="s">
        <v>877</v>
      </c>
      <c r="D30" s="528"/>
      <c r="F30" s="559">
        <f t="shared" si="7"/>
        <v>9784551649</v>
      </c>
      <c r="G30" s="559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0"/>
      <c r="AH30" s="520"/>
      <c r="AI30" s="520"/>
      <c r="AJ30" s="520"/>
      <c r="AK30" s="520"/>
      <c r="AL30" s="520"/>
      <c r="AM30" s="520"/>
      <c r="AN30" s="520"/>
      <c r="AO30" s="520">
        <f>'Supplementary CF 24'!M53</f>
        <v>9784551648.7634449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>
        <f t="shared" si="8"/>
        <v>0.23655509948730469</v>
      </c>
    </row>
    <row r="31" spans="3:54">
      <c r="D31" s="528"/>
      <c r="F31" s="561"/>
      <c r="G31" s="562"/>
      <c r="H31" s="520"/>
      <c r="I31" s="520"/>
      <c r="J31" s="520"/>
      <c r="K31" s="520"/>
      <c r="L31" s="520"/>
      <c r="M31" s="520"/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  <c r="Y31" s="520"/>
      <c r="Z31" s="520"/>
      <c r="AA31" s="520"/>
      <c r="AB31" s="520"/>
      <c r="AC31" s="520"/>
      <c r="AD31" s="520"/>
      <c r="AE31" s="520"/>
      <c r="AF31" s="520"/>
      <c r="AG31" s="520"/>
      <c r="AH31" s="520"/>
      <c r="AI31" s="520"/>
      <c r="AJ31" s="520"/>
      <c r="AK31" s="520"/>
      <c r="AL31" s="520"/>
      <c r="AM31" s="520"/>
      <c r="AN31" s="520"/>
      <c r="AO31" s="520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>
        <f t="shared" si="8"/>
        <v>0</v>
      </c>
    </row>
    <row r="32" spans="3:54">
      <c r="D32" s="528"/>
      <c r="F32" s="557">
        <f>SUM(F13:F31)</f>
        <v>-474845083405</v>
      </c>
      <c r="G32" s="557"/>
      <c r="H32" s="520"/>
      <c r="I32" s="520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  <c r="Y32" s="520"/>
      <c r="Z32" s="520"/>
      <c r="AA32" s="520"/>
      <c r="AB32" s="520"/>
      <c r="AC32" s="520"/>
      <c r="AD32" s="520"/>
      <c r="AE32" s="520"/>
      <c r="AF32" s="520"/>
      <c r="AG32" s="520"/>
      <c r="AH32" s="520"/>
      <c r="AI32" s="520"/>
      <c r="AJ32" s="520"/>
      <c r="AK32" s="520"/>
      <c r="AL32" s="520"/>
      <c r="AM32" s="520"/>
      <c r="AN32" s="520"/>
      <c r="AO32" s="52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>
        <v>0</v>
      </c>
    </row>
    <row r="33" spans="2:53">
      <c r="B33" s="519" t="s">
        <v>878</v>
      </c>
      <c r="D33" s="528"/>
      <c r="F33" s="559"/>
      <c r="G33" s="559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0"/>
      <c r="AH33" s="520"/>
      <c r="AI33" s="520"/>
      <c r="AJ33" s="520"/>
      <c r="AK33" s="520"/>
      <c r="AL33" s="520"/>
      <c r="AM33" s="520"/>
      <c r="AN33" s="520"/>
      <c r="AO33" s="520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>
        <f t="shared" ref="BA33:BA44" si="9">F33-SUM(H33:AZ33)</f>
        <v>0</v>
      </c>
    </row>
    <row r="34" spans="2:53">
      <c r="C34" s="519" t="s">
        <v>827</v>
      </c>
      <c r="D34" s="528"/>
      <c r="F34" s="559">
        <f t="shared" ref="F34:F43" si="10">ROUND(SUM(H34:AZ34),0)</f>
        <v>78588308516</v>
      </c>
      <c r="G34" s="559"/>
      <c r="H34" s="520"/>
      <c r="I34" s="520">
        <f>-I10-I25</f>
        <v>78588308516</v>
      </c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  <c r="Y34" s="520"/>
      <c r="Z34" s="520"/>
      <c r="AA34" s="520"/>
      <c r="AB34" s="520"/>
      <c r="AC34" s="520"/>
      <c r="AD34" s="520"/>
      <c r="AE34" s="520"/>
      <c r="AF34" s="520"/>
      <c r="AG34" s="520"/>
      <c r="AH34" s="520"/>
      <c r="AI34" s="520"/>
      <c r="AJ34" s="520"/>
      <c r="AK34" s="520"/>
      <c r="AL34" s="520"/>
      <c r="AM34" s="520"/>
      <c r="AN34" s="520"/>
      <c r="AO34" s="520"/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>
        <f t="shared" si="9"/>
        <v>0</v>
      </c>
    </row>
    <row r="35" spans="2:53">
      <c r="C35" s="519" t="s">
        <v>879</v>
      </c>
      <c r="D35" s="528"/>
      <c r="F35" s="559">
        <f t="shared" si="10"/>
        <v>-21337108766</v>
      </c>
      <c r="G35" s="559"/>
      <c r="H35" s="520"/>
      <c r="I35" s="520"/>
      <c r="J35" s="520"/>
      <c r="K35" s="520"/>
      <c r="L35" s="520">
        <f>-L10-L59</f>
        <v>-21505128661</v>
      </c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>
        <f>-W10</f>
        <v>168019899</v>
      </c>
      <c r="X35" s="520"/>
      <c r="Y35" s="520"/>
      <c r="Z35" s="520">
        <v>-4</v>
      </c>
      <c r="AA35" s="520"/>
      <c r="AB35" s="520"/>
      <c r="AC35" s="520"/>
      <c r="AD35" s="520"/>
      <c r="AE35" s="520"/>
      <c r="AF35" s="520"/>
      <c r="AG35" s="520"/>
      <c r="AH35" s="520"/>
      <c r="AI35" s="520"/>
      <c r="AJ35" s="520"/>
      <c r="AK35" s="520"/>
      <c r="AL35" s="520"/>
      <c r="AM35" s="520"/>
      <c r="AN35" s="520"/>
      <c r="AO35" s="520"/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>
        <f t="shared" si="9"/>
        <v>0</v>
      </c>
    </row>
    <row r="36" spans="2:53">
      <c r="C36" s="519" t="s">
        <v>839</v>
      </c>
      <c r="D36" s="528"/>
      <c r="F36" s="559">
        <f t="shared" si="10"/>
        <v>23951297446</v>
      </c>
      <c r="G36" s="559"/>
      <c r="H36" s="520"/>
      <c r="I36" s="520"/>
      <c r="J36" s="520"/>
      <c r="K36" s="520"/>
      <c r="L36" s="520"/>
      <c r="M36" s="520">
        <f>-M10</f>
        <v>1502193571</v>
      </c>
      <c r="N36" s="520"/>
      <c r="O36" s="520"/>
      <c r="P36" s="520">
        <f>-P10</f>
        <v>22449103875</v>
      </c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520"/>
      <c r="AF36" s="520"/>
      <c r="AG36" s="520"/>
      <c r="AH36" s="520"/>
      <c r="AI36" s="520"/>
      <c r="AJ36" s="520"/>
      <c r="AK36" s="520"/>
      <c r="AL36" s="520"/>
      <c r="AM36" s="520"/>
      <c r="AN36" s="520"/>
      <c r="AO36" s="520"/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>
        <f t="shared" si="9"/>
        <v>0</v>
      </c>
    </row>
    <row r="37" spans="2:53">
      <c r="C37" s="519" t="s">
        <v>163</v>
      </c>
      <c r="D37" s="528"/>
      <c r="F37" s="559">
        <f t="shared" si="10"/>
        <v>-71899046711</v>
      </c>
      <c r="G37" s="559"/>
      <c r="H37" s="520"/>
      <c r="I37" s="520"/>
      <c r="J37" s="520"/>
      <c r="K37" s="520"/>
      <c r="L37" s="520"/>
      <c r="M37" s="520"/>
      <c r="N37" s="520"/>
      <c r="O37" s="520"/>
      <c r="P37" s="520"/>
      <c r="Q37" s="520"/>
      <c r="R37" s="520"/>
      <c r="S37" s="520"/>
      <c r="T37" s="520"/>
      <c r="U37" s="520"/>
      <c r="V37" s="520"/>
      <c r="W37" s="520"/>
      <c r="X37" s="520">
        <f>-X10</f>
        <v>-71899046711</v>
      </c>
      <c r="Y37" s="520"/>
      <c r="Z37" s="520"/>
      <c r="AA37" s="520"/>
      <c r="AB37" s="520"/>
      <c r="AC37" s="520"/>
      <c r="AD37" s="520"/>
      <c r="AE37" s="520"/>
      <c r="AF37" s="520"/>
      <c r="AG37" s="520"/>
      <c r="AH37" s="520"/>
      <c r="AI37" s="520"/>
      <c r="AJ37" s="520"/>
      <c r="AK37" s="520"/>
      <c r="AL37" s="520"/>
      <c r="AM37" s="520"/>
      <c r="AN37" s="520"/>
      <c r="AO37" s="520"/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>
        <f t="shared" si="9"/>
        <v>0</v>
      </c>
    </row>
    <row r="38" spans="2:53">
      <c r="C38" s="519" t="s">
        <v>880</v>
      </c>
      <c r="D38" s="528"/>
      <c r="F38" s="559">
        <f t="shared" si="10"/>
        <v>42709326002</v>
      </c>
      <c r="G38" s="559"/>
      <c r="H38" s="520"/>
      <c r="I38" s="520"/>
      <c r="J38" s="520"/>
      <c r="K38" s="520"/>
      <c r="L38" s="520"/>
      <c r="M38" s="520"/>
      <c r="N38" s="520"/>
      <c r="O38" s="520"/>
      <c r="P38" s="520"/>
      <c r="Q38" s="520"/>
      <c r="R38" s="520"/>
      <c r="S38" s="520">
        <f>-'Supplementary CF 24'!O32</f>
        <v>0</v>
      </c>
      <c r="T38" s="520"/>
      <c r="U38" s="520"/>
      <c r="V38" s="520"/>
      <c r="W38" s="520"/>
      <c r="X38" s="520">
        <v>0</v>
      </c>
      <c r="Y38" s="520"/>
      <c r="Z38" s="520"/>
      <c r="AA38" s="520"/>
      <c r="AB38" s="520"/>
      <c r="AC38" s="520">
        <f>-AC10-AC57</f>
        <v>42709326002</v>
      </c>
      <c r="AD38" s="520"/>
      <c r="AE38" s="520"/>
      <c r="AF38" s="520"/>
      <c r="AG38" s="520"/>
      <c r="AH38" s="520"/>
      <c r="AI38" s="520"/>
      <c r="AJ38" s="520"/>
      <c r="AK38" s="520"/>
      <c r="AL38" s="520"/>
      <c r="AM38" s="520"/>
      <c r="AN38" s="520"/>
      <c r="AO38" s="520"/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>
        <f t="shared" si="9"/>
        <v>0</v>
      </c>
    </row>
    <row r="39" spans="2:53">
      <c r="C39" s="519" t="s">
        <v>881</v>
      </c>
      <c r="D39" s="528"/>
      <c r="F39" s="559">
        <f t="shared" si="10"/>
        <v>-2400612242</v>
      </c>
      <c r="G39" s="559"/>
      <c r="H39" s="520"/>
      <c r="I39" s="520"/>
      <c r="J39" s="520"/>
      <c r="K39" s="520"/>
      <c r="L39" s="520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  <c r="Y39" s="520"/>
      <c r="Z39" s="520"/>
      <c r="AA39" s="520"/>
      <c r="AB39" s="520"/>
      <c r="AC39" s="520"/>
      <c r="AD39" s="520"/>
      <c r="AE39" s="520">
        <f>-AE10</f>
        <v>-2400612242</v>
      </c>
      <c r="AF39" s="520"/>
      <c r="AG39" s="520"/>
      <c r="AH39" s="520"/>
      <c r="AI39" s="520"/>
      <c r="AJ39" s="520"/>
      <c r="AK39" s="520"/>
      <c r="AL39" s="520"/>
      <c r="AM39" s="520"/>
      <c r="AN39" s="520"/>
      <c r="AO39" s="520"/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>
        <f t="shared" si="9"/>
        <v>0</v>
      </c>
    </row>
    <row r="40" spans="2:53">
      <c r="C40" s="519" t="s">
        <v>73</v>
      </c>
      <c r="D40" s="528"/>
      <c r="F40" s="559">
        <f t="shared" ref="F40" si="11">ROUND(SUM(H40:AZ40),0)</f>
        <v>22024685439</v>
      </c>
      <c r="G40" s="559"/>
      <c r="H40" s="520"/>
      <c r="I40" s="520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>
        <f>-AE11</f>
        <v>0</v>
      </c>
      <c r="AF40" s="520"/>
      <c r="AG40" s="520"/>
      <c r="AH40" s="520"/>
      <c r="AI40" s="520"/>
      <c r="AJ40" s="520"/>
      <c r="AK40" s="520">
        <f>-AK10</f>
        <v>22024685439</v>
      </c>
      <c r="AL40" s="520"/>
      <c r="AM40" s="520"/>
      <c r="AN40" s="520"/>
      <c r="AO40" s="520"/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>
        <f t="shared" si="9"/>
        <v>0</v>
      </c>
    </row>
    <row r="41" spans="2:53">
      <c r="C41" s="519" t="s">
        <v>882</v>
      </c>
      <c r="D41" s="521"/>
      <c r="F41" s="559">
        <f t="shared" si="10"/>
        <v>-31370782529</v>
      </c>
      <c r="G41" s="559"/>
      <c r="H41" s="520"/>
      <c r="I41" s="520"/>
      <c r="J41" s="520"/>
      <c r="K41" s="520"/>
      <c r="L41" s="520"/>
      <c r="M41" s="520"/>
      <c r="N41" s="520"/>
      <c r="O41" s="520"/>
      <c r="P41" s="520"/>
      <c r="Q41" s="520"/>
      <c r="R41" s="520"/>
      <c r="S41" s="520"/>
      <c r="T41" s="520"/>
      <c r="U41" s="520"/>
      <c r="V41" s="520"/>
      <c r="W41" s="520"/>
      <c r="X41" s="520"/>
      <c r="Y41" s="520"/>
      <c r="Z41" s="520"/>
      <c r="AA41" s="520"/>
      <c r="AB41" s="520"/>
      <c r="AC41" s="520"/>
      <c r="AD41" s="520"/>
      <c r="AE41" s="520"/>
      <c r="AF41" s="520"/>
      <c r="AG41" s="520"/>
      <c r="AH41" s="520"/>
      <c r="AI41" s="520"/>
      <c r="AJ41" s="520">
        <f>-AJ10</f>
        <v>-31370782529</v>
      </c>
      <c r="AK41" s="520"/>
      <c r="AL41" s="520"/>
      <c r="AM41" s="520"/>
      <c r="AN41" s="520"/>
      <c r="AO41" s="520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>
        <f t="shared" si="9"/>
        <v>0</v>
      </c>
    </row>
    <row r="42" spans="2:53">
      <c r="C42" s="519" t="s">
        <v>883</v>
      </c>
      <c r="D42" s="521"/>
      <c r="F42" s="559">
        <f t="shared" si="10"/>
        <v>-5133042690</v>
      </c>
      <c r="G42" s="559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0"/>
      <c r="T42" s="520"/>
      <c r="U42" s="520"/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>
        <f>-AI10-AI13</f>
        <v>-5133042690</v>
      </c>
      <c r="AJ42" s="520"/>
      <c r="AK42" s="520"/>
      <c r="AL42" s="520"/>
      <c r="AM42" s="520"/>
      <c r="AN42" s="520"/>
      <c r="AO42" s="520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>
        <f t="shared" si="9"/>
        <v>0</v>
      </c>
    </row>
    <row r="43" spans="2:53">
      <c r="C43" s="519" t="s">
        <v>83</v>
      </c>
      <c r="D43" s="521"/>
      <c r="F43" s="559">
        <f t="shared" si="10"/>
        <v>1248251020</v>
      </c>
      <c r="G43" s="559"/>
      <c r="H43" s="520"/>
      <c r="I43" s="520"/>
      <c r="J43" s="520"/>
      <c r="K43" s="520"/>
      <c r="L43" s="520"/>
      <c r="M43" s="520"/>
      <c r="N43" s="520"/>
      <c r="O43" s="520"/>
      <c r="P43" s="520"/>
      <c r="Q43" s="520"/>
      <c r="R43" s="520"/>
      <c r="S43" s="520"/>
      <c r="T43" s="520"/>
      <c r="U43" s="520"/>
      <c r="V43" s="520"/>
      <c r="W43" s="520"/>
      <c r="X43" s="520"/>
      <c r="Y43" s="520"/>
      <c r="Z43" s="520"/>
      <c r="AA43" s="520"/>
      <c r="AB43" s="520"/>
      <c r="AC43" s="520"/>
      <c r="AD43" s="520">
        <f>-AD10</f>
        <v>1248251020</v>
      </c>
      <c r="AE43" s="520"/>
      <c r="AF43" s="520"/>
      <c r="AG43" s="520"/>
      <c r="AH43" s="520"/>
      <c r="AI43" s="520"/>
      <c r="AJ43" s="520"/>
      <c r="AK43" s="520"/>
      <c r="AL43" s="520"/>
      <c r="AM43" s="520"/>
      <c r="AN43" s="520"/>
      <c r="AO43" s="520"/>
      <c r="AP43" s="520"/>
      <c r="AQ43" s="520"/>
      <c r="AR43" s="520">
        <f>-AR10</f>
        <v>0</v>
      </c>
      <c r="AS43" s="520"/>
      <c r="AT43" s="520"/>
      <c r="AU43" s="520"/>
      <c r="AV43" s="520"/>
      <c r="AW43" s="520"/>
      <c r="AX43" s="520"/>
      <c r="AY43" s="520"/>
      <c r="AZ43" s="520"/>
      <c r="BA43" s="520">
        <f t="shared" si="9"/>
        <v>0</v>
      </c>
    </row>
    <row r="44" spans="2:53">
      <c r="D44" s="521"/>
      <c r="F44" s="559"/>
      <c r="G44" s="559"/>
      <c r="H44" s="520"/>
      <c r="I44" s="520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  <c r="Y44" s="520"/>
      <c r="Z44" s="520"/>
      <c r="AA44" s="520"/>
      <c r="AB44" s="520"/>
      <c r="AC44" s="520"/>
      <c r="AD44" s="520"/>
      <c r="AE44" s="520"/>
      <c r="AF44" s="520"/>
      <c r="AG44" s="520"/>
      <c r="AH44" s="520"/>
      <c r="AI44" s="520"/>
      <c r="AJ44" s="520"/>
      <c r="AK44" s="520"/>
      <c r="AL44" s="520"/>
      <c r="AM44" s="520"/>
      <c r="AN44" s="520"/>
      <c r="AO44" s="520"/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>
        <f t="shared" si="9"/>
        <v>0</v>
      </c>
    </row>
    <row r="45" spans="2:53">
      <c r="D45" s="521"/>
      <c r="F45" s="564">
        <f>SUM(F32:F44)</f>
        <v>-438463807920</v>
      </c>
      <c r="G45" s="565"/>
      <c r="H45" s="520"/>
      <c r="I45" s="520"/>
      <c r="J45" s="520"/>
      <c r="K45" s="520"/>
      <c r="L45" s="520"/>
      <c r="M45" s="520"/>
      <c r="N45" s="520"/>
      <c r="O45" s="520"/>
      <c r="P45" s="520"/>
      <c r="Q45" s="520"/>
      <c r="R45" s="520"/>
      <c r="S45" s="520"/>
      <c r="T45" s="520"/>
      <c r="U45" s="520"/>
      <c r="V45" s="520"/>
      <c r="W45" s="520"/>
      <c r="X45" s="520"/>
      <c r="Y45" s="520"/>
      <c r="Z45" s="520"/>
      <c r="AA45" s="520"/>
      <c r="AB45" s="520"/>
      <c r="AC45" s="520"/>
      <c r="AD45" s="520"/>
      <c r="AE45" s="520"/>
      <c r="AF45" s="520"/>
      <c r="AG45" s="520"/>
      <c r="AH45" s="520"/>
      <c r="AI45" s="520"/>
      <c r="AJ45" s="520"/>
      <c r="AK45" s="520"/>
      <c r="AL45" s="520"/>
      <c r="AM45" s="520"/>
      <c r="AN45" s="520"/>
      <c r="AO45" s="520"/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</row>
    <row r="46" spans="2:53">
      <c r="D46" s="521"/>
      <c r="F46" s="559">
        <v>0</v>
      </c>
      <c r="G46" s="559"/>
      <c r="H46" s="520"/>
      <c r="I46" s="520"/>
      <c r="J46" s="520"/>
      <c r="K46" s="520"/>
      <c r="L46" s="520"/>
      <c r="M46" s="520"/>
      <c r="N46" s="520"/>
      <c r="O46" s="520"/>
      <c r="P46" s="520"/>
      <c r="Q46" s="520"/>
      <c r="R46" s="520"/>
      <c r="S46" s="520"/>
      <c r="T46" s="520"/>
      <c r="U46" s="520"/>
      <c r="V46" s="520"/>
      <c r="W46" s="520"/>
      <c r="X46" s="520"/>
      <c r="Y46" s="520"/>
      <c r="Z46" s="520"/>
      <c r="AA46" s="520"/>
      <c r="AB46" s="520"/>
      <c r="AC46" s="520"/>
      <c r="AD46" s="520"/>
      <c r="AE46" s="520"/>
      <c r="AF46" s="520"/>
      <c r="AG46" s="520"/>
      <c r="AH46" s="520"/>
      <c r="AI46" s="520"/>
      <c r="AJ46" s="520"/>
      <c r="AK46" s="520"/>
      <c r="AL46" s="520"/>
      <c r="AM46" s="520"/>
      <c r="AN46" s="520"/>
      <c r="AO46" s="520"/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</row>
    <row r="47" spans="2:53">
      <c r="B47" s="519" t="s">
        <v>884</v>
      </c>
      <c r="D47" s="521"/>
      <c r="F47" s="559">
        <f t="shared" ref="F47:F51" si="12">ROUND(SUM(H47:AZ47),0)</f>
        <v>0</v>
      </c>
      <c r="G47" s="559"/>
      <c r="H47" s="520"/>
      <c r="I47" s="520"/>
      <c r="J47" s="520"/>
      <c r="K47" s="520"/>
      <c r="L47" s="520"/>
      <c r="M47" s="520"/>
      <c r="N47" s="520"/>
      <c r="O47" s="520"/>
      <c r="P47" s="520"/>
      <c r="Q47" s="520"/>
      <c r="R47" s="520"/>
      <c r="S47" s="520"/>
      <c r="T47" s="520"/>
      <c r="U47" s="520"/>
      <c r="V47" s="520"/>
      <c r="W47" s="520"/>
      <c r="X47" s="520"/>
      <c r="Y47" s="520"/>
      <c r="Z47" s="520"/>
      <c r="AA47" s="520"/>
      <c r="AB47" s="520"/>
      <c r="AC47" s="520"/>
      <c r="AD47" s="520"/>
      <c r="AE47" s="520"/>
      <c r="AF47" s="520"/>
      <c r="AG47" s="520"/>
      <c r="AH47" s="520"/>
      <c r="AI47" s="520"/>
      <c r="AJ47" s="520"/>
      <c r="AK47" s="520"/>
      <c r="AL47" s="520"/>
      <c r="AM47" s="520"/>
      <c r="AN47" s="520"/>
      <c r="AO47" s="520"/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>
        <f>F47-SUM(H47:AZ47)</f>
        <v>0</v>
      </c>
    </row>
    <row r="48" spans="2:53">
      <c r="B48" s="519" t="s">
        <v>885</v>
      </c>
      <c r="D48" s="521"/>
      <c r="F48" s="559">
        <f t="shared" si="12"/>
        <v>12768739780</v>
      </c>
      <c r="G48" s="559"/>
      <c r="H48" s="520"/>
      <c r="I48" s="520"/>
      <c r="J48" s="520">
        <f>-J10</f>
        <v>10612562590</v>
      </c>
      <c r="K48" s="520"/>
      <c r="L48" s="520"/>
      <c r="M48" s="520"/>
      <c r="N48" s="520"/>
      <c r="O48" s="520">
        <v>0</v>
      </c>
      <c r="P48" s="520">
        <v>0</v>
      </c>
      <c r="Q48" s="520"/>
      <c r="R48" s="520">
        <f>-R10</f>
        <v>2156177190</v>
      </c>
      <c r="S48" s="520"/>
      <c r="T48" s="520"/>
      <c r="U48" s="520"/>
      <c r="V48" s="520"/>
      <c r="W48" s="520"/>
      <c r="X48" s="520"/>
      <c r="Y48" s="520"/>
      <c r="Z48" s="520"/>
      <c r="AA48" s="520"/>
      <c r="AB48" s="520"/>
      <c r="AC48" s="520"/>
      <c r="AD48" s="520"/>
      <c r="AE48" s="520"/>
      <c r="AF48" s="520"/>
      <c r="AG48" s="520"/>
      <c r="AH48" s="520"/>
      <c r="AI48" s="520">
        <v>0</v>
      </c>
      <c r="AJ48" s="520"/>
      <c r="AK48" s="520"/>
      <c r="AL48" s="520"/>
      <c r="AM48" s="520"/>
      <c r="AN48" s="520"/>
      <c r="AO48" s="520"/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>
        <f>F48-SUM(H48:AZ48)</f>
        <v>0</v>
      </c>
    </row>
    <row r="49" spans="1:53">
      <c r="B49" s="519" t="s">
        <v>886</v>
      </c>
      <c r="D49" s="521"/>
      <c r="F49" s="559">
        <f t="shared" si="12"/>
        <v>-3643487043</v>
      </c>
      <c r="G49" s="559"/>
      <c r="H49" s="520"/>
      <c r="I49" s="520"/>
      <c r="J49" s="520"/>
      <c r="K49" s="520"/>
      <c r="L49" s="520"/>
      <c r="M49" s="520"/>
      <c r="N49" s="520"/>
      <c r="O49" s="520">
        <f>-O10</f>
        <v>-3643487043</v>
      </c>
      <c r="P49" s="520"/>
      <c r="Q49" s="520"/>
      <c r="R49" s="520"/>
      <c r="S49" s="520"/>
      <c r="T49" s="520"/>
      <c r="U49" s="520"/>
      <c r="V49" s="520"/>
      <c r="W49" s="520"/>
      <c r="X49" s="520"/>
      <c r="Y49" s="520"/>
      <c r="Z49" s="520"/>
      <c r="AA49" s="520"/>
      <c r="AB49" s="520"/>
      <c r="AC49" s="520"/>
      <c r="AD49" s="520"/>
      <c r="AE49" s="520"/>
      <c r="AF49" s="520"/>
      <c r="AG49" s="520"/>
      <c r="AH49" s="520"/>
      <c r="AI49" s="520">
        <v>0</v>
      </c>
      <c r="AJ49" s="520"/>
      <c r="AK49" s="520"/>
      <c r="AL49" s="520"/>
      <c r="AM49" s="520"/>
      <c r="AN49" s="520"/>
      <c r="AO49" s="520"/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>
        <f>F49-SUM(H49:AZ49)</f>
        <v>0</v>
      </c>
    </row>
    <row r="50" spans="1:53">
      <c r="B50" s="519" t="s">
        <v>887</v>
      </c>
      <c r="D50" s="521"/>
      <c r="F50" s="559">
        <f t="shared" si="12"/>
        <v>0</v>
      </c>
      <c r="G50" s="559"/>
      <c r="H50" s="520"/>
      <c r="I50" s="520"/>
      <c r="J50" s="520"/>
      <c r="K50" s="520"/>
      <c r="L50" s="520"/>
      <c r="M50" s="520"/>
      <c r="N50" s="520"/>
      <c r="O50" s="520"/>
      <c r="P50" s="520"/>
      <c r="Q50" s="520"/>
      <c r="R50" s="520"/>
      <c r="S50" s="520"/>
      <c r="T50" s="520"/>
      <c r="U50" s="520"/>
      <c r="V50" s="520"/>
      <c r="W50" s="520"/>
      <c r="X50" s="520"/>
      <c r="Y50" s="520"/>
      <c r="Z50" s="520"/>
      <c r="AA50" s="520"/>
      <c r="AB50" s="520"/>
      <c r="AC50" s="520"/>
      <c r="AD50" s="520"/>
      <c r="AE50" s="520"/>
      <c r="AF50" s="520"/>
      <c r="AG50" s="520"/>
      <c r="AH50" s="520"/>
      <c r="AI50" s="520"/>
      <c r="AJ50" s="520"/>
      <c r="AK50" s="520"/>
      <c r="AL50" s="520"/>
      <c r="AM50" s="520"/>
      <c r="AN50" s="520"/>
      <c r="AO50" s="520"/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>
        <f>F50-SUM(H50:AZ50)</f>
        <v>0</v>
      </c>
    </row>
    <row r="51" spans="1:53">
      <c r="B51" s="519" t="s">
        <v>888</v>
      </c>
      <c r="D51" s="521"/>
      <c r="F51" s="559">
        <f t="shared" si="12"/>
        <v>0</v>
      </c>
      <c r="G51" s="559"/>
      <c r="H51" s="520"/>
      <c r="I51" s="520"/>
      <c r="J51" s="520"/>
      <c r="K51" s="520"/>
      <c r="L51" s="520"/>
      <c r="M51" s="520"/>
      <c r="N51" s="520"/>
      <c r="O51" s="520"/>
      <c r="P51" s="520"/>
      <c r="Q51" s="520"/>
      <c r="R51" s="520"/>
      <c r="S51" s="520"/>
      <c r="T51" s="520"/>
      <c r="U51" s="520"/>
      <c r="V51" s="520"/>
      <c r="W51" s="520"/>
      <c r="X51" s="520"/>
      <c r="Y51" s="520"/>
      <c r="Z51" s="520"/>
      <c r="AA51" s="520"/>
      <c r="AB51" s="520"/>
      <c r="AC51" s="520"/>
      <c r="AD51" s="520"/>
      <c r="AE51" s="520"/>
      <c r="AF51" s="520"/>
      <c r="AG51" s="520"/>
      <c r="AH51" s="520"/>
      <c r="AI51" s="520"/>
      <c r="AJ51" s="520"/>
      <c r="AK51" s="520"/>
      <c r="AL51" s="520"/>
      <c r="AM51" s="520"/>
      <c r="AN51" s="520"/>
      <c r="AO51" s="520"/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>
        <f>F51-SUM(H51:AZ51)</f>
        <v>0</v>
      </c>
    </row>
    <row r="52" spans="1:53">
      <c r="D52" s="521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/>
      <c r="U52" s="520"/>
      <c r="V52" s="520"/>
      <c r="W52" s="520"/>
      <c r="X52" s="520"/>
      <c r="Y52" s="520"/>
      <c r="Z52" s="520"/>
      <c r="AA52" s="520"/>
      <c r="AB52" s="520"/>
      <c r="AC52" s="520"/>
      <c r="AD52" s="520"/>
      <c r="AE52" s="520"/>
      <c r="AF52" s="520"/>
      <c r="AG52" s="520"/>
      <c r="AH52" s="520"/>
      <c r="AI52" s="520"/>
      <c r="AJ52" s="520"/>
      <c r="AK52" s="520"/>
      <c r="AL52" s="520"/>
      <c r="AM52" s="520"/>
      <c r="AN52" s="520"/>
      <c r="AO52" s="520"/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</row>
    <row r="53" spans="1:53" s="518" customFormat="1">
      <c r="B53" s="518" t="s">
        <v>889</v>
      </c>
      <c r="D53" s="566"/>
      <c r="E53" s="567"/>
      <c r="F53" s="567">
        <f>SUM(F45:F52)</f>
        <v>-429338555183</v>
      </c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</row>
    <row r="54" spans="1:53">
      <c r="D54" s="521"/>
      <c r="F54" s="520"/>
      <c r="G54" s="520"/>
      <c r="H54" s="520"/>
      <c r="I54" s="520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T54" s="520"/>
      <c r="U54" s="520"/>
      <c r="V54" s="520"/>
      <c r="W54" s="520"/>
      <c r="X54" s="520"/>
      <c r="Y54" s="520"/>
      <c r="Z54" s="520"/>
      <c r="AA54" s="520"/>
      <c r="AB54" s="520"/>
      <c r="AC54" s="520"/>
      <c r="AD54" s="520"/>
      <c r="AE54" s="520"/>
      <c r="AF54" s="520"/>
      <c r="AG54" s="520"/>
      <c r="AH54" s="520"/>
      <c r="AI54" s="520"/>
      <c r="AJ54" s="520"/>
      <c r="AK54" s="520"/>
      <c r="AL54" s="520"/>
      <c r="AM54" s="520"/>
      <c r="AN54" s="520"/>
      <c r="AO54" s="520"/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</row>
    <row r="55" spans="1:53" ht="13.5" customHeight="1">
      <c r="A55" s="527" t="s">
        <v>890</v>
      </c>
      <c r="D55" s="528"/>
      <c r="F55" s="557"/>
      <c r="G55" s="557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</row>
    <row r="56" spans="1:53" ht="12.65" customHeight="1">
      <c r="B56" s="518"/>
      <c r="D56" s="521"/>
      <c r="F56" s="520"/>
      <c r="G56" s="520"/>
      <c r="H56" s="520"/>
      <c r="I56" s="520"/>
      <c r="J56" s="520"/>
      <c r="K56" s="520"/>
      <c r="L56" s="520"/>
      <c r="M56" s="520"/>
      <c r="N56" s="520"/>
      <c r="O56" s="520"/>
      <c r="P56" s="520"/>
      <c r="Q56" s="520"/>
      <c r="R56" s="520"/>
      <c r="S56" s="520"/>
      <c r="T56" s="520"/>
      <c r="U56" s="520"/>
      <c r="V56" s="520"/>
      <c r="W56" s="520"/>
      <c r="X56" s="520"/>
      <c r="Y56" s="520"/>
      <c r="Z56" s="520"/>
      <c r="AA56" s="520"/>
      <c r="AB56" s="520"/>
      <c r="AC56" s="520"/>
      <c r="AD56" s="520"/>
      <c r="AE56" s="520"/>
      <c r="AF56" s="520"/>
      <c r="AG56" s="520"/>
      <c r="AH56" s="520"/>
      <c r="AI56" s="520"/>
      <c r="AJ56" s="520"/>
      <c r="AK56" s="520"/>
      <c r="AL56" s="520"/>
      <c r="AM56" s="520"/>
      <c r="AN56" s="520"/>
      <c r="AO56" s="520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</row>
    <row r="57" spans="1:53" ht="12.65" customHeight="1">
      <c r="B57" s="518"/>
      <c r="C57" s="519" t="s">
        <v>891</v>
      </c>
      <c r="D57" s="521"/>
      <c r="F57" s="559">
        <f t="shared" ref="F57:F67" si="13">ROUND(SUM(H57:AZ57),0)</f>
        <v>-25252112784</v>
      </c>
      <c r="G57" s="559"/>
      <c r="H57" s="520"/>
      <c r="I57" s="520"/>
      <c r="J57" s="520"/>
      <c r="K57" s="520"/>
      <c r="L57" s="520"/>
      <c r="M57" s="520"/>
      <c r="N57" s="520"/>
      <c r="O57" s="520"/>
      <c r="P57" s="520"/>
      <c r="Q57" s="520"/>
      <c r="R57" s="520"/>
      <c r="S57" s="520">
        <f>-'Supplementary CF 24'!M34</f>
        <v>-68695436548.744858</v>
      </c>
      <c r="T57" s="520">
        <f>-T10</f>
        <v>0</v>
      </c>
      <c r="U57" s="520"/>
      <c r="V57" s="520"/>
      <c r="W57" s="520"/>
      <c r="X57" s="520"/>
      <c r="Y57" s="520"/>
      <c r="Z57" s="520"/>
      <c r="AA57" s="520"/>
      <c r="AB57" s="520"/>
      <c r="AC57" s="520">
        <f>'Supplementary CF 24'!M32</f>
        <v>2345151396</v>
      </c>
      <c r="AD57" s="520"/>
      <c r="AE57" s="520"/>
      <c r="AF57" s="520"/>
      <c r="AG57" s="520"/>
      <c r="AH57" s="520"/>
      <c r="AI57" s="520"/>
      <c r="AJ57" s="520"/>
      <c r="AK57" s="520"/>
      <c r="AL57" s="520"/>
      <c r="AM57" s="520"/>
      <c r="AN57" s="520"/>
      <c r="AO57" s="520">
        <f>'Supplementary CF 24'!M33</f>
        <v>41098172368.518494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>
        <f t="shared" ref="BA57:BA67" si="14">F57-SUM(H57:AZ57)</f>
        <v>0.2263641357421875</v>
      </c>
    </row>
    <row r="58" spans="1:53" ht="12.65" customHeight="1">
      <c r="B58" s="518"/>
      <c r="C58" s="519" t="s">
        <v>892</v>
      </c>
      <c r="D58" s="521"/>
      <c r="F58" s="559">
        <f t="shared" si="13"/>
        <v>0</v>
      </c>
      <c r="G58" s="559"/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0"/>
      <c r="AB58" s="520"/>
      <c r="AC58" s="520"/>
      <c r="AD58" s="520"/>
      <c r="AE58" s="520"/>
      <c r="AF58" s="520"/>
      <c r="AG58" s="520"/>
      <c r="AH58" s="520"/>
      <c r="AI58" s="520"/>
      <c r="AJ58" s="520"/>
      <c r="AK58" s="520"/>
      <c r="AL58" s="520"/>
      <c r="AM58" s="520"/>
      <c r="AN58" s="520"/>
      <c r="AO58" s="520"/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>
        <f t="shared" si="14"/>
        <v>0</v>
      </c>
    </row>
    <row r="59" spans="1:53" ht="12.65" customHeight="1">
      <c r="B59" s="518"/>
      <c r="C59" s="519" t="s">
        <v>893</v>
      </c>
      <c r="D59" s="521"/>
      <c r="F59" s="559">
        <f t="shared" si="13"/>
        <v>0</v>
      </c>
      <c r="G59" s="559"/>
      <c r="H59" s="520"/>
      <c r="I59" s="520"/>
      <c r="J59" s="520"/>
      <c r="K59" s="520">
        <f>-SUM(L59:AY59)</f>
        <v>0</v>
      </c>
      <c r="L59" s="520"/>
      <c r="M59" s="520"/>
      <c r="N59" s="520"/>
      <c r="O59" s="520"/>
      <c r="P59" s="520"/>
      <c r="Q59" s="520"/>
      <c r="R59" s="520"/>
      <c r="S59" s="520"/>
      <c r="T59" s="520"/>
      <c r="U59" s="520">
        <f>-'Supplementary CF 24'!F52</f>
        <v>-34228483621.724998</v>
      </c>
      <c r="V59" s="520"/>
      <c r="W59" s="520"/>
      <c r="X59" s="520"/>
      <c r="Y59" s="520"/>
      <c r="Z59" s="520"/>
      <c r="AA59" s="520"/>
      <c r="AB59" s="520"/>
      <c r="AC59" s="520"/>
      <c r="AD59" s="520"/>
      <c r="AE59" s="520"/>
      <c r="AF59" s="520"/>
      <c r="AG59" s="520"/>
      <c r="AH59" s="520"/>
      <c r="AI59" s="520"/>
      <c r="AJ59" s="520"/>
      <c r="AK59" s="520"/>
      <c r="AL59" s="520"/>
      <c r="AM59" s="520"/>
      <c r="AN59" s="520"/>
      <c r="AO59" s="520">
        <f>'Supplementary CF 24'!F52</f>
        <v>34228483621.724998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>
        <f t="shared" si="14"/>
        <v>0</v>
      </c>
    </row>
    <row r="60" spans="1:53" ht="12.65" customHeight="1">
      <c r="B60" s="518"/>
      <c r="C60" s="519" t="s">
        <v>894</v>
      </c>
      <c r="D60" s="521"/>
      <c r="F60" s="559">
        <f t="shared" si="13"/>
        <v>0</v>
      </c>
      <c r="G60" s="559"/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  <c r="AA60" s="520"/>
      <c r="AB60" s="520"/>
      <c r="AC60" s="520"/>
      <c r="AD60" s="520"/>
      <c r="AE60" s="520"/>
      <c r="AF60" s="520"/>
      <c r="AG60" s="520"/>
      <c r="AH60" s="520"/>
      <c r="AI60" s="520"/>
      <c r="AJ60" s="520"/>
      <c r="AK60" s="520"/>
      <c r="AL60" s="520"/>
      <c r="AM60" s="520"/>
      <c r="AN60" s="520"/>
      <c r="AO60" s="520"/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>
        <f t="shared" si="14"/>
        <v>0</v>
      </c>
    </row>
    <row r="61" spans="1:53" ht="12.65" customHeight="1">
      <c r="B61" s="518"/>
      <c r="C61" s="519" t="s">
        <v>895</v>
      </c>
      <c r="D61" s="521"/>
      <c r="F61" s="559">
        <f t="shared" si="13"/>
        <v>0</v>
      </c>
      <c r="G61" s="559"/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>
        <v>0</v>
      </c>
      <c r="Y61" s="520"/>
      <c r="Z61" s="520"/>
      <c r="AA61" s="520"/>
      <c r="AB61" s="520"/>
      <c r="AC61" s="520"/>
      <c r="AD61" s="520"/>
      <c r="AE61" s="520"/>
      <c r="AF61" s="520"/>
      <c r="AG61" s="520"/>
      <c r="AH61" s="520"/>
      <c r="AI61" s="520"/>
      <c r="AJ61" s="520"/>
      <c r="AK61" s="520"/>
      <c r="AL61" s="520"/>
      <c r="AM61" s="520"/>
      <c r="AN61" s="520"/>
      <c r="AO61" s="520"/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>
        <f t="shared" si="14"/>
        <v>0</v>
      </c>
    </row>
    <row r="62" spans="1:53" ht="12.65" customHeight="1">
      <c r="B62" s="518"/>
      <c r="C62" s="519" t="s">
        <v>896</v>
      </c>
      <c r="D62" s="521"/>
      <c r="F62" s="559">
        <f t="shared" si="13"/>
        <v>0</v>
      </c>
      <c r="G62" s="559"/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>
        <v>0</v>
      </c>
      <c r="T62" s="520"/>
      <c r="U62" s="520"/>
      <c r="V62" s="520"/>
      <c r="W62" s="520"/>
      <c r="X62" s="520"/>
      <c r="Y62" s="520"/>
      <c r="Z62" s="520"/>
      <c r="AA62" s="520"/>
      <c r="AB62" s="520"/>
      <c r="AC62" s="520"/>
      <c r="AD62" s="520"/>
      <c r="AE62" s="520"/>
      <c r="AF62" s="520"/>
      <c r="AG62" s="520"/>
      <c r="AH62" s="520"/>
      <c r="AI62" s="520"/>
      <c r="AJ62" s="520"/>
      <c r="AK62" s="520"/>
      <c r="AL62" s="520"/>
      <c r="AM62" s="520"/>
      <c r="AN62" s="520"/>
      <c r="AO62" s="520"/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>
        <f t="shared" si="14"/>
        <v>0</v>
      </c>
    </row>
    <row r="63" spans="1:53" ht="12.65" customHeight="1">
      <c r="B63" s="518"/>
      <c r="C63" s="519" t="s">
        <v>897</v>
      </c>
      <c r="D63" s="521"/>
      <c r="F63" s="559">
        <f t="shared" si="13"/>
        <v>0</v>
      </c>
      <c r="G63" s="559"/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0"/>
      <c r="AB63" s="520"/>
      <c r="AC63" s="520"/>
      <c r="AD63" s="520"/>
      <c r="AE63" s="520"/>
      <c r="AF63" s="520"/>
      <c r="AG63" s="520"/>
      <c r="AH63" s="520"/>
      <c r="AI63" s="520"/>
      <c r="AJ63" s="520"/>
      <c r="AK63" s="520"/>
      <c r="AL63" s="520"/>
      <c r="AM63" s="520"/>
      <c r="AN63" s="520"/>
      <c r="AO63" s="520"/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>
        <f t="shared" si="14"/>
        <v>0</v>
      </c>
    </row>
    <row r="64" spans="1:53">
      <c r="C64" s="519" t="s">
        <v>898</v>
      </c>
      <c r="E64" s="519"/>
      <c r="F64" s="559">
        <f t="shared" si="13"/>
        <v>0</v>
      </c>
      <c r="G64" s="559"/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0"/>
      <c r="AB64" s="520"/>
      <c r="AC64" s="520"/>
      <c r="AD64" s="520"/>
      <c r="AE64" s="520"/>
      <c r="AF64" s="520"/>
      <c r="AG64" s="520"/>
      <c r="AH64" s="520"/>
      <c r="AI64" s="520"/>
      <c r="AJ64" s="520"/>
      <c r="AK64" s="520"/>
      <c r="AL64" s="520"/>
      <c r="AM64" s="520"/>
      <c r="AN64" s="520"/>
      <c r="AO64" s="520"/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>
        <f t="shared" si="14"/>
        <v>0</v>
      </c>
    </row>
    <row r="65" spans="1:53">
      <c r="C65" s="519" t="s">
        <v>899</v>
      </c>
      <c r="D65" s="568"/>
      <c r="E65" s="536"/>
      <c r="F65" s="559">
        <f t="shared" si="13"/>
        <v>0</v>
      </c>
      <c r="G65" s="559"/>
      <c r="H65" s="520"/>
      <c r="I65" s="520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0"/>
      <c r="AB65" s="520"/>
      <c r="AC65" s="520"/>
      <c r="AD65" s="520"/>
      <c r="AE65" s="520"/>
      <c r="AF65" s="520"/>
      <c r="AG65" s="520"/>
      <c r="AH65" s="520"/>
      <c r="AI65" s="520"/>
      <c r="AJ65" s="520"/>
      <c r="AK65" s="520"/>
      <c r="AL65" s="520"/>
      <c r="AM65" s="520"/>
      <c r="AN65" s="520"/>
      <c r="AO65" s="520"/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>
        <f t="shared" si="14"/>
        <v>0</v>
      </c>
    </row>
    <row r="66" spans="1:53">
      <c r="C66" s="519" t="s">
        <v>900</v>
      </c>
      <c r="D66" s="568"/>
      <c r="E66" s="536"/>
      <c r="F66" s="559">
        <f t="shared" si="13"/>
        <v>0</v>
      </c>
      <c r="G66" s="559"/>
      <c r="H66" s="520"/>
      <c r="I66" s="520"/>
      <c r="J66" s="520"/>
      <c r="K66" s="520"/>
      <c r="L66" s="520"/>
      <c r="M66" s="520"/>
      <c r="N66" s="520"/>
      <c r="O66" s="520"/>
      <c r="P66" s="520"/>
      <c r="Q66" s="520">
        <f>-Q10-Q28-Q65-Q64-Q25</f>
        <v>0</v>
      </c>
      <c r="R66" s="520"/>
      <c r="S66" s="520"/>
      <c r="T66" s="520"/>
      <c r="U66" s="520"/>
      <c r="V66" s="520"/>
      <c r="W66" s="520"/>
      <c r="X66" s="520"/>
      <c r="Y66" s="520"/>
      <c r="Z66" s="520"/>
      <c r="AA66" s="520"/>
      <c r="AB66" s="520"/>
      <c r="AC66" s="520"/>
      <c r="AD66" s="520"/>
      <c r="AE66" s="520"/>
      <c r="AF66" s="520"/>
      <c r="AG66" s="520"/>
      <c r="AH66" s="520"/>
      <c r="AI66" s="520"/>
      <c r="AJ66" s="520"/>
      <c r="AK66" s="520"/>
      <c r="AL66" s="520"/>
      <c r="AM66" s="520"/>
      <c r="AN66" s="520"/>
      <c r="AO66" s="520"/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>
        <f t="shared" si="14"/>
        <v>0</v>
      </c>
    </row>
    <row r="67" spans="1:53">
      <c r="C67" s="519" t="s">
        <v>901</v>
      </c>
      <c r="E67" s="519"/>
      <c r="F67" s="559">
        <f t="shared" si="13"/>
        <v>0</v>
      </c>
      <c r="G67" s="559"/>
      <c r="H67" s="520"/>
      <c r="I67" s="520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0"/>
      <c r="AB67" s="520"/>
      <c r="AC67" s="520"/>
      <c r="AD67" s="520"/>
      <c r="AE67" s="520"/>
      <c r="AF67" s="520"/>
      <c r="AG67" s="520"/>
      <c r="AH67" s="520"/>
      <c r="AI67" s="520"/>
      <c r="AJ67" s="520"/>
      <c r="AK67" s="520"/>
      <c r="AL67" s="520"/>
      <c r="AM67" s="520"/>
      <c r="AN67" s="520"/>
      <c r="AO67" s="520"/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>
        <f t="shared" si="14"/>
        <v>0</v>
      </c>
    </row>
    <row r="68" spans="1:53">
      <c r="E68" s="519"/>
      <c r="F68" s="520"/>
      <c r="G68" s="520"/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0"/>
      <c r="AB68" s="520"/>
      <c r="AC68" s="520"/>
      <c r="AD68" s="520"/>
      <c r="AE68" s="520"/>
      <c r="AF68" s="520"/>
      <c r="AG68" s="520"/>
      <c r="AH68" s="520"/>
      <c r="AI68" s="520"/>
      <c r="AJ68" s="520"/>
      <c r="AK68" s="520"/>
      <c r="AL68" s="520"/>
      <c r="AM68" s="520"/>
      <c r="AN68" s="520"/>
      <c r="AO68" s="520"/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</row>
    <row r="69" spans="1:53">
      <c r="B69" s="518" t="s">
        <v>902</v>
      </c>
      <c r="E69" s="519"/>
      <c r="F69" s="567">
        <f>SUM(F56:F68)</f>
        <v>-25252112784</v>
      </c>
      <c r="G69" s="567"/>
      <c r="H69" s="520"/>
      <c r="I69" s="520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0"/>
      <c r="AB69" s="520"/>
      <c r="AC69" s="520"/>
      <c r="AD69" s="520"/>
      <c r="AE69" s="520"/>
      <c r="AF69" s="520"/>
      <c r="AG69" s="520"/>
      <c r="AH69" s="520"/>
      <c r="AI69" s="520"/>
      <c r="AJ69" s="520"/>
      <c r="AK69" s="520"/>
      <c r="AL69" s="520"/>
      <c r="AM69" s="520"/>
      <c r="AN69" s="520"/>
      <c r="AO69" s="520"/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</row>
    <row r="70" spans="1:53">
      <c r="E70" s="519"/>
      <c r="F70" s="520"/>
      <c r="G70" s="520"/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0"/>
      <c r="AB70" s="520"/>
      <c r="AC70" s="520"/>
      <c r="AD70" s="520"/>
      <c r="AE70" s="520"/>
      <c r="AF70" s="520"/>
      <c r="AG70" s="520"/>
      <c r="AH70" s="520"/>
      <c r="AI70" s="520"/>
      <c r="AJ70" s="520"/>
      <c r="AK70" s="520"/>
      <c r="AL70" s="520"/>
      <c r="AM70" s="520"/>
      <c r="AN70" s="520"/>
      <c r="AO70" s="520"/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</row>
    <row r="71" spans="1:53">
      <c r="A71" s="527" t="s">
        <v>903</v>
      </c>
      <c r="B71" s="518"/>
      <c r="D71" s="569"/>
      <c r="E71" s="570"/>
      <c r="F71" s="570"/>
      <c r="G71" s="570"/>
      <c r="H71" s="520"/>
      <c r="I71" s="520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  <c r="Y71" s="520"/>
      <c r="Z71" s="520"/>
      <c r="AA71" s="520"/>
      <c r="AB71" s="520"/>
      <c r="AC71" s="520"/>
      <c r="AD71" s="520"/>
      <c r="AE71" s="520"/>
      <c r="AF71" s="520"/>
      <c r="AG71" s="520"/>
      <c r="AH71" s="520"/>
      <c r="AI71" s="520"/>
      <c r="AJ71" s="520"/>
      <c r="AK71" s="520"/>
      <c r="AL71" s="520"/>
      <c r="AM71" s="520"/>
      <c r="AN71" s="520"/>
      <c r="AO71" s="520"/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</row>
    <row r="72" spans="1:53">
      <c r="A72" s="527"/>
      <c r="B72" s="518"/>
      <c r="D72" s="569"/>
      <c r="E72" s="570"/>
      <c r="F72" s="570"/>
      <c r="G72" s="57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0"/>
      <c r="AB72" s="520"/>
      <c r="AC72" s="520"/>
      <c r="AD72" s="520"/>
      <c r="AE72" s="520"/>
      <c r="AF72" s="520"/>
      <c r="AG72" s="520"/>
      <c r="AH72" s="520"/>
      <c r="AI72" s="520"/>
      <c r="AJ72" s="520"/>
      <c r="AK72" s="520"/>
      <c r="AL72" s="520"/>
      <c r="AM72" s="520"/>
      <c r="AN72" s="520"/>
      <c r="AO72" s="520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</row>
    <row r="73" spans="1:53">
      <c r="C73" s="519" t="s">
        <v>904</v>
      </c>
      <c r="D73" s="568"/>
      <c r="E73" s="536"/>
      <c r="F73" s="559">
        <f>ROUND(SUM(H73:AZ73),0)</f>
        <v>-31753628336</v>
      </c>
      <c r="G73" s="559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0"/>
      <c r="AB73" s="520">
        <f>-AB10</f>
        <v>-31753628336</v>
      </c>
      <c r="AC73" s="520"/>
      <c r="AD73" s="520"/>
      <c r="AE73" s="520"/>
      <c r="AF73" s="520"/>
      <c r="AG73" s="520"/>
      <c r="AH73" s="520"/>
      <c r="AI73" s="520"/>
      <c r="AJ73" s="520"/>
      <c r="AK73" s="520"/>
      <c r="AL73" s="520">
        <f>-AL10</f>
        <v>0</v>
      </c>
      <c r="AM73" s="520"/>
      <c r="AN73" s="520"/>
      <c r="AO73" s="520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>
        <f t="shared" ref="BA73:BA80" si="15">F73-SUM(H73:AZ73)</f>
        <v>0</v>
      </c>
    </row>
    <row r="74" spans="1:53">
      <c r="C74" s="519" t="s">
        <v>905</v>
      </c>
      <c r="D74" s="568"/>
      <c r="E74" s="536"/>
      <c r="F74" s="559">
        <f t="shared" ref="F74:F81" si="16">ROUND(SUM(H74:AZ74),0)</f>
        <v>0</v>
      </c>
      <c r="G74" s="559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0"/>
      <c r="AB74" s="520"/>
      <c r="AC74" s="520"/>
      <c r="AD74" s="520"/>
      <c r="AE74" s="520"/>
      <c r="AF74" s="520"/>
      <c r="AG74" s="520"/>
      <c r="AH74" s="520"/>
      <c r="AI74" s="520"/>
      <c r="AJ74" s="520"/>
      <c r="AK74" s="520"/>
      <c r="AL74" s="520"/>
      <c r="AM74" s="520"/>
      <c r="AN74" s="520"/>
      <c r="AO74" s="520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>
        <f t="shared" si="15"/>
        <v>0</v>
      </c>
    </row>
    <row r="75" spans="1:53">
      <c r="C75" s="519" t="s">
        <v>1132</v>
      </c>
      <c r="D75" s="568"/>
      <c r="E75" s="536"/>
      <c r="F75" s="559">
        <f t="shared" si="16"/>
        <v>-24268137075</v>
      </c>
      <c r="G75" s="559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0"/>
      <c r="AB75" s="520"/>
      <c r="AC75" s="520"/>
      <c r="AD75" s="520"/>
      <c r="AE75" s="520"/>
      <c r="AF75" s="520"/>
      <c r="AG75" s="520"/>
      <c r="AH75" s="520"/>
      <c r="AI75" s="520"/>
      <c r="AJ75" s="520"/>
      <c r="AK75" s="520"/>
      <c r="AL75" s="520"/>
      <c r="AM75" s="520"/>
      <c r="AN75" s="520"/>
      <c r="AO75" s="520"/>
      <c r="AP75" s="520"/>
      <c r="AQ75" s="520"/>
      <c r="AR75" s="520"/>
      <c r="AS75" s="520"/>
      <c r="AT75" s="520"/>
      <c r="AU75" s="520"/>
      <c r="AV75" s="520"/>
      <c r="AW75" s="520">
        <f>'SoCE Consol '!L77</f>
        <v>61052004237.56987</v>
      </c>
      <c r="AX75" s="520">
        <f>-AX10</f>
        <v>-85320141313</v>
      </c>
      <c r="AY75" s="520"/>
      <c r="AZ75" s="520"/>
      <c r="BA75" s="520">
        <f t="shared" si="15"/>
        <v>0.4301300048828125</v>
      </c>
    </row>
    <row r="76" spans="1:53">
      <c r="C76" s="519" t="s">
        <v>907</v>
      </c>
      <c r="D76" s="568"/>
      <c r="E76" s="536"/>
      <c r="F76" s="559">
        <f t="shared" si="16"/>
        <v>-48537121728</v>
      </c>
      <c r="G76" s="559"/>
      <c r="H76" s="520"/>
      <c r="I76" s="520"/>
      <c r="J76" s="520"/>
      <c r="K76" s="520">
        <f>-K10</f>
        <v>-114461164444</v>
      </c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0"/>
      <c r="AB76" s="520"/>
      <c r="AC76" s="520"/>
      <c r="AD76" s="520"/>
      <c r="AE76" s="520"/>
      <c r="AF76" s="520">
        <f>-AF10</f>
        <v>65924042716</v>
      </c>
      <c r="AG76" s="520"/>
      <c r="AH76" s="520"/>
      <c r="AI76" s="520"/>
      <c r="AJ76" s="520"/>
      <c r="AK76" s="520"/>
      <c r="AL76" s="520"/>
      <c r="AM76" s="520"/>
      <c r="AN76" s="520"/>
      <c r="AO76" s="520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>
        <f t="shared" si="15"/>
        <v>0</v>
      </c>
    </row>
    <row r="77" spans="1:53">
      <c r="C77" s="519" t="s">
        <v>908</v>
      </c>
      <c r="D77" s="568"/>
      <c r="E77" s="536"/>
      <c r="F77" s="559">
        <f t="shared" si="16"/>
        <v>0</v>
      </c>
      <c r="G77" s="559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0"/>
      <c r="AB77" s="520"/>
      <c r="AC77" s="520"/>
      <c r="AD77" s="520"/>
      <c r="AE77" s="520"/>
      <c r="AF77" s="520"/>
      <c r="AG77" s="520"/>
      <c r="AH77" s="520"/>
      <c r="AI77" s="520"/>
      <c r="AJ77" s="520"/>
      <c r="AK77" s="520"/>
      <c r="AL77" s="520"/>
      <c r="AM77" s="520"/>
      <c r="AN77" s="520"/>
      <c r="AO77" s="520"/>
      <c r="AP77" s="520"/>
      <c r="AQ77" s="520"/>
      <c r="AR77" s="520"/>
      <c r="AS77" s="520"/>
      <c r="AT77" s="520"/>
      <c r="AU77" s="520"/>
      <c r="AV77" s="520">
        <v>0</v>
      </c>
      <c r="AW77" s="520"/>
      <c r="AX77" s="520"/>
      <c r="AY77" s="520"/>
      <c r="AZ77" s="520">
        <v>0</v>
      </c>
      <c r="BA77" s="520">
        <f t="shared" si="15"/>
        <v>0</v>
      </c>
    </row>
    <row r="78" spans="1:53">
      <c r="C78" s="519" t="s">
        <v>909</v>
      </c>
      <c r="D78" s="568"/>
      <c r="E78" s="536"/>
      <c r="F78" s="559">
        <f t="shared" si="16"/>
        <v>604970548439</v>
      </c>
      <c r="G78" s="559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0"/>
      <c r="AB78" s="520"/>
      <c r="AC78" s="520"/>
      <c r="AD78" s="520"/>
      <c r="AE78" s="520"/>
      <c r="AF78" s="520"/>
      <c r="AG78" s="520"/>
      <c r="AH78" s="520"/>
      <c r="AI78" s="520"/>
      <c r="AJ78" s="520"/>
      <c r="AK78" s="520"/>
      <c r="AL78" s="520"/>
      <c r="AM78" s="520"/>
      <c r="AN78" s="520"/>
      <c r="AO78" s="520"/>
      <c r="AP78" s="520"/>
      <c r="AQ78" s="520"/>
      <c r="AR78" s="520"/>
      <c r="AS78" s="520">
        <f>-AS10</f>
        <v>0</v>
      </c>
      <c r="AT78" s="520">
        <f>-'Supplementary CF 24'!E76-AS78</f>
        <v>604970548438.7251</v>
      </c>
      <c r="AU78" s="520"/>
      <c r="AV78" s="520"/>
      <c r="AW78" s="520"/>
      <c r="AX78" s="520"/>
      <c r="AY78" s="520"/>
      <c r="AZ78" s="520"/>
      <c r="BA78" s="520">
        <f t="shared" si="15"/>
        <v>0.27490234375</v>
      </c>
    </row>
    <row r="79" spans="1:53" ht="12.65" customHeight="1">
      <c r="C79" s="519" t="s">
        <v>910</v>
      </c>
      <c r="E79" s="519"/>
      <c r="F79" s="559">
        <f t="shared" si="16"/>
        <v>16392985671</v>
      </c>
      <c r="G79" s="559"/>
      <c r="H79" s="520"/>
      <c r="I79" s="520"/>
      <c r="J79" s="520"/>
      <c r="K79" s="520"/>
      <c r="L79" s="520"/>
      <c r="M79" s="520"/>
      <c r="N79" s="520">
        <f>-N10</f>
        <v>16392985671</v>
      </c>
      <c r="O79" s="520"/>
      <c r="P79" s="520"/>
      <c r="Q79" s="520"/>
      <c r="R79" s="520"/>
      <c r="S79" s="520"/>
      <c r="T79" s="520"/>
      <c r="U79" s="520"/>
      <c r="V79" s="520"/>
      <c r="W79" s="520"/>
      <c r="X79" s="520"/>
      <c r="Y79" s="520"/>
      <c r="Z79" s="520"/>
      <c r="AA79" s="520"/>
      <c r="AB79" s="520"/>
      <c r="AC79" s="520"/>
      <c r="AD79" s="520"/>
      <c r="AE79" s="520"/>
      <c r="AF79" s="520"/>
      <c r="AG79" s="520"/>
      <c r="AH79" s="520"/>
      <c r="AI79" s="520"/>
      <c r="AJ79" s="520"/>
      <c r="AK79" s="520"/>
      <c r="AL79" s="520"/>
      <c r="AM79" s="520"/>
      <c r="AN79" s="520"/>
      <c r="AO79" s="520"/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>
        <f t="shared" si="15"/>
        <v>0</v>
      </c>
    </row>
    <row r="80" spans="1:53">
      <c r="C80" s="519" t="s">
        <v>911</v>
      </c>
      <c r="D80" s="568"/>
      <c r="E80" s="536"/>
      <c r="F80" s="559">
        <f t="shared" si="16"/>
        <v>-76144928660</v>
      </c>
      <c r="G80" s="559"/>
      <c r="H80" s="520"/>
      <c r="I80" s="520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0"/>
      <c r="V80" s="520"/>
      <c r="W80" s="520"/>
      <c r="X80" s="520"/>
      <c r="Y80" s="520"/>
      <c r="Z80" s="520"/>
      <c r="AA80" s="520"/>
      <c r="AB80" s="520"/>
      <c r="AC80" s="520"/>
      <c r="AD80" s="520"/>
      <c r="AE80" s="520"/>
      <c r="AF80" s="520"/>
      <c r="AG80" s="520"/>
      <c r="AH80" s="520"/>
      <c r="AI80" s="520"/>
      <c r="AJ80" s="520"/>
      <c r="AK80" s="520"/>
      <c r="AL80" s="520"/>
      <c r="AM80" s="520"/>
      <c r="AN80" s="520"/>
      <c r="AO80" s="520">
        <f>'Supplementary CF 24'!M54</f>
        <v>-76144928660.006943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>
        <f t="shared" si="15"/>
        <v>6.9427490234375E-3</v>
      </c>
    </row>
    <row r="81" spans="2:53">
      <c r="C81" s="519" t="s">
        <v>912</v>
      </c>
      <c r="D81" s="568"/>
      <c r="E81" s="536"/>
      <c r="F81" s="559">
        <f t="shared" si="16"/>
        <v>0</v>
      </c>
      <c r="G81" s="559"/>
      <c r="H81" s="520"/>
      <c r="I81" s="520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  <c r="Y81" s="520"/>
      <c r="Z81" s="520"/>
      <c r="AA81" s="520"/>
      <c r="AB81" s="520"/>
      <c r="AC81" s="520"/>
      <c r="AD81" s="520"/>
      <c r="AE81" s="520"/>
      <c r="AF81" s="520"/>
      <c r="AG81" s="520"/>
      <c r="AH81" s="520"/>
      <c r="AI81" s="520"/>
      <c r="AJ81" s="520"/>
      <c r="AK81" s="520"/>
      <c r="AL81" s="520"/>
      <c r="AM81" s="520"/>
      <c r="AN81" s="520"/>
      <c r="AO81" s="520"/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</row>
    <row r="82" spans="2:53">
      <c r="D82" s="568"/>
      <c r="E82" s="536"/>
      <c r="F82" s="536"/>
      <c r="G82" s="536"/>
      <c r="H82" s="520"/>
      <c r="I82" s="520"/>
      <c r="J82" s="520"/>
      <c r="K82" s="520"/>
      <c r="L82" s="520"/>
      <c r="M82" s="520"/>
      <c r="N82" s="520"/>
      <c r="O82" s="520"/>
      <c r="P82" s="520"/>
      <c r="Q82" s="520"/>
      <c r="R82" s="520"/>
      <c r="S82" s="520"/>
      <c r="T82" s="520"/>
      <c r="U82" s="520"/>
      <c r="V82" s="520"/>
      <c r="W82" s="520"/>
      <c r="X82" s="520"/>
      <c r="Y82" s="520"/>
      <c r="Z82" s="520"/>
      <c r="AA82" s="520"/>
      <c r="AB82" s="520"/>
      <c r="AC82" s="520"/>
      <c r="AD82" s="520"/>
      <c r="AE82" s="520"/>
      <c r="AF82" s="520"/>
      <c r="AG82" s="520"/>
      <c r="AH82" s="520"/>
      <c r="AI82" s="520"/>
      <c r="AJ82" s="520"/>
      <c r="AK82" s="520"/>
      <c r="AL82" s="520"/>
      <c r="AM82" s="520"/>
      <c r="AN82" s="520"/>
      <c r="AO82" s="520"/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</row>
    <row r="83" spans="2:53">
      <c r="B83" s="518" t="s">
        <v>913</v>
      </c>
      <c r="D83" s="568"/>
      <c r="E83" s="536"/>
      <c r="F83" s="570">
        <f>SUM(F73:F82)</f>
        <v>440659718311</v>
      </c>
      <c r="G83" s="570"/>
      <c r="H83" s="520"/>
      <c r="I83" s="520"/>
      <c r="J83" s="520"/>
      <c r="K83" s="520"/>
      <c r="L83" s="520"/>
      <c r="M83" s="520"/>
      <c r="N83" s="520"/>
      <c r="O83" s="520"/>
      <c r="P83" s="520"/>
      <c r="Q83" s="520"/>
      <c r="R83" s="520"/>
      <c r="S83" s="520"/>
      <c r="T83" s="520"/>
      <c r="U83" s="520"/>
      <c r="V83" s="520"/>
      <c r="W83" s="520"/>
      <c r="X83" s="520"/>
      <c r="Y83" s="520"/>
      <c r="Z83" s="520"/>
      <c r="AA83" s="520"/>
      <c r="AB83" s="520"/>
      <c r="AC83" s="520"/>
      <c r="AD83" s="520"/>
      <c r="AE83" s="520"/>
      <c r="AF83" s="520"/>
      <c r="AG83" s="520"/>
      <c r="AH83" s="520"/>
      <c r="AI83" s="520"/>
      <c r="AJ83" s="520"/>
      <c r="AK83" s="520"/>
      <c r="AL83" s="520"/>
      <c r="AM83" s="520"/>
      <c r="AN83" s="520"/>
      <c r="AO83" s="520"/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</row>
    <row r="84" spans="2:53">
      <c r="D84" s="568"/>
      <c r="E84" s="536"/>
      <c r="F84" s="571"/>
      <c r="G84" s="571"/>
      <c r="H84" s="520"/>
      <c r="I84" s="520"/>
      <c r="J84" s="520"/>
      <c r="K84" s="520"/>
      <c r="L84" s="520"/>
      <c r="M84" s="520"/>
      <c r="N84" s="520"/>
      <c r="O84" s="520"/>
      <c r="P84" s="520"/>
      <c r="Q84" s="520"/>
      <c r="R84" s="520"/>
      <c r="S84" s="520"/>
      <c r="T84" s="520"/>
      <c r="U84" s="520"/>
      <c r="V84" s="520"/>
      <c r="W84" s="520"/>
      <c r="X84" s="520"/>
      <c r="Y84" s="520"/>
      <c r="Z84" s="520"/>
      <c r="AA84" s="520"/>
      <c r="AB84" s="520"/>
      <c r="AC84" s="520"/>
      <c r="AD84" s="520"/>
      <c r="AE84" s="520"/>
      <c r="AF84" s="520"/>
      <c r="AG84" s="520"/>
      <c r="AH84" s="520"/>
      <c r="AI84" s="520"/>
      <c r="AJ84" s="520"/>
      <c r="AK84" s="520"/>
      <c r="AL84" s="520"/>
      <c r="AM84" s="520"/>
      <c r="AN84" s="520"/>
      <c r="AO84" s="520"/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</row>
    <row r="85" spans="2:53">
      <c r="D85" s="568"/>
      <c r="E85" s="536"/>
      <c r="F85" s="571"/>
      <c r="G85" s="571"/>
      <c r="H85" s="520"/>
      <c r="I85" s="520"/>
      <c r="J85" s="520"/>
      <c r="K85" s="520"/>
      <c r="L85" s="520"/>
      <c r="M85" s="520"/>
      <c r="N85" s="520"/>
      <c r="O85" s="520"/>
      <c r="P85" s="520"/>
      <c r="Q85" s="520"/>
      <c r="R85" s="520"/>
      <c r="S85" s="520"/>
      <c r="T85" s="520"/>
      <c r="U85" s="520"/>
      <c r="V85" s="520"/>
      <c r="W85" s="520"/>
      <c r="X85" s="520"/>
      <c r="Y85" s="520"/>
      <c r="Z85" s="520"/>
      <c r="AA85" s="520"/>
      <c r="AB85" s="520"/>
      <c r="AC85" s="520"/>
      <c r="AD85" s="520"/>
      <c r="AE85" s="520"/>
      <c r="AF85" s="520"/>
      <c r="AG85" s="520"/>
      <c r="AH85" s="520"/>
      <c r="AI85" s="520"/>
      <c r="AJ85" s="520"/>
      <c r="AK85" s="520"/>
      <c r="AL85" s="520"/>
      <c r="AM85" s="520"/>
      <c r="AN85" s="520"/>
      <c r="AO85" s="520"/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</row>
    <row r="86" spans="2:53">
      <c r="B86" s="518" t="s">
        <v>914</v>
      </c>
      <c r="D86" s="569"/>
      <c r="E86" s="570"/>
      <c r="F86" s="572">
        <f>F53+F69+F83</f>
        <v>-13930949656</v>
      </c>
      <c r="G86" s="572"/>
      <c r="H86" s="520"/>
      <c r="I86" s="520"/>
      <c r="J86" s="520"/>
      <c r="K86" s="520"/>
      <c r="L86" s="520"/>
      <c r="M86" s="520"/>
      <c r="N86" s="520"/>
      <c r="O86" s="520"/>
      <c r="P86" s="520"/>
      <c r="Q86" s="520"/>
      <c r="R86" s="520"/>
      <c r="S86" s="520"/>
      <c r="T86" s="520"/>
      <c r="U86" s="520"/>
      <c r="V86" s="520"/>
      <c r="W86" s="520"/>
      <c r="X86" s="520"/>
      <c r="Y86" s="520"/>
      <c r="Z86" s="520"/>
      <c r="AA86" s="520"/>
      <c r="AB86" s="520"/>
      <c r="AC86" s="520"/>
      <c r="AD86" s="520"/>
      <c r="AE86" s="520"/>
      <c r="AF86" s="520"/>
      <c r="AG86" s="520"/>
      <c r="AH86" s="520"/>
      <c r="AI86" s="520"/>
      <c r="AJ86" s="520"/>
      <c r="AK86" s="520"/>
      <c r="AL86" s="520"/>
      <c r="AM86" s="520"/>
      <c r="AN86" s="520"/>
      <c r="AO86" s="520"/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</row>
    <row r="87" spans="2:53">
      <c r="B87" s="518"/>
      <c r="D87" s="568"/>
      <c r="E87" s="536"/>
      <c r="H87" s="520"/>
      <c r="I87" s="520"/>
      <c r="J87" s="520"/>
      <c r="K87" s="520"/>
      <c r="L87" s="520"/>
      <c r="M87" s="520"/>
      <c r="N87" s="520"/>
      <c r="O87" s="520"/>
      <c r="P87" s="520"/>
      <c r="Q87" s="520"/>
      <c r="R87" s="520"/>
      <c r="S87" s="520"/>
      <c r="T87" s="520"/>
      <c r="U87" s="520"/>
      <c r="V87" s="520"/>
      <c r="W87" s="520"/>
      <c r="X87" s="520"/>
      <c r="Y87" s="520"/>
      <c r="Z87" s="520"/>
      <c r="AA87" s="520"/>
      <c r="AB87" s="520"/>
      <c r="AC87" s="520"/>
      <c r="AD87" s="520"/>
      <c r="AE87" s="520"/>
      <c r="AF87" s="520"/>
      <c r="AG87" s="520"/>
      <c r="AH87" s="520"/>
      <c r="AI87" s="520"/>
      <c r="AJ87" s="520"/>
      <c r="AK87" s="520"/>
      <c r="AL87" s="520"/>
      <c r="AM87" s="520"/>
      <c r="AN87" s="520"/>
      <c r="AO87" s="520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</row>
    <row r="88" spans="2:53" hidden="1">
      <c r="B88" s="518" t="s">
        <v>915</v>
      </c>
      <c r="D88" s="568"/>
      <c r="E88" s="536"/>
      <c r="F88" s="520"/>
      <c r="G88" s="520"/>
      <c r="H88" s="520"/>
      <c r="I88" s="520"/>
      <c r="J88" s="520"/>
      <c r="K88" s="520"/>
      <c r="L88" s="520"/>
      <c r="M88" s="520"/>
      <c r="N88" s="520"/>
      <c r="O88" s="520"/>
      <c r="P88" s="520"/>
      <c r="Q88" s="520"/>
      <c r="R88" s="520"/>
      <c r="S88" s="520"/>
      <c r="T88" s="520"/>
      <c r="U88" s="520"/>
      <c r="V88" s="520"/>
      <c r="W88" s="520"/>
      <c r="X88" s="520"/>
      <c r="Y88" s="520"/>
      <c r="Z88" s="520"/>
      <c r="AA88" s="520"/>
      <c r="AB88" s="520"/>
      <c r="AC88" s="520"/>
      <c r="AD88" s="520"/>
      <c r="AE88" s="520"/>
      <c r="AF88" s="520"/>
      <c r="AG88" s="520"/>
      <c r="AH88" s="520"/>
      <c r="AI88" s="520"/>
      <c r="AJ88" s="520"/>
      <c r="AK88" s="520"/>
      <c r="AL88" s="520"/>
      <c r="AM88" s="520"/>
      <c r="AN88" s="520"/>
      <c r="AO88" s="520"/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</row>
    <row r="89" spans="2:53" hidden="1">
      <c r="B89" s="518"/>
      <c r="D89" s="568"/>
      <c r="E89" s="536"/>
      <c r="H89" s="520"/>
      <c r="I89" s="520"/>
      <c r="J89" s="520"/>
      <c r="K89" s="520"/>
      <c r="L89" s="520"/>
      <c r="M89" s="520"/>
      <c r="N89" s="520"/>
      <c r="O89" s="520"/>
      <c r="P89" s="520"/>
      <c r="Q89" s="520"/>
      <c r="R89" s="520"/>
      <c r="S89" s="520"/>
      <c r="T89" s="520"/>
      <c r="U89" s="520"/>
      <c r="V89" s="520"/>
      <c r="W89" s="520"/>
      <c r="X89" s="520"/>
      <c r="Y89" s="520"/>
      <c r="Z89" s="520"/>
      <c r="AA89" s="520"/>
      <c r="AB89" s="520"/>
      <c r="AC89" s="520"/>
      <c r="AD89" s="520"/>
      <c r="AE89" s="520"/>
      <c r="AF89" s="520"/>
      <c r="AG89" s="520"/>
      <c r="AH89" s="520"/>
      <c r="AI89" s="520"/>
      <c r="AJ89" s="520"/>
      <c r="AK89" s="520"/>
      <c r="AL89" s="520"/>
      <c r="AM89" s="520"/>
      <c r="AN89" s="520"/>
      <c r="AO89" s="520"/>
      <c r="AP89" s="520"/>
      <c r="AQ89" s="520"/>
      <c r="AR89" s="520"/>
      <c r="AS89" s="520"/>
      <c r="AT89" s="520"/>
      <c r="AU89" s="520"/>
      <c r="AV89" s="520"/>
      <c r="AW89" s="520"/>
      <c r="AX89" s="520"/>
      <c r="AY89" s="520"/>
      <c r="AZ89" s="520"/>
      <c r="BA89" s="520"/>
    </row>
    <row r="90" spans="2:53">
      <c r="B90" s="518" t="s">
        <v>916</v>
      </c>
      <c r="D90" s="568"/>
      <c r="E90" s="536"/>
      <c r="F90" s="559">
        <v>0</v>
      </c>
      <c r="G90" s="559"/>
      <c r="H90" s="520"/>
      <c r="I90" s="520"/>
      <c r="J90" s="520"/>
      <c r="K90" s="520"/>
      <c r="L90" s="520"/>
      <c r="M90" s="520"/>
      <c r="N90" s="520"/>
      <c r="O90" s="520"/>
      <c r="P90" s="520"/>
      <c r="Q90" s="520"/>
      <c r="R90" s="520"/>
      <c r="S90" s="520"/>
      <c r="T90" s="520"/>
      <c r="U90" s="520"/>
      <c r="V90" s="520"/>
      <c r="W90" s="520"/>
      <c r="X90" s="520"/>
      <c r="Y90" s="520"/>
      <c r="Z90" s="520"/>
      <c r="AA90" s="520"/>
      <c r="AB90" s="520"/>
      <c r="AC90" s="520"/>
      <c r="AD90" s="520"/>
      <c r="AE90" s="520"/>
      <c r="AF90" s="520"/>
      <c r="AG90" s="520"/>
      <c r="AH90" s="520"/>
      <c r="AI90" s="520"/>
      <c r="AJ90" s="520"/>
      <c r="AK90" s="520"/>
      <c r="AL90" s="520"/>
      <c r="AM90" s="520"/>
      <c r="AN90" s="520"/>
      <c r="AO90" s="520"/>
      <c r="AP90" s="520"/>
      <c r="AQ90" s="520"/>
      <c r="AR90" s="520"/>
      <c r="AS90" s="520"/>
      <c r="AT90" s="520"/>
      <c r="AU90" s="520"/>
      <c r="AV90" s="520"/>
      <c r="AW90" s="520"/>
      <c r="AX90" s="520"/>
      <c r="AY90" s="520"/>
      <c r="AZ90" s="520"/>
      <c r="BA90" s="520"/>
    </row>
    <row r="91" spans="2:53">
      <c r="B91" s="518"/>
      <c r="C91" s="518"/>
      <c r="D91" s="568"/>
      <c r="E91" s="536"/>
      <c r="F91" s="571"/>
      <c r="G91" s="571"/>
      <c r="H91" s="520"/>
      <c r="I91" s="520"/>
      <c r="J91" s="520"/>
      <c r="K91" s="520"/>
      <c r="L91" s="520"/>
      <c r="M91" s="520"/>
      <c r="N91" s="520"/>
      <c r="O91" s="520"/>
      <c r="P91" s="520"/>
      <c r="Q91" s="520"/>
      <c r="R91" s="520"/>
      <c r="S91" s="520"/>
      <c r="T91" s="520"/>
      <c r="U91" s="520"/>
      <c r="V91" s="520"/>
      <c r="W91" s="520"/>
      <c r="X91" s="520"/>
      <c r="Y91" s="520"/>
      <c r="Z91" s="520"/>
      <c r="AA91" s="520"/>
      <c r="AB91" s="520"/>
      <c r="AC91" s="520"/>
      <c r="AD91" s="520"/>
      <c r="AE91" s="520"/>
      <c r="AF91" s="520"/>
      <c r="AG91" s="520"/>
      <c r="AH91" s="520"/>
      <c r="AI91" s="520"/>
      <c r="AJ91" s="520"/>
      <c r="AK91" s="520"/>
      <c r="AL91" s="520"/>
      <c r="AM91" s="520"/>
      <c r="AN91" s="520"/>
      <c r="AO91" s="520"/>
      <c r="AP91" s="520"/>
      <c r="AQ91" s="520"/>
      <c r="AR91" s="520"/>
      <c r="AS91" s="520"/>
      <c r="AT91" s="520"/>
      <c r="AU91" s="520"/>
      <c r="AV91" s="520"/>
      <c r="AW91" s="520"/>
      <c r="AX91" s="520"/>
      <c r="AY91" s="520"/>
      <c r="AZ91" s="520"/>
      <c r="BA91" s="520"/>
    </row>
    <row r="92" spans="2:53">
      <c r="B92" s="518" t="s">
        <v>917</v>
      </c>
      <c r="C92" s="518"/>
      <c r="D92" s="569"/>
      <c r="E92" s="536"/>
      <c r="F92" s="572">
        <f>H9</f>
        <v>75109486095</v>
      </c>
      <c r="G92" s="572"/>
      <c r="H92" s="520"/>
      <c r="I92" s="520"/>
      <c r="J92" s="520"/>
      <c r="K92" s="520"/>
      <c r="L92" s="520"/>
      <c r="M92" s="520"/>
      <c r="N92" s="520"/>
      <c r="O92" s="520"/>
      <c r="P92" s="520"/>
      <c r="Q92" s="520"/>
      <c r="R92" s="520"/>
      <c r="S92" s="520"/>
      <c r="T92" s="520"/>
      <c r="U92" s="520"/>
      <c r="V92" s="520"/>
      <c r="W92" s="520"/>
      <c r="X92" s="520"/>
      <c r="Y92" s="520"/>
      <c r="Z92" s="520"/>
      <c r="AA92" s="520"/>
      <c r="AB92" s="520"/>
      <c r="AC92" s="520"/>
      <c r="AD92" s="520"/>
      <c r="AE92" s="520"/>
      <c r="AF92" s="520"/>
      <c r="AG92" s="520"/>
      <c r="AH92" s="520"/>
      <c r="AI92" s="520"/>
      <c r="AJ92" s="520"/>
      <c r="AK92" s="520"/>
      <c r="AL92" s="520"/>
      <c r="AM92" s="520"/>
      <c r="AN92" s="520"/>
      <c r="AO92" s="520"/>
      <c r="AP92" s="520"/>
      <c r="AQ92" s="520"/>
      <c r="AR92" s="520"/>
      <c r="AS92" s="520"/>
      <c r="AT92" s="520"/>
      <c r="AU92" s="520"/>
      <c r="AV92" s="520"/>
      <c r="AW92" s="520"/>
      <c r="AX92" s="520"/>
      <c r="AY92" s="520"/>
      <c r="AZ92" s="520"/>
      <c r="BA92" s="520"/>
    </row>
    <row r="93" spans="2:53">
      <c r="B93" s="518"/>
      <c r="C93" s="518"/>
      <c r="D93" s="569"/>
      <c r="E93" s="536"/>
      <c r="F93" s="572"/>
      <c r="G93" s="572"/>
      <c r="H93" s="520"/>
      <c r="I93" s="520"/>
      <c r="J93" s="520"/>
      <c r="K93" s="520"/>
      <c r="L93" s="520"/>
      <c r="M93" s="520"/>
      <c r="N93" s="520"/>
      <c r="O93" s="520"/>
      <c r="P93" s="520"/>
      <c r="Q93" s="520"/>
      <c r="R93" s="520"/>
      <c r="S93" s="520"/>
      <c r="T93" s="520"/>
      <c r="U93" s="520"/>
      <c r="V93" s="520"/>
      <c r="W93" s="520"/>
      <c r="X93" s="520"/>
      <c r="Y93" s="520"/>
      <c r="Z93" s="520"/>
      <c r="AA93" s="520"/>
      <c r="AB93" s="520"/>
      <c r="AC93" s="520"/>
      <c r="AD93" s="520"/>
      <c r="AE93" s="520"/>
      <c r="AF93" s="520"/>
      <c r="AG93" s="520"/>
      <c r="AH93" s="520"/>
      <c r="AI93" s="520"/>
      <c r="AJ93" s="520"/>
      <c r="AK93" s="520"/>
      <c r="AL93" s="520"/>
      <c r="AM93" s="520"/>
      <c r="AN93" s="520"/>
      <c r="AO93" s="520"/>
      <c r="AP93" s="520"/>
      <c r="AQ93" s="520"/>
      <c r="AR93" s="520"/>
      <c r="AS93" s="520"/>
      <c r="AT93" s="520"/>
      <c r="AU93" s="520"/>
      <c r="AV93" s="520"/>
      <c r="AW93" s="520"/>
      <c r="AX93" s="520"/>
      <c r="AY93" s="520"/>
      <c r="AZ93" s="520"/>
      <c r="BA93" s="520"/>
    </row>
    <row r="94" spans="2:53">
      <c r="B94" s="518" t="s">
        <v>918</v>
      </c>
      <c r="D94" s="569"/>
      <c r="E94" s="570"/>
      <c r="F94" s="572">
        <f>SUM(F86:F93)</f>
        <v>61178536439</v>
      </c>
      <c r="G94" s="572"/>
      <c r="H94" s="520"/>
      <c r="I94" s="520"/>
      <c r="J94" s="520"/>
      <c r="K94" s="520"/>
      <c r="L94" s="520"/>
      <c r="M94" s="520"/>
      <c r="N94" s="520"/>
      <c r="O94" s="520"/>
      <c r="P94" s="520"/>
      <c r="Q94" s="520"/>
      <c r="R94" s="520"/>
      <c r="S94" s="520"/>
      <c r="T94" s="520"/>
      <c r="U94" s="520"/>
      <c r="V94" s="520"/>
      <c r="W94" s="520"/>
      <c r="X94" s="520"/>
      <c r="Y94" s="520"/>
      <c r="Z94" s="520"/>
      <c r="AA94" s="520"/>
      <c r="AB94" s="520"/>
      <c r="AC94" s="520"/>
      <c r="AD94" s="520"/>
      <c r="AE94" s="520"/>
      <c r="AF94" s="520"/>
      <c r="AG94" s="520"/>
      <c r="AH94" s="520"/>
      <c r="AI94" s="520"/>
      <c r="AJ94" s="520"/>
      <c r="AK94" s="520"/>
      <c r="AL94" s="520"/>
      <c r="AM94" s="520"/>
      <c r="AN94" s="520"/>
      <c r="AO94" s="520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</row>
    <row r="95" spans="2:53">
      <c r="D95" s="568"/>
      <c r="E95" s="536"/>
      <c r="F95" s="571"/>
      <c r="G95" s="571"/>
      <c r="H95" s="520"/>
      <c r="I95" s="520"/>
      <c r="J95" s="520"/>
      <c r="K95" s="520"/>
      <c r="L95" s="520"/>
      <c r="M95" s="520"/>
      <c r="N95" s="520"/>
      <c r="O95" s="520"/>
      <c r="P95" s="520"/>
      <c r="Q95" s="520"/>
      <c r="R95" s="520"/>
      <c r="S95" s="520"/>
      <c r="T95" s="520"/>
      <c r="U95" s="520"/>
      <c r="V95" s="520"/>
      <c r="W95" s="520"/>
      <c r="X95" s="520"/>
      <c r="Y95" s="520"/>
      <c r="Z95" s="520"/>
      <c r="AA95" s="520"/>
      <c r="AB95" s="520"/>
      <c r="AC95" s="520"/>
      <c r="AD95" s="520"/>
      <c r="AE95" s="520"/>
      <c r="AF95" s="520"/>
      <c r="AG95" s="520"/>
      <c r="AH95" s="520"/>
      <c r="AI95" s="520"/>
      <c r="AJ95" s="520"/>
      <c r="AK95" s="520"/>
      <c r="AL95" s="520"/>
      <c r="AM95" s="520"/>
      <c r="AN95" s="520"/>
      <c r="AO95" s="520"/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</row>
    <row r="96" spans="2:53">
      <c r="B96" s="518"/>
      <c r="C96" s="518" t="s">
        <v>919</v>
      </c>
      <c r="D96" s="569"/>
      <c r="E96" s="570"/>
      <c r="F96" s="572">
        <f>H8</f>
        <v>61178535792</v>
      </c>
      <c r="G96" s="572"/>
      <c r="H96" s="520"/>
      <c r="I96" s="520"/>
      <c r="J96" s="520"/>
      <c r="K96" s="520"/>
      <c r="L96" s="520"/>
      <c r="M96" s="520"/>
      <c r="N96" s="520"/>
      <c r="O96" s="520"/>
      <c r="P96" s="520"/>
      <c r="Q96" s="520"/>
      <c r="R96" s="520"/>
      <c r="S96" s="520"/>
      <c r="T96" s="520"/>
      <c r="U96" s="520"/>
      <c r="V96" s="520"/>
      <c r="W96" s="520"/>
      <c r="X96" s="520"/>
      <c r="Y96" s="520"/>
      <c r="Z96" s="520"/>
      <c r="AA96" s="520"/>
      <c r="AB96" s="520"/>
      <c r="AC96" s="520"/>
      <c r="AD96" s="520"/>
      <c r="AE96" s="520"/>
      <c r="AF96" s="520"/>
      <c r="AG96" s="520"/>
      <c r="AH96" s="520"/>
      <c r="AI96" s="520"/>
      <c r="AJ96" s="520"/>
      <c r="AK96" s="520"/>
      <c r="AL96" s="520"/>
      <c r="AM96" s="520"/>
      <c r="AN96" s="520"/>
      <c r="AO96" s="520"/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</row>
    <row r="97" spans="2:53" ht="13.5" thickBot="1">
      <c r="B97" s="573"/>
      <c r="C97" s="573" t="s">
        <v>347</v>
      </c>
      <c r="D97" s="574"/>
      <c r="E97" s="575"/>
      <c r="F97" s="577">
        <f>F94-F96</f>
        <v>647</v>
      </c>
      <c r="G97" s="576"/>
      <c r="H97" s="578">
        <f>SUM(H11:H96)</f>
        <v>0</v>
      </c>
      <c r="I97" s="578">
        <f t="shared" ref="I97:AF97" si="17">SUM(I10:I96)</f>
        <v>0</v>
      </c>
      <c r="J97" s="578">
        <f t="shared" si="17"/>
        <v>0</v>
      </c>
      <c r="K97" s="578">
        <f t="shared" si="17"/>
        <v>0</v>
      </c>
      <c r="L97" s="578">
        <f t="shared" si="17"/>
        <v>0</v>
      </c>
      <c r="M97" s="578">
        <f t="shared" si="17"/>
        <v>0</v>
      </c>
      <c r="N97" s="578">
        <f t="shared" si="17"/>
        <v>0</v>
      </c>
      <c r="O97" s="578">
        <f t="shared" si="17"/>
        <v>0</v>
      </c>
      <c r="P97" s="578">
        <f t="shared" si="17"/>
        <v>0</v>
      </c>
      <c r="Q97" s="578">
        <f t="shared" si="17"/>
        <v>0</v>
      </c>
      <c r="R97" s="578">
        <f t="shared" si="17"/>
        <v>0</v>
      </c>
      <c r="S97" s="578">
        <f t="shared" si="17"/>
        <v>-1.4698638916015625</v>
      </c>
      <c r="T97" s="578">
        <f t="shared" si="17"/>
        <v>0</v>
      </c>
      <c r="U97" s="578">
        <f t="shared" si="17"/>
        <v>0.27500152587890625</v>
      </c>
      <c r="V97" s="578">
        <f t="shared" si="17"/>
        <v>-0.9976654052734375</v>
      </c>
      <c r="W97" s="578">
        <f t="shared" si="17"/>
        <v>0</v>
      </c>
      <c r="X97" s="578">
        <f t="shared" si="17"/>
        <v>0</v>
      </c>
      <c r="Y97" s="578">
        <f t="shared" si="17"/>
        <v>0</v>
      </c>
      <c r="Z97" s="578">
        <f t="shared" si="17"/>
        <v>-4</v>
      </c>
      <c r="AA97" s="578">
        <f t="shared" si="17"/>
        <v>-1</v>
      </c>
      <c r="AB97" s="578">
        <f t="shared" si="17"/>
        <v>0</v>
      </c>
      <c r="AC97" s="578">
        <f t="shared" si="17"/>
        <v>0</v>
      </c>
      <c r="AD97" s="578">
        <f t="shared" si="17"/>
        <v>0</v>
      </c>
      <c r="AE97" s="578">
        <f t="shared" si="17"/>
        <v>0</v>
      </c>
      <c r="AF97" s="578">
        <f t="shared" si="17"/>
        <v>0</v>
      </c>
      <c r="AG97" s="578"/>
      <c r="AH97" s="578"/>
      <c r="AI97" s="578">
        <f t="shared" ref="AI97:AP97" si="18">SUM(AI10:AI96)</f>
        <v>0</v>
      </c>
      <c r="AJ97" s="578">
        <f t="shared" si="18"/>
        <v>0</v>
      </c>
      <c r="AK97" s="578">
        <f t="shared" si="18"/>
        <v>0</v>
      </c>
      <c r="AL97" s="578">
        <f t="shared" si="18"/>
        <v>0</v>
      </c>
      <c r="AM97" s="578">
        <f t="shared" si="18"/>
        <v>0</v>
      </c>
      <c r="AN97" s="578">
        <f t="shared" si="18"/>
        <v>0</v>
      </c>
      <c r="AO97" s="578">
        <f t="shared" si="18"/>
        <v>0</v>
      </c>
      <c r="AP97" s="578">
        <f t="shared" si="18"/>
        <v>0</v>
      </c>
      <c r="AQ97" s="578"/>
      <c r="AR97" s="578">
        <f>SUM(AR10:AR96)</f>
        <v>0</v>
      </c>
      <c r="AS97" s="578">
        <f>SUM(AS10:AS96)</f>
        <v>0</v>
      </c>
      <c r="AT97" s="578">
        <f>SUM(AT10:AT96)</f>
        <v>-0.27490234375</v>
      </c>
      <c r="AU97" s="578">
        <f>SUM(AU10:AU96)</f>
        <v>0</v>
      </c>
      <c r="AV97" s="578">
        <f t="shared" ref="AV97" si="19">SUM(AV10:AV96)</f>
        <v>-1</v>
      </c>
      <c r="AW97" s="578">
        <f>SUM(AW10:AW96)</f>
        <v>-0.8642120361328125</v>
      </c>
      <c r="AX97" s="578">
        <f>SUM(AX10:AX96)</f>
        <v>0</v>
      </c>
      <c r="AY97" s="578">
        <f>SUM(AY10:AY96)</f>
        <v>-3.870880126953125</v>
      </c>
      <c r="AZ97" s="578">
        <f>SUM(AZ10:AZ96)</f>
        <v>659.15817260742188</v>
      </c>
      <c r="BA97" s="520"/>
    </row>
    <row r="98" spans="2:53">
      <c r="D98" s="568"/>
      <c r="E98" s="536"/>
      <c r="F98" s="571"/>
      <c r="G98" s="571"/>
      <c r="H98" s="520"/>
      <c r="I98" s="520"/>
      <c r="J98" s="520"/>
      <c r="K98" s="520"/>
      <c r="L98" s="520"/>
      <c r="M98" s="520"/>
      <c r="N98" s="520"/>
      <c r="O98" s="520"/>
      <c r="P98" s="520"/>
      <c r="Q98" s="520"/>
      <c r="R98" s="520"/>
      <c r="S98" s="520"/>
      <c r="T98" s="520"/>
      <c r="U98" s="520"/>
      <c r="V98" s="520"/>
      <c r="W98" s="520"/>
      <c r="X98" s="520"/>
      <c r="Y98" s="520"/>
      <c r="Z98" s="520"/>
      <c r="AA98" s="520"/>
      <c r="AB98" s="520"/>
      <c r="AC98" s="520"/>
      <c r="AD98" s="520"/>
      <c r="AE98" s="520"/>
      <c r="AF98" s="520"/>
      <c r="AG98" s="520"/>
      <c r="AH98" s="520"/>
      <c r="AI98" s="520"/>
      <c r="AJ98" s="520"/>
      <c r="AK98" s="520"/>
      <c r="AL98" s="520"/>
      <c r="AM98" s="520"/>
      <c r="AN98" s="520"/>
      <c r="AO98" s="520"/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</row>
    <row r="99" spans="2:53" s="579" customFormat="1">
      <c r="E99" s="580"/>
      <c r="H99" s="58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B583-1E6E-4E36-BC18-8B6F6509BCC9}">
  <dimension ref="B3:AD106"/>
  <sheetViews>
    <sheetView topLeftCell="B33" workbookViewId="0">
      <selection activeCell="E40" sqref="E40"/>
    </sheetView>
  </sheetViews>
  <sheetFormatPr defaultColWidth="9.1796875" defaultRowHeight="12.5"/>
  <cols>
    <col min="1" max="4" width="9.1796875" style="589"/>
    <col min="5" max="5" width="20.54296875" style="589" bestFit="1" customWidth="1"/>
    <col min="6" max="7" width="17.7265625" style="589" bestFit="1" customWidth="1"/>
    <col min="8" max="8" width="14.81640625" style="589" customWidth="1"/>
    <col min="9" max="9" width="16.81640625" style="589" bestFit="1" customWidth="1"/>
    <col min="10" max="10" width="14.81640625" style="589" customWidth="1"/>
    <col min="11" max="11" width="20.54296875" style="589" bestFit="1" customWidth="1"/>
    <col min="12" max="12" width="14.81640625" style="589" customWidth="1"/>
    <col min="13" max="13" width="17.7265625" style="589" bestFit="1" customWidth="1"/>
    <col min="14" max="14" width="9.1796875" style="589"/>
    <col min="15" max="15" width="18.7265625" style="589" bestFit="1" customWidth="1"/>
    <col min="16" max="16384" width="9.1796875" style="589"/>
  </cols>
  <sheetData>
    <row r="3" spans="2:29" s="519" customFormat="1" ht="13">
      <c r="I3" s="521"/>
    </row>
    <row r="4" spans="2:29" s="519" customFormat="1" ht="13">
      <c r="I4" s="521"/>
    </row>
    <row r="5" spans="2:29" s="519" customFormat="1" ht="13">
      <c r="E5" s="582" t="s">
        <v>640</v>
      </c>
      <c r="F5" s="582" t="s">
        <v>688</v>
      </c>
      <c r="G5" s="582" t="s">
        <v>740</v>
      </c>
      <c r="H5" s="582" t="s">
        <v>961</v>
      </c>
      <c r="I5" s="582" t="s">
        <v>609</v>
      </c>
      <c r="J5" s="582" t="s">
        <v>461</v>
      </c>
      <c r="K5" s="582" t="s">
        <v>11</v>
      </c>
      <c r="L5" s="582" t="s">
        <v>223</v>
      </c>
      <c r="M5" s="582" t="s">
        <v>926</v>
      </c>
    </row>
    <row r="6" spans="2:29" s="519" customFormat="1" ht="13">
      <c r="I6" s="521"/>
    </row>
    <row r="7" spans="2:29" s="584" customFormat="1" ht="13">
      <c r="B7" s="583" t="s">
        <v>927</v>
      </c>
      <c r="I7" s="585"/>
    </row>
    <row r="8" spans="2:29" s="519" customFormat="1" ht="13">
      <c r="E8" s="586" t="s">
        <v>640</v>
      </c>
      <c r="F8" s="586" t="s">
        <v>688</v>
      </c>
      <c r="G8" s="586" t="s">
        <v>740</v>
      </c>
      <c r="H8" s="586" t="s">
        <v>961</v>
      </c>
      <c r="I8" s="586" t="s">
        <v>609</v>
      </c>
      <c r="J8" s="586" t="s">
        <v>461</v>
      </c>
      <c r="K8" s="586" t="s">
        <v>11</v>
      </c>
      <c r="L8" s="586" t="s">
        <v>223</v>
      </c>
      <c r="M8" s="586" t="s">
        <v>926</v>
      </c>
    </row>
    <row r="9" spans="2:29" s="519" customFormat="1" ht="13">
      <c r="C9" s="519" t="s">
        <v>219</v>
      </c>
      <c r="E9" s="520">
        <f>'Supplementary CF 23'!E13</f>
        <v>55698008471.319778</v>
      </c>
      <c r="F9" s="520">
        <f>'Supplementary CF 23'!F13</f>
        <v>46825896393.607498</v>
      </c>
      <c r="G9" s="520">
        <f>'Supplementary CF 23'!G13</f>
        <v>0</v>
      </c>
      <c r="H9" s="520">
        <f>'Supplementary CF 23'!H13</f>
        <v>0</v>
      </c>
      <c r="I9" s="520">
        <f>'Supplementary CF 23'!I13</f>
        <v>47195762267.413124</v>
      </c>
      <c r="J9" s="520">
        <f>'Supplementary CF 23'!J13</f>
        <v>0</v>
      </c>
      <c r="K9" s="520">
        <f>SUM(E9:J9)</f>
        <v>149719667132.34039</v>
      </c>
      <c r="L9" s="520">
        <f>'Supplementary CF 23'!L13</f>
        <v>0</v>
      </c>
      <c r="M9" s="520">
        <f>SUM(K9:L9)</f>
        <v>149719667132.34039</v>
      </c>
      <c r="O9" s="595"/>
      <c r="P9" s="595"/>
      <c r="Q9" s="595"/>
      <c r="R9" s="595"/>
      <c r="S9" s="595"/>
      <c r="T9" s="595"/>
      <c r="U9" s="595"/>
      <c r="V9" s="595"/>
      <c r="W9" s="595"/>
      <c r="X9" s="595"/>
      <c r="Y9" s="595"/>
      <c r="Z9" s="595"/>
      <c r="AA9" s="595"/>
      <c r="AB9" s="595"/>
      <c r="AC9" s="595"/>
    </row>
    <row r="10" spans="2:29" s="519" customFormat="1" ht="13">
      <c r="C10" s="519" t="s">
        <v>928</v>
      </c>
      <c r="E10" s="521">
        <v>8153557038</v>
      </c>
      <c r="F10" s="521">
        <v>3112648271</v>
      </c>
      <c r="G10" s="521"/>
      <c r="H10" s="521"/>
      <c r="I10" s="521"/>
      <c r="J10" s="521"/>
      <c r="K10" s="521">
        <f t="shared" ref="K10:K11" si="0">SUM(E10:J10)</f>
        <v>11266205309</v>
      </c>
      <c r="L10" s="521"/>
      <c r="M10" s="521">
        <f t="shared" ref="M10:M12" si="1">SUM(K10:L10)</f>
        <v>11266205309</v>
      </c>
      <c r="O10" s="595"/>
      <c r="P10" s="595"/>
      <c r="Q10" s="595"/>
      <c r="R10" s="595"/>
      <c r="S10" s="595"/>
      <c r="T10" s="595"/>
      <c r="U10" s="595"/>
      <c r="V10" s="595"/>
      <c r="W10" s="595"/>
      <c r="X10" s="595"/>
      <c r="Y10" s="595"/>
    </row>
    <row r="11" spans="2:29" s="519" customFormat="1" ht="13">
      <c r="C11" s="519" t="s">
        <v>929</v>
      </c>
      <c r="E11" s="521"/>
      <c r="F11" s="521"/>
      <c r="G11" s="521"/>
      <c r="H11" s="521"/>
      <c r="I11" s="521"/>
      <c r="J11" s="521"/>
      <c r="K11" s="521">
        <f t="shared" si="0"/>
        <v>0</v>
      </c>
      <c r="L11" s="521"/>
      <c r="M11" s="521">
        <f t="shared" si="1"/>
        <v>0</v>
      </c>
      <c r="O11" s="595"/>
      <c r="P11" s="595"/>
      <c r="Q11" s="595"/>
      <c r="R11" s="595"/>
      <c r="S11" s="595"/>
      <c r="T11" s="595"/>
      <c r="U11" s="595"/>
      <c r="V11" s="595"/>
      <c r="W11" s="595"/>
      <c r="X11" s="595"/>
      <c r="Y11" s="595"/>
    </row>
    <row r="12" spans="2:29" s="519" customFormat="1" ht="13">
      <c r="C12" s="519" t="s">
        <v>930</v>
      </c>
      <c r="E12" s="587"/>
      <c r="F12" s="587"/>
      <c r="G12" s="587"/>
      <c r="H12" s="587"/>
      <c r="I12" s="587"/>
      <c r="J12" s="587"/>
      <c r="K12" s="587"/>
      <c r="L12" s="587"/>
      <c r="M12" s="587">
        <f t="shared" si="1"/>
        <v>0</v>
      </c>
      <c r="O12" s="595"/>
      <c r="P12" s="595"/>
      <c r="Q12" s="595"/>
      <c r="R12" s="595"/>
      <c r="S12" s="595"/>
      <c r="T12" s="595"/>
      <c r="U12" s="595"/>
      <c r="V12" s="595"/>
      <c r="W12" s="595"/>
      <c r="X12" s="595"/>
      <c r="Y12" s="595"/>
    </row>
    <row r="13" spans="2:29" s="519" customFormat="1" ht="13">
      <c r="C13" s="519" t="s">
        <v>224</v>
      </c>
      <c r="E13" s="520">
        <f>SUM(E9:E12)</f>
        <v>63851565509.319778</v>
      </c>
      <c r="F13" s="520">
        <f t="shared" ref="F13:M13" si="2">SUM(F9:F12)</f>
        <v>49938544664.607498</v>
      </c>
      <c r="G13" s="520">
        <f t="shared" si="2"/>
        <v>0</v>
      </c>
      <c r="H13" s="520">
        <f t="shared" si="2"/>
        <v>0</v>
      </c>
      <c r="I13" s="520">
        <f t="shared" si="2"/>
        <v>47195762267.413124</v>
      </c>
      <c r="J13" s="520">
        <f t="shared" si="2"/>
        <v>0</v>
      </c>
      <c r="K13" s="520">
        <f t="shared" si="2"/>
        <v>160985872441.34039</v>
      </c>
      <c r="L13" s="520">
        <f t="shared" si="2"/>
        <v>0</v>
      </c>
      <c r="M13" s="520">
        <f t="shared" si="2"/>
        <v>160985872441.34039</v>
      </c>
    </row>
    <row r="14" spans="2:29" s="519" customFormat="1" ht="13">
      <c r="C14" s="519" t="s">
        <v>931</v>
      </c>
      <c r="E14" s="567"/>
      <c r="F14" s="567"/>
      <c r="G14" s="567"/>
      <c r="H14" s="567"/>
      <c r="I14" s="567"/>
      <c r="J14" s="567"/>
      <c r="K14" s="567"/>
      <c r="L14" s="567"/>
      <c r="M14" s="567"/>
    </row>
    <row r="15" spans="2:29" s="519" customFormat="1" ht="13">
      <c r="C15" s="588" t="s">
        <v>347</v>
      </c>
      <c r="D15" s="588"/>
      <c r="E15" s="520"/>
      <c r="I15" s="521"/>
      <c r="J15" s="521"/>
      <c r="K15" s="521"/>
      <c r="L15" s="521"/>
      <c r="M15" s="521"/>
    </row>
    <row r="16" spans="2:29" s="519" customFormat="1" ht="13">
      <c r="E16" s="520"/>
      <c r="H16" s="560"/>
      <c r="I16" s="521"/>
    </row>
    <row r="17" spans="2:25">
      <c r="F17" s="590"/>
    </row>
    <row r="18" spans="2:25" s="584" customFormat="1" ht="13">
      <c r="B18" s="583" t="s">
        <v>45</v>
      </c>
      <c r="I18" s="585"/>
    </row>
    <row r="20" spans="2:25" ht="13">
      <c r="C20" s="519"/>
      <c r="D20" s="519"/>
      <c r="E20" s="586" t="s">
        <v>640</v>
      </c>
      <c r="F20" s="586" t="s">
        <v>688</v>
      </c>
      <c r="G20" s="586" t="s">
        <v>740</v>
      </c>
      <c r="H20" s="586" t="s">
        <v>961</v>
      </c>
      <c r="I20" s="586" t="s">
        <v>609</v>
      </c>
      <c r="J20" s="586" t="s">
        <v>461</v>
      </c>
      <c r="K20" s="586" t="s">
        <v>11</v>
      </c>
      <c r="L20" s="586" t="s">
        <v>223</v>
      </c>
      <c r="M20" s="586" t="s">
        <v>926</v>
      </c>
      <c r="N20" s="519"/>
    </row>
    <row r="21" spans="2:25" ht="13">
      <c r="C21" s="519" t="s">
        <v>932</v>
      </c>
      <c r="D21" s="519"/>
      <c r="E21" s="520">
        <f>'Supplementary CF 23'!E26</f>
        <v>278653420.3635</v>
      </c>
      <c r="F21" s="520">
        <f>'Supplementary CF 23'!F26</f>
        <v>21360897427.410141</v>
      </c>
      <c r="G21" s="520">
        <f>'Supplementary CF 23'!G26</f>
        <v>181298250</v>
      </c>
      <c r="H21" s="520">
        <f>'Supplementary CF 23'!H26</f>
        <v>0</v>
      </c>
      <c r="I21" s="520">
        <f>'Supplementary CF 23'!I26</f>
        <v>11861882.581500001</v>
      </c>
      <c r="J21" s="520">
        <f>'Supplementary CF 23'!J26</f>
        <v>0</v>
      </c>
      <c r="K21" s="520">
        <f>SUM(E21:J21)</f>
        <v>21832710980.355141</v>
      </c>
      <c r="L21" s="520">
        <f>'Supplementary CF 23'!L26</f>
        <v>0</v>
      </c>
      <c r="M21" s="520">
        <f>SUM(K21:L21)</f>
        <v>21832710980.355141</v>
      </c>
      <c r="N21" s="519"/>
      <c r="O21" s="597"/>
      <c r="P21" s="597"/>
      <c r="Q21" s="597"/>
      <c r="R21" s="597"/>
      <c r="S21" s="597"/>
      <c r="T21" s="597"/>
      <c r="U21" s="597"/>
      <c r="V21" s="597"/>
      <c r="W21" s="597"/>
      <c r="X21" s="597"/>
      <c r="Y21" s="597"/>
    </row>
    <row r="22" spans="2:25" ht="13">
      <c r="C22" s="519" t="s">
        <v>928</v>
      </c>
      <c r="D22" s="519"/>
      <c r="E22" s="521">
        <v>318416355.6365</v>
      </c>
      <c r="F22" s="521">
        <v>24866364588.589859</v>
      </c>
      <c r="G22" s="521">
        <v>15780732624</v>
      </c>
      <c r="H22" s="521">
        <v>58866215</v>
      </c>
      <c r="I22" s="521">
        <f>'Consol SoFP 24'!T43-10765518.7815</f>
        <v>27662591140.518497</v>
      </c>
      <c r="J22" s="521">
        <v>8465625</v>
      </c>
      <c r="K22" s="520">
        <f t="shared" ref="K22:K24" si="3">SUM(E22:J22)</f>
        <v>68695436548.744858</v>
      </c>
      <c r="L22" s="521"/>
      <c r="M22" s="520">
        <f t="shared" ref="M22:M24" si="4">SUM(K22:L22)</f>
        <v>68695436548.744858</v>
      </c>
      <c r="N22" s="519"/>
      <c r="O22" s="597"/>
      <c r="P22" s="597"/>
      <c r="Q22" s="597"/>
      <c r="R22" s="597"/>
      <c r="S22" s="597"/>
      <c r="T22" s="597"/>
      <c r="U22" s="597"/>
      <c r="V22" s="597"/>
      <c r="W22" s="597"/>
      <c r="X22" s="597"/>
    </row>
    <row r="23" spans="2:25" ht="13">
      <c r="C23" s="519" t="s">
        <v>933</v>
      </c>
      <c r="D23" s="519"/>
      <c r="E23" s="521"/>
      <c r="F23" s="521"/>
      <c r="G23" s="521"/>
      <c r="H23" s="521"/>
      <c r="I23" s="521"/>
      <c r="J23" s="521"/>
      <c r="K23" s="520">
        <f t="shared" si="3"/>
        <v>0</v>
      </c>
      <c r="L23" s="521"/>
      <c r="M23" s="520">
        <f t="shared" si="4"/>
        <v>0</v>
      </c>
      <c r="N23" s="519"/>
      <c r="O23" s="597"/>
      <c r="P23" s="597"/>
      <c r="Q23" s="597"/>
      <c r="R23" s="597"/>
      <c r="S23" s="597"/>
      <c r="T23" s="597"/>
      <c r="U23" s="597"/>
      <c r="V23" s="597"/>
      <c r="W23" s="597"/>
      <c r="X23" s="597"/>
    </row>
    <row r="24" spans="2:25" ht="13">
      <c r="C24" s="519" t="s">
        <v>934</v>
      </c>
      <c r="D24" s="519"/>
      <c r="E24" s="521">
        <v>-163455653</v>
      </c>
      <c r="F24" s="521">
        <v>-18378573400</v>
      </c>
      <c r="G24" s="521">
        <f>-'Consol SoPL-OCI 24'!P25</f>
        <v>-64132685</v>
      </c>
      <c r="H24" s="521">
        <f>-'Consol SoPL-OCI 24'!T25</f>
        <v>-6835992</v>
      </c>
      <c r="I24" s="521">
        <v>-1096363.7999992401</v>
      </c>
      <c r="J24" s="521">
        <f>-'Consol SoPL-OCI 24'!Z25</f>
        <v>-6352499.4749999996</v>
      </c>
      <c r="K24" s="520">
        <f t="shared" si="3"/>
        <v>-18620446593.274998</v>
      </c>
      <c r="L24" s="521"/>
      <c r="M24" s="520">
        <f t="shared" si="4"/>
        <v>-18620446593.274998</v>
      </c>
      <c r="N24" s="519"/>
      <c r="O24" s="597"/>
      <c r="P24" s="597"/>
      <c r="Q24" s="597"/>
      <c r="R24" s="597"/>
      <c r="S24" s="597"/>
      <c r="T24" s="597"/>
      <c r="U24" s="597"/>
      <c r="V24" s="597"/>
      <c r="W24" s="597"/>
      <c r="X24" s="597"/>
    </row>
    <row r="25" spans="2:25" ht="13">
      <c r="C25" s="519" t="s">
        <v>935</v>
      </c>
      <c r="D25" s="519"/>
      <c r="E25" s="587"/>
      <c r="F25" s="587"/>
      <c r="G25" s="587"/>
      <c r="H25" s="587"/>
      <c r="I25" s="587"/>
      <c r="J25" s="587"/>
      <c r="K25" s="587">
        <f t="shared" ref="K25" si="5">SUM(E25:J25)</f>
        <v>0</v>
      </c>
      <c r="L25" s="587"/>
      <c r="M25" s="587">
        <f>'Supplementary CF 23'!M30</f>
        <v>0</v>
      </c>
      <c r="N25" s="519"/>
      <c r="O25" s="597"/>
      <c r="P25" s="597"/>
      <c r="Q25" s="597"/>
      <c r="R25" s="597"/>
      <c r="S25" s="597"/>
      <c r="T25" s="597"/>
      <c r="U25" s="597"/>
      <c r="V25" s="597"/>
      <c r="W25" s="597"/>
      <c r="X25" s="597"/>
    </row>
    <row r="26" spans="2:25" ht="13">
      <c r="C26" s="519" t="s">
        <v>224</v>
      </c>
      <c r="D26" s="519"/>
      <c r="E26" s="520">
        <f t="shared" ref="E26:M26" si="6">SUM(E21:E25)</f>
        <v>433614123</v>
      </c>
      <c r="F26" s="520">
        <f t="shared" si="6"/>
        <v>27848688616</v>
      </c>
      <c r="G26" s="520">
        <f t="shared" si="6"/>
        <v>15897898189</v>
      </c>
      <c r="H26" s="520">
        <f t="shared" si="6"/>
        <v>52030223</v>
      </c>
      <c r="I26" s="520">
        <f t="shared" si="6"/>
        <v>27673356659.299999</v>
      </c>
      <c r="J26" s="520">
        <f>SUM(J21:J25)</f>
        <v>2113125.5250000004</v>
      </c>
      <c r="K26" s="520">
        <f t="shared" si="6"/>
        <v>71907700935.825012</v>
      </c>
      <c r="L26" s="520">
        <f t="shared" si="6"/>
        <v>0</v>
      </c>
      <c r="M26" s="520">
        <f t="shared" si="6"/>
        <v>71907700935.825012</v>
      </c>
      <c r="N26" s="519"/>
    </row>
    <row r="27" spans="2:25" ht="13">
      <c r="C27" s="519" t="s">
        <v>931</v>
      </c>
      <c r="D27" s="519"/>
      <c r="E27" s="567">
        <f>'Consol SoFP 24'!H43</f>
        <v>433614123</v>
      </c>
      <c r="F27" s="567">
        <f>'Consol SoFP 24'!L43</f>
        <v>27848688616</v>
      </c>
      <c r="G27" s="567">
        <f>'Consol SoFP 24'!O43</f>
        <v>15897898189</v>
      </c>
      <c r="H27" s="567">
        <f>'Consol SoFP 24'!S43</f>
        <v>52030223</v>
      </c>
      <c r="I27" s="567">
        <f>'Consol SoFP 24'!V43</f>
        <v>27673356659.299999</v>
      </c>
      <c r="J27" s="567">
        <f>'Consol SoFP 24'!Y43</f>
        <v>2113125.5249999999</v>
      </c>
      <c r="K27" s="567">
        <f>'Consol SoFP 24'!AE43</f>
        <v>71907700935.824997</v>
      </c>
      <c r="L27" s="567"/>
      <c r="M27" s="567">
        <f>'Consol SoFP 24'!AH43</f>
        <v>71907700936</v>
      </c>
      <c r="N27" s="519"/>
    </row>
    <row r="28" spans="2:25" ht="13">
      <c r="C28" s="588" t="s">
        <v>347</v>
      </c>
      <c r="D28" s="588"/>
      <c r="E28" s="520">
        <f>E26-E27</f>
        <v>0</v>
      </c>
      <c r="F28" s="520">
        <f t="shared" ref="F28:M28" si="7">F26-F27</f>
        <v>0</v>
      </c>
      <c r="G28" s="520">
        <f t="shared" si="7"/>
        <v>0</v>
      </c>
      <c r="H28" s="520">
        <f t="shared" si="7"/>
        <v>0</v>
      </c>
      <c r="I28" s="520">
        <f t="shared" si="7"/>
        <v>0</v>
      </c>
      <c r="J28" s="520">
        <f t="shared" si="7"/>
        <v>0</v>
      </c>
      <c r="K28" s="520">
        <f t="shared" si="7"/>
        <v>0</v>
      </c>
      <c r="L28" s="520">
        <f t="shared" si="7"/>
        <v>0</v>
      </c>
      <c r="M28" s="520">
        <f t="shared" si="7"/>
        <v>-0.17498779296875</v>
      </c>
      <c r="N28" s="519"/>
    </row>
    <row r="29" spans="2:25">
      <c r="E29" s="590"/>
      <c r="F29" s="590">
        <f>-F28</f>
        <v>0</v>
      </c>
      <c r="J29" s="590"/>
    </row>
    <row r="30" spans="2:25" ht="13">
      <c r="C30" s="519" t="s">
        <v>936</v>
      </c>
      <c r="E30" s="521"/>
      <c r="F30" s="521"/>
      <c r="G30" s="521"/>
      <c r="H30" s="521"/>
      <c r="I30" s="521"/>
      <c r="J30" s="521"/>
      <c r="K30" s="521"/>
      <c r="L30" s="521"/>
      <c r="M30" s="521"/>
    </row>
    <row r="31" spans="2:25" ht="13">
      <c r="C31" s="519" t="s">
        <v>937</v>
      </c>
      <c r="E31" s="521">
        <f>E22</f>
        <v>318416355.6365</v>
      </c>
      <c r="F31" s="521">
        <f t="shared" ref="F31:J31" si="8">F22</f>
        <v>24866364588.589859</v>
      </c>
      <c r="G31" s="521"/>
      <c r="H31" s="521">
        <f t="shared" si="8"/>
        <v>58866215</v>
      </c>
      <c r="I31" s="521"/>
      <c r="J31" s="521">
        <f t="shared" si="8"/>
        <v>8465625</v>
      </c>
      <c r="K31" s="521">
        <f>SUM(E31:J31)</f>
        <v>25252112784.22636</v>
      </c>
      <c r="L31" s="521">
        <v>0</v>
      </c>
      <c r="M31" s="521">
        <f>SUM(K31:L31)</f>
        <v>25252112784.22636</v>
      </c>
      <c r="O31" s="597"/>
      <c r="P31" s="597"/>
      <c r="Q31" s="597"/>
      <c r="R31" s="597"/>
      <c r="S31" s="597"/>
      <c r="T31" s="597"/>
      <c r="U31" s="597"/>
      <c r="V31" s="597"/>
      <c r="W31" s="597"/>
      <c r="X31" s="597"/>
      <c r="Y31" s="597"/>
    </row>
    <row r="32" spans="2:25" ht="13">
      <c r="C32" s="519" t="s">
        <v>938</v>
      </c>
      <c r="E32" s="521"/>
      <c r="F32" s="521"/>
      <c r="G32" s="521">
        <v>2345151396</v>
      </c>
      <c r="H32" s="521"/>
      <c r="I32" s="521"/>
      <c r="J32" s="521"/>
      <c r="K32" s="521">
        <f>SUM(E32:J32)</f>
        <v>2345151396</v>
      </c>
      <c r="L32" s="521"/>
      <c r="M32" s="521">
        <f t="shared" ref="M32:M33" si="9">SUM(K32:L32)</f>
        <v>2345151396</v>
      </c>
      <c r="O32" s="597"/>
      <c r="P32" s="597"/>
      <c r="Q32" s="597"/>
      <c r="R32" s="597"/>
      <c r="S32" s="597"/>
      <c r="T32" s="597"/>
      <c r="U32" s="597"/>
      <c r="V32" s="597"/>
      <c r="W32" s="597"/>
      <c r="X32" s="597"/>
    </row>
    <row r="33" spans="2:25" ht="13">
      <c r="C33" s="519" t="s">
        <v>939</v>
      </c>
      <c r="E33" s="591"/>
      <c r="F33" s="591"/>
      <c r="G33" s="591">
        <v>13435581228</v>
      </c>
      <c r="H33" s="591"/>
      <c r="I33" s="591">
        <f>I22</f>
        <v>27662591140.518497</v>
      </c>
      <c r="J33" s="591"/>
      <c r="K33" s="591">
        <f>SUM(E33:J33)</f>
        <v>41098172368.518494</v>
      </c>
      <c r="L33" s="591"/>
      <c r="M33" s="591">
        <f t="shared" si="9"/>
        <v>41098172368.518494</v>
      </c>
    </row>
    <row r="34" spans="2:25" ht="13">
      <c r="C34" s="519" t="s">
        <v>940</v>
      </c>
      <c r="D34" s="519"/>
      <c r="E34" s="520">
        <f>SUM(E31:E33)</f>
        <v>318416355.6365</v>
      </c>
      <c r="F34" s="520">
        <f>SUM(F31:F33)</f>
        <v>24866364588.589859</v>
      </c>
      <c r="G34" s="520">
        <f>SUM(G31:G33)</f>
        <v>15780732624</v>
      </c>
      <c r="H34" s="520">
        <f t="shared" ref="H34:M34" si="10">SUM(H31:H33)</f>
        <v>58866215</v>
      </c>
      <c r="I34" s="520">
        <f t="shared" si="10"/>
        <v>27662591140.518497</v>
      </c>
      <c r="J34" s="520">
        <f t="shared" si="10"/>
        <v>8465625</v>
      </c>
      <c r="K34" s="520">
        <f t="shared" si="10"/>
        <v>68695436548.744858</v>
      </c>
      <c r="L34" s="520">
        <f t="shared" si="10"/>
        <v>0</v>
      </c>
      <c r="M34" s="520">
        <f t="shared" si="10"/>
        <v>68695436548.744858</v>
      </c>
      <c r="N34" s="519"/>
    </row>
    <row r="35" spans="2:25" ht="13">
      <c r="C35" s="519" t="s">
        <v>111</v>
      </c>
      <c r="D35" s="519"/>
      <c r="E35" s="567">
        <f>E22-E34</f>
        <v>0</v>
      </c>
      <c r="F35" s="567">
        <f t="shared" ref="F35:M35" si="11">F22-F34</f>
        <v>0</v>
      </c>
      <c r="G35" s="567">
        <f t="shared" si="11"/>
        <v>0</v>
      </c>
      <c r="H35" s="567">
        <f t="shared" si="11"/>
        <v>0</v>
      </c>
      <c r="I35" s="567">
        <f t="shared" si="11"/>
        <v>0</v>
      </c>
      <c r="J35" s="567">
        <f t="shared" si="11"/>
        <v>0</v>
      </c>
      <c r="K35" s="567">
        <f t="shared" si="11"/>
        <v>0</v>
      </c>
      <c r="L35" s="567">
        <f t="shared" si="11"/>
        <v>0</v>
      </c>
      <c r="M35" s="567">
        <f t="shared" si="11"/>
        <v>0</v>
      </c>
      <c r="N35" s="519"/>
    </row>
    <row r="36" spans="2:25">
      <c r="G36" s="590">
        <f>-G35</f>
        <v>0</v>
      </c>
      <c r="I36" s="631"/>
    </row>
    <row r="37" spans="2:25" s="584" customFormat="1" ht="13">
      <c r="B37" s="583" t="s">
        <v>941</v>
      </c>
      <c r="I37" s="585"/>
    </row>
    <row r="38" spans="2:25" ht="13">
      <c r="B38" s="185" t="s">
        <v>942</v>
      </c>
    </row>
    <row r="39" spans="2:25" ht="13">
      <c r="C39" s="519"/>
      <c r="D39" s="519"/>
      <c r="E39" s="586" t="s">
        <v>640</v>
      </c>
      <c r="F39" s="586" t="s">
        <v>688</v>
      </c>
      <c r="G39" s="586" t="s">
        <v>740</v>
      </c>
      <c r="H39" s="586" t="s">
        <v>961</v>
      </c>
      <c r="I39" s="586" t="s">
        <v>609</v>
      </c>
      <c r="J39" s="586" t="s">
        <v>461</v>
      </c>
      <c r="K39" s="586" t="s">
        <v>11</v>
      </c>
      <c r="L39" s="586" t="s">
        <v>223</v>
      </c>
      <c r="M39" s="586" t="s">
        <v>926</v>
      </c>
      <c r="N39" s="519"/>
    </row>
    <row r="40" spans="2:25" ht="13">
      <c r="C40" s="519" t="s">
        <v>932</v>
      </c>
      <c r="D40" s="519"/>
      <c r="E40" s="520">
        <f>'Supplementary CF 23'!E45</f>
        <v>0</v>
      </c>
      <c r="F40" s="520">
        <f>'Supplementary CF 23'!F45</f>
        <v>11843914378.275024</v>
      </c>
      <c r="G40" s="520">
        <f>'Supplementary CF 23'!G45</f>
        <v>0</v>
      </c>
      <c r="H40" s="520">
        <f>'Supplementary CF 23'!H45</f>
        <v>0</v>
      </c>
      <c r="I40" s="520">
        <f>'Supplementary CF 23'!I45</f>
        <v>0</v>
      </c>
      <c r="J40" s="520">
        <f>'Supplementary CF 23'!J45</f>
        <v>0</v>
      </c>
      <c r="K40" s="520">
        <f>SUM(E40:J40)</f>
        <v>11843914378.275024</v>
      </c>
      <c r="L40" s="520">
        <v>0</v>
      </c>
      <c r="M40" s="520">
        <f>SUM(K40:L40)</f>
        <v>11843914378.275024</v>
      </c>
      <c r="N40" s="519"/>
      <c r="O40" s="596"/>
      <c r="P40" s="596"/>
      <c r="Q40" s="596"/>
      <c r="R40" s="596"/>
      <c r="S40" s="596"/>
      <c r="T40" s="596"/>
      <c r="U40" s="596"/>
      <c r="V40" s="596"/>
      <c r="W40" s="596"/>
      <c r="X40" s="596"/>
      <c r="Y40" s="596"/>
    </row>
    <row r="41" spans="2:25" ht="13">
      <c r="C41" s="519" t="s">
        <v>928</v>
      </c>
      <c r="D41" s="519"/>
      <c r="E41" s="521">
        <v>0</v>
      </c>
      <c r="F41" s="521">
        <v>34228483621.724998</v>
      </c>
      <c r="G41" s="521">
        <v>0</v>
      </c>
      <c r="H41" s="521">
        <v>0</v>
      </c>
      <c r="I41" s="521">
        <v>0</v>
      </c>
      <c r="J41" s="521">
        <v>0</v>
      </c>
      <c r="K41" s="521">
        <f t="shared" ref="K41:K44" si="12">SUM(E41:J41)</f>
        <v>34228483621.724998</v>
      </c>
      <c r="L41" s="521">
        <v>0</v>
      </c>
      <c r="M41" s="521">
        <f t="shared" ref="M41:M44" si="13">SUM(K41:L41)</f>
        <v>34228483621.724998</v>
      </c>
      <c r="N41" s="519"/>
      <c r="O41" s="596"/>
      <c r="P41" s="596"/>
      <c r="Q41" s="596"/>
      <c r="R41" s="596"/>
      <c r="S41" s="596"/>
      <c r="T41" s="596"/>
      <c r="U41" s="596"/>
      <c r="V41" s="596"/>
      <c r="W41" s="596"/>
      <c r="X41" s="596"/>
    </row>
    <row r="42" spans="2:25" ht="13">
      <c r="C42" s="519" t="s">
        <v>933</v>
      </c>
      <c r="D42" s="519"/>
      <c r="E42" s="521">
        <v>0</v>
      </c>
      <c r="F42" s="521"/>
      <c r="G42" s="521">
        <v>0</v>
      </c>
      <c r="H42" s="521">
        <v>0</v>
      </c>
      <c r="I42" s="521">
        <v>0</v>
      </c>
      <c r="J42" s="521">
        <v>0</v>
      </c>
      <c r="K42" s="521">
        <f t="shared" si="12"/>
        <v>0</v>
      </c>
      <c r="L42" s="521">
        <v>0</v>
      </c>
      <c r="M42" s="521">
        <f t="shared" si="13"/>
        <v>0</v>
      </c>
      <c r="N42" s="519"/>
      <c r="O42" s="596"/>
      <c r="P42" s="596"/>
      <c r="Q42" s="596"/>
      <c r="R42" s="596"/>
      <c r="S42" s="596"/>
      <c r="T42" s="596"/>
      <c r="U42" s="596"/>
      <c r="V42" s="596"/>
      <c r="W42" s="596"/>
      <c r="X42" s="596"/>
    </row>
    <row r="43" spans="2:25" ht="13">
      <c r="C43" s="519" t="s">
        <v>934</v>
      </c>
      <c r="D43" s="519"/>
      <c r="E43" s="521">
        <v>0</v>
      </c>
      <c r="F43" s="521">
        <v>-9829951191</v>
      </c>
      <c r="G43" s="521">
        <v>0</v>
      </c>
      <c r="H43" s="521">
        <v>0</v>
      </c>
      <c r="I43" s="521">
        <v>0</v>
      </c>
      <c r="J43" s="521">
        <v>0</v>
      </c>
      <c r="K43" s="520">
        <f>SUM(E43:J43)</f>
        <v>-9829951191</v>
      </c>
      <c r="L43" s="521">
        <v>0</v>
      </c>
      <c r="M43" s="521">
        <f t="shared" si="13"/>
        <v>-9829951191</v>
      </c>
      <c r="N43" s="519"/>
      <c r="O43" s="596"/>
      <c r="P43" s="596"/>
      <c r="Q43" s="596"/>
      <c r="R43" s="596"/>
      <c r="S43" s="596"/>
      <c r="T43" s="596"/>
      <c r="U43" s="596"/>
      <c r="V43" s="596"/>
      <c r="W43" s="596"/>
      <c r="X43" s="596"/>
    </row>
    <row r="44" spans="2:25" ht="13">
      <c r="C44" s="519" t="s">
        <v>935</v>
      </c>
      <c r="D44" s="519"/>
      <c r="E44" s="587">
        <v>0</v>
      </c>
      <c r="F44" s="587"/>
      <c r="G44" s="587">
        <v>0</v>
      </c>
      <c r="H44" s="587">
        <v>0</v>
      </c>
      <c r="I44" s="587">
        <v>0</v>
      </c>
      <c r="J44" s="587">
        <v>0</v>
      </c>
      <c r="K44" s="587">
        <f t="shared" si="12"/>
        <v>0</v>
      </c>
      <c r="L44" s="587">
        <v>0</v>
      </c>
      <c r="M44" s="587">
        <f t="shared" si="13"/>
        <v>0</v>
      </c>
      <c r="N44" s="519"/>
      <c r="O44" s="596"/>
      <c r="P44" s="596"/>
      <c r="Q44" s="596"/>
      <c r="R44" s="596"/>
      <c r="S44" s="596"/>
      <c r="T44" s="596"/>
      <c r="U44" s="596"/>
      <c r="V44" s="596"/>
      <c r="W44" s="596"/>
      <c r="X44" s="596"/>
    </row>
    <row r="45" spans="2:25" ht="13">
      <c r="C45" s="519" t="s">
        <v>224</v>
      </c>
      <c r="D45" s="519"/>
      <c r="E45" s="520">
        <f t="shared" ref="E45:M45" si="14">SUM(E40:E44)</f>
        <v>0</v>
      </c>
      <c r="F45" s="520">
        <f t="shared" si="14"/>
        <v>36242446809.000023</v>
      </c>
      <c r="G45" s="520">
        <f t="shared" si="14"/>
        <v>0</v>
      </c>
      <c r="H45" s="520">
        <f t="shared" si="14"/>
        <v>0</v>
      </c>
      <c r="I45" s="520">
        <f t="shared" si="14"/>
        <v>0</v>
      </c>
      <c r="J45" s="520">
        <f t="shared" si="14"/>
        <v>0</v>
      </c>
      <c r="K45" s="520">
        <f t="shared" si="14"/>
        <v>36242446809.000023</v>
      </c>
      <c r="L45" s="520">
        <f t="shared" si="14"/>
        <v>0</v>
      </c>
      <c r="M45" s="520">
        <f t="shared" si="14"/>
        <v>36242446809.000023</v>
      </c>
      <c r="N45" s="519"/>
    </row>
    <row r="46" spans="2:25" ht="13">
      <c r="C46" s="519" t="s">
        <v>931</v>
      </c>
      <c r="D46" s="519"/>
      <c r="E46" s="567">
        <v>0</v>
      </c>
      <c r="F46" s="567">
        <f>'Consol SoFP 24'!L45</f>
        <v>36242446809</v>
      </c>
      <c r="G46" s="567">
        <v>0</v>
      </c>
      <c r="H46" s="567"/>
      <c r="I46" s="567">
        <v>0</v>
      </c>
      <c r="J46" s="567"/>
      <c r="K46" s="567">
        <f>'Consol SoFP 24'!AE45</f>
        <v>36242446809</v>
      </c>
      <c r="L46" s="567"/>
      <c r="M46" s="567">
        <f>'Consol SoFP 24'!AH45</f>
        <v>36242446809</v>
      </c>
      <c r="N46" s="519"/>
    </row>
    <row r="47" spans="2:25" ht="13">
      <c r="C47" s="588" t="s">
        <v>347</v>
      </c>
      <c r="D47" s="588"/>
      <c r="E47" s="520">
        <f>E45-E46</f>
        <v>0</v>
      </c>
      <c r="F47" s="520">
        <f t="shared" ref="F47:M47" si="15">F45-F46</f>
        <v>0</v>
      </c>
      <c r="G47" s="520">
        <f t="shared" si="15"/>
        <v>0</v>
      </c>
      <c r="H47" s="520">
        <f t="shared" si="15"/>
        <v>0</v>
      </c>
      <c r="I47" s="520">
        <f t="shared" si="15"/>
        <v>0</v>
      </c>
      <c r="J47" s="520">
        <f t="shared" si="15"/>
        <v>0</v>
      </c>
      <c r="K47" s="520">
        <f t="shared" si="15"/>
        <v>0</v>
      </c>
      <c r="L47" s="520">
        <f t="shared" si="15"/>
        <v>0</v>
      </c>
      <c r="M47" s="520">
        <f t="shared" si="15"/>
        <v>0</v>
      </c>
      <c r="N47" s="519"/>
    </row>
    <row r="49" spans="2:25" ht="13">
      <c r="B49" s="185" t="s">
        <v>852</v>
      </c>
    </row>
    <row r="50" spans="2:25" ht="13">
      <c r="C50" s="519"/>
      <c r="D50" s="519"/>
      <c r="E50" s="586" t="s">
        <v>640</v>
      </c>
      <c r="F50" s="586" t="s">
        <v>688</v>
      </c>
      <c r="G50" s="586" t="s">
        <v>740</v>
      </c>
      <c r="H50" s="586" t="s">
        <v>961</v>
      </c>
      <c r="I50" s="586" t="s">
        <v>609</v>
      </c>
      <c r="J50" s="586" t="s">
        <v>461</v>
      </c>
      <c r="K50" s="586" t="s">
        <v>11</v>
      </c>
      <c r="L50" s="586" t="s">
        <v>223</v>
      </c>
      <c r="M50" s="586" t="s">
        <v>926</v>
      </c>
      <c r="N50" s="519"/>
    </row>
    <row r="51" spans="2:25" ht="13">
      <c r="C51" s="519" t="s">
        <v>219</v>
      </c>
      <c r="D51" s="519"/>
      <c r="E51" s="520">
        <v>0</v>
      </c>
      <c r="F51" s="520">
        <f>'Supplementary CF 23'!F57</f>
        <v>89665532815</v>
      </c>
      <c r="G51" s="520">
        <f>'Supplementary CF 23'!G57</f>
        <v>0</v>
      </c>
      <c r="H51" s="520">
        <f>'Supplementary CF 23'!H57</f>
        <v>0</v>
      </c>
      <c r="I51" s="520">
        <f>'Supplementary CF 23'!I57</f>
        <v>0</v>
      </c>
      <c r="J51" s="520">
        <f>'Supplementary CF 23'!J57</f>
        <v>0</v>
      </c>
      <c r="K51" s="520">
        <f>SUM(E51:J51)</f>
        <v>89665532815</v>
      </c>
      <c r="L51" s="520">
        <v>0</v>
      </c>
      <c r="M51" s="520">
        <f>SUM(K51:L51)</f>
        <v>89665532815</v>
      </c>
      <c r="N51" s="519"/>
      <c r="O51" s="596"/>
      <c r="P51" s="596"/>
      <c r="Q51" s="596"/>
      <c r="R51" s="596"/>
      <c r="S51" s="596"/>
      <c r="T51" s="596"/>
      <c r="U51" s="596"/>
      <c r="V51" s="596"/>
      <c r="W51" s="596"/>
      <c r="X51" s="596"/>
      <c r="Y51" s="596"/>
    </row>
    <row r="52" spans="2:25" ht="13">
      <c r="C52" s="519" t="s">
        <v>943</v>
      </c>
      <c r="D52" s="519"/>
      <c r="E52" s="521">
        <v>0</v>
      </c>
      <c r="F52" s="521">
        <f>F41</f>
        <v>34228483621.724998</v>
      </c>
      <c r="G52" s="521">
        <f>G33</f>
        <v>13435581228</v>
      </c>
      <c r="H52" s="521">
        <v>0</v>
      </c>
      <c r="I52" s="521">
        <f>I33</f>
        <v>27662591140.518497</v>
      </c>
      <c r="J52" s="521">
        <v>0</v>
      </c>
      <c r="K52" s="521">
        <f t="shared" ref="K52:K55" si="16">SUM(E52:J52)</f>
        <v>75326655990.2435</v>
      </c>
      <c r="L52" s="521">
        <v>0</v>
      </c>
      <c r="M52" s="520">
        <f t="shared" ref="M52:M54" si="17">SUM(K52:L52)</f>
        <v>75326655990.2435</v>
      </c>
      <c r="N52" s="519"/>
      <c r="O52" s="596"/>
      <c r="P52" s="596"/>
      <c r="Q52" s="596"/>
      <c r="R52" s="596"/>
      <c r="S52" s="596"/>
      <c r="T52" s="596"/>
      <c r="U52" s="596"/>
      <c r="V52" s="596"/>
      <c r="W52" s="596"/>
      <c r="X52" s="596"/>
    </row>
    <row r="53" spans="2:25" ht="13">
      <c r="C53" s="519" t="s">
        <v>944</v>
      </c>
      <c r="D53" s="519"/>
      <c r="E53" s="521">
        <v>0</v>
      </c>
      <c r="F53" s="521">
        <v>9319358555.417284</v>
      </c>
      <c r="G53" s="521">
        <v>0</v>
      </c>
      <c r="H53" s="521">
        <v>0</v>
      </c>
      <c r="I53" s="521">
        <v>465193093.34616089</v>
      </c>
      <c r="J53" s="521">
        <v>0</v>
      </c>
      <c r="K53" s="521">
        <f t="shared" si="16"/>
        <v>9784551648.7634449</v>
      </c>
      <c r="L53" s="521">
        <v>0</v>
      </c>
      <c r="M53" s="520">
        <f t="shared" si="17"/>
        <v>9784551648.7634449</v>
      </c>
      <c r="N53" s="519"/>
      <c r="O53" s="596"/>
      <c r="P53" s="596"/>
      <c r="Q53" s="596"/>
      <c r="R53" s="596"/>
      <c r="S53" s="596"/>
      <c r="T53" s="596"/>
      <c r="U53" s="596"/>
      <c r="V53" s="596"/>
      <c r="W53" s="596"/>
      <c r="X53" s="596"/>
    </row>
    <row r="54" spans="2:25" ht="13">
      <c r="C54" s="519" t="s">
        <v>945</v>
      </c>
      <c r="D54" s="519"/>
      <c r="E54" s="521">
        <v>0</v>
      </c>
      <c r="F54" s="521">
        <v>-71887427910.142288</v>
      </c>
      <c r="G54" s="521">
        <v>0</v>
      </c>
      <c r="H54" s="521">
        <v>0</v>
      </c>
      <c r="I54" s="521">
        <v>-4257500749.8646598</v>
      </c>
      <c r="J54" s="521">
        <v>0</v>
      </c>
      <c r="K54" s="521">
        <f t="shared" si="16"/>
        <v>-76144928660.006943</v>
      </c>
      <c r="L54" s="521">
        <v>0</v>
      </c>
      <c r="M54" s="520">
        <f t="shared" si="17"/>
        <v>-76144928660.006943</v>
      </c>
      <c r="N54" s="519"/>
      <c r="O54" s="596"/>
      <c r="P54" s="596"/>
      <c r="Q54" s="596"/>
      <c r="R54" s="596"/>
      <c r="S54" s="596"/>
      <c r="T54" s="596"/>
      <c r="U54" s="596"/>
      <c r="V54" s="596"/>
      <c r="W54" s="596"/>
      <c r="X54" s="596"/>
    </row>
    <row r="55" spans="2:25" ht="13">
      <c r="C55" s="519" t="s">
        <v>946</v>
      </c>
      <c r="D55" s="519"/>
      <c r="E55" s="587">
        <v>0</v>
      </c>
      <c r="F55" s="587"/>
      <c r="G55" s="587">
        <v>0</v>
      </c>
      <c r="H55" s="587">
        <v>0</v>
      </c>
      <c r="I55" s="587">
        <v>0</v>
      </c>
      <c r="J55" s="587">
        <v>0</v>
      </c>
      <c r="K55" s="587">
        <f t="shared" si="16"/>
        <v>0</v>
      </c>
      <c r="L55" s="587">
        <v>0</v>
      </c>
      <c r="M55" s="587">
        <f t="shared" ref="M55" si="18">SUM(K55:L55)</f>
        <v>0</v>
      </c>
      <c r="N55" s="519"/>
      <c r="O55" s="596"/>
      <c r="P55" s="596"/>
      <c r="Q55" s="596"/>
      <c r="R55" s="596"/>
      <c r="S55" s="596"/>
      <c r="T55" s="596"/>
      <c r="U55" s="596"/>
      <c r="V55" s="596"/>
      <c r="W55" s="596"/>
      <c r="X55" s="596"/>
    </row>
    <row r="56" spans="2:25" ht="13">
      <c r="C56" s="519" t="s">
        <v>224</v>
      </c>
      <c r="D56" s="519"/>
      <c r="E56" s="520">
        <f t="shared" ref="E56:M56" si="19">SUM(E51:E55)</f>
        <v>0</v>
      </c>
      <c r="F56" s="520">
        <f t="shared" si="19"/>
        <v>61325947082</v>
      </c>
      <c r="G56" s="520">
        <f t="shared" si="19"/>
        <v>13435581228</v>
      </c>
      <c r="H56" s="520">
        <f t="shared" si="19"/>
        <v>0</v>
      </c>
      <c r="I56" s="520">
        <f t="shared" si="19"/>
        <v>23870283484</v>
      </c>
      <c r="J56" s="520">
        <f t="shared" si="19"/>
        <v>0</v>
      </c>
      <c r="K56" s="520">
        <f t="shared" si="19"/>
        <v>98631811794.000015</v>
      </c>
      <c r="L56" s="520">
        <f t="shared" si="19"/>
        <v>0</v>
      </c>
      <c r="M56" s="520">
        <f t="shared" si="19"/>
        <v>98631811794.000015</v>
      </c>
      <c r="N56" s="519"/>
    </row>
    <row r="57" spans="2:25" ht="13">
      <c r="C57" s="519" t="s">
        <v>931</v>
      </c>
      <c r="D57" s="519"/>
      <c r="E57" s="567">
        <v>0</v>
      </c>
      <c r="F57" s="567">
        <f>-SUM('Consol SoFP 24'!L81,'Consol SoFP 24'!L75)</f>
        <v>61325947082</v>
      </c>
      <c r="G57" s="567">
        <f>-SUM('Consol SoFP 24'!M81,'Consol SoFP 24'!M75)</f>
        <v>13435581228</v>
      </c>
      <c r="H57" s="567"/>
      <c r="I57" s="567">
        <f>-SUM('Consol SoFP 24'!V81,'Consol SoFP 24'!V75)</f>
        <v>23870283484</v>
      </c>
      <c r="J57" s="567"/>
      <c r="K57" s="567">
        <f>-SUM('Consol SoFP 24'!AH81,'Consol SoFP 24'!AH75)</f>
        <v>98631811794</v>
      </c>
      <c r="L57" s="567"/>
      <c r="M57" s="567">
        <f>-SUM('Consol SoFP 24'!AH81,'Consol SoFP 24'!AH75)</f>
        <v>98631811794</v>
      </c>
      <c r="N57" s="519"/>
    </row>
    <row r="58" spans="2:25" ht="13">
      <c r="C58" s="588" t="s">
        <v>347</v>
      </c>
      <c r="D58" s="588"/>
      <c r="E58" s="520">
        <f>E56-E57</f>
        <v>0</v>
      </c>
      <c r="F58" s="520">
        <f t="shared" ref="F58:M58" si="20">F56-F57</f>
        <v>0</v>
      </c>
      <c r="G58" s="520">
        <f t="shared" si="20"/>
        <v>0</v>
      </c>
      <c r="H58" s="520">
        <f>-I58</f>
        <v>0</v>
      </c>
      <c r="I58" s="520">
        <f t="shared" si="20"/>
        <v>0</v>
      </c>
      <c r="J58" s="520">
        <f t="shared" si="20"/>
        <v>0</v>
      </c>
      <c r="K58" s="520">
        <f t="shared" si="20"/>
        <v>0</v>
      </c>
      <c r="L58" s="520">
        <f t="shared" si="20"/>
        <v>0</v>
      </c>
      <c r="M58" s="520">
        <f t="shared" si="20"/>
        <v>0</v>
      </c>
      <c r="N58" s="519"/>
    </row>
    <row r="59" spans="2:25">
      <c r="F59" s="590">
        <v>0.10393468106240109</v>
      </c>
      <c r="G59" s="590">
        <v>0.10393468106240109</v>
      </c>
      <c r="I59" s="590">
        <v>0.10393468106240109</v>
      </c>
    </row>
    <row r="60" spans="2:25" s="584" customFormat="1" ht="13">
      <c r="B60" s="583" t="s">
        <v>46</v>
      </c>
      <c r="I60" s="585"/>
    </row>
    <row r="61" spans="2:25" ht="13">
      <c r="B61" s="185"/>
    </row>
    <row r="62" spans="2:25" ht="13">
      <c r="C62" s="519"/>
      <c r="D62" s="519"/>
      <c r="E62" s="586" t="s">
        <v>640</v>
      </c>
      <c r="F62" s="586" t="s">
        <v>688</v>
      </c>
      <c r="G62" s="586" t="s">
        <v>740</v>
      </c>
      <c r="H62" s="586" t="s">
        <v>961</v>
      </c>
      <c r="I62" s="586" t="s">
        <v>609</v>
      </c>
      <c r="J62" s="586" t="s">
        <v>461</v>
      </c>
      <c r="K62" s="586" t="s">
        <v>11</v>
      </c>
      <c r="L62" s="586" t="s">
        <v>223</v>
      </c>
      <c r="M62" s="586" t="s">
        <v>926</v>
      </c>
      <c r="N62" s="519"/>
    </row>
    <row r="63" spans="2:25" ht="13">
      <c r="C63" s="519" t="s">
        <v>932</v>
      </c>
      <c r="D63" s="519"/>
      <c r="E63" s="520">
        <f>'Supplementary CF 23'!E68</f>
        <v>13132539188.92942</v>
      </c>
      <c r="F63" s="520">
        <f>'Supplementary CF 23'!F68</f>
        <v>11753548874.072914</v>
      </c>
      <c r="G63" s="520">
        <f>'Supplementary CF 23'!G68</f>
        <v>0</v>
      </c>
      <c r="H63" s="520">
        <f>'Supplementary CF 23'!H68</f>
        <v>0</v>
      </c>
      <c r="I63" s="520">
        <f>'Supplementary CF 23'!I68</f>
        <v>0</v>
      </c>
      <c r="J63" s="520">
        <f>'Supplementary CF 23'!J68</f>
        <v>0</v>
      </c>
      <c r="K63" s="520">
        <f>SUM(E63:J63)</f>
        <v>24886088063.002335</v>
      </c>
      <c r="L63" s="520">
        <v>0</v>
      </c>
      <c r="M63" s="520">
        <f>SUM(K63:L63)</f>
        <v>24886088063.002335</v>
      </c>
      <c r="N63" s="519"/>
      <c r="O63" s="597"/>
      <c r="P63" s="597"/>
      <c r="Q63" s="597"/>
      <c r="R63" s="597"/>
      <c r="S63" s="597"/>
      <c r="T63" s="597"/>
      <c r="U63" s="597"/>
      <c r="V63" s="597"/>
      <c r="W63" s="597"/>
      <c r="X63" s="597"/>
    </row>
    <row r="64" spans="2:25" ht="13">
      <c r="C64" s="519" t="s">
        <v>928</v>
      </c>
      <c r="D64" s="519"/>
      <c r="E64" s="521">
        <v>0</v>
      </c>
      <c r="F64" s="521">
        <v>0</v>
      </c>
      <c r="G64" s="521">
        <v>0</v>
      </c>
      <c r="H64" s="521">
        <v>0</v>
      </c>
      <c r="I64" s="521">
        <v>0</v>
      </c>
      <c r="J64" s="521">
        <v>0</v>
      </c>
      <c r="K64" s="521">
        <f t="shared" ref="K64:K67" si="21">SUM(E64:J64)</f>
        <v>0</v>
      </c>
      <c r="L64" s="521">
        <v>0</v>
      </c>
      <c r="M64" s="521">
        <f t="shared" ref="M64:M67" si="22">SUM(K64:L64)</f>
        <v>0</v>
      </c>
      <c r="N64" s="519"/>
      <c r="O64" s="597"/>
      <c r="P64" s="597"/>
      <c r="Q64" s="597"/>
      <c r="R64" s="597"/>
      <c r="S64" s="597"/>
      <c r="T64" s="597"/>
      <c r="U64" s="597"/>
      <c r="V64" s="597"/>
      <c r="W64" s="597"/>
    </row>
    <row r="65" spans="2:30" ht="13">
      <c r="C65" s="519" t="s">
        <v>933</v>
      </c>
      <c r="D65" s="519"/>
      <c r="E65" s="521">
        <v>0</v>
      </c>
      <c r="F65" s="521">
        <v>0</v>
      </c>
      <c r="G65" s="521">
        <v>0</v>
      </c>
      <c r="H65" s="521">
        <v>0</v>
      </c>
      <c r="I65" s="521">
        <v>0</v>
      </c>
      <c r="J65" s="521">
        <v>0</v>
      </c>
      <c r="K65" s="521">
        <f t="shared" si="21"/>
        <v>0</v>
      </c>
      <c r="L65" s="521">
        <v>0</v>
      </c>
      <c r="M65" s="521">
        <f t="shared" si="22"/>
        <v>0</v>
      </c>
      <c r="N65" s="519"/>
      <c r="O65" s="597"/>
      <c r="P65" s="597"/>
      <c r="Q65" s="597"/>
      <c r="R65" s="597"/>
      <c r="S65" s="597"/>
      <c r="T65" s="597"/>
      <c r="U65" s="597"/>
      <c r="V65" s="597"/>
      <c r="W65" s="597"/>
    </row>
    <row r="66" spans="2:30" ht="13">
      <c r="C66" s="519" t="s">
        <v>934</v>
      </c>
      <c r="D66" s="519"/>
      <c r="E66" s="521">
        <v>-4423633781.9294205</v>
      </c>
      <c r="F66" s="521">
        <v>-3992945607.0729141</v>
      </c>
      <c r="G66" s="521">
        <v>0</v>
      </c>
      <c r="H66" s="521">
        <v>0</v>
      </c>
      <c r="I66" s="521">
        <v>0</v>
      </c>
      <c r="J66" s="521">
        <v>0</v>
      </c>
      <c r="K66" s="521">
        <f t="shared" si="21"/>
        <v>-8416579389.0023346</v>
      </c>
      <c r="L66" s="521">
        <v>0</v>
      </c>
      <c r="M66" s="521">
        <f t="shared" si="22"/>
        <v>-8416579389.0023346</v>
      </c>
      <c r="N66" s="519"/>
      <c r="O66" s="597"/>
      <c r="P66" s="597"/>
      <c r="Q66" s="597"/>
      <c r="R66" s="597"/>
      <c r="S66" s="597"/>
      <c r="T66" s="597"/>
      <c r="U66" s="597"/>
      <c r="V66" s="597"/>
      <c r="W66" s="597"/>
    </row>
    <row r="67" spans="2:30" ht="13">
      <c r="C67" s="519" t="s">
        <v>935</v>
      </c>
      <c r="D67" s="519"/>
      <c r="E67" s="587"/>
      <c r="F67" s="587">
        <v>0</v>
      </c>
      <c r="G67" s="587">
        <v>0</v>
      </c>
      <c r="H67" s="587">
        <v>0</v>
      </c>
      <c r="I67" s="587">
        <v>0</v>
      </c>
      <c r="J67" s="587">
        <v>0</v>
      </c>
      <c r="K67" s="587">
        <f t="shared" si="21"/>
        <v>0</v>
      </c>
      <c r="L67" s="587">
        <v>0</v>
      </c>
      <c r="M67" s="587">
        <f t="shared" si="22"/>
        <v>0</v>
      </c>
      <c r="N67" s="519"/>
      <c r="O67" s="597"/>
      <c r="P67" s="597"/>
      <c r="Q67" s="597"/>
      <c r="R67" s="597"/>
      <c r="S67" s="597"/>
      <c r="T67" s="597"/>
      <c r="U67" s="597"/>
      <c r="V67" s="597"/>
      <c r="W67" s="597"/>
    </row>
    <row r="68" spans="2:30" ht="13">
      <c r="C68" s="519" t="s">
        <v>224</v>
      </c>
      <c r="D68" s="519"/>
      <c r="E68" s="520">
        <f t="shared" ref="E68:M68" si="23">SUM(E63:E67)</f>
        <v>8708905407</v>
      </c>
      <c r="F68" s="520">
        <f t="shared" si="23"/>
        <v>7760603267</v>
      </c>
      <c r="G68" s="520">
        <f t="shared" si="23"/>
        <v>0</v>
      </c>
      <c r="H68" s="520">
        <f t="shared" si="23"/>
        <v>0</v>
      </c>
      <c r="I68" s="520">
        <f t="shared" si="23"/>
        <v>0</v>
      </c>
      <c r="J68" s="520">
        <f t="shared" si="23"/>
        <v>0</v>
      </c>
      <c r="K68" s="520">
        <f t="shared" si="23"/>
        <v>16469508674</v>
      </c>
      <c r="L68" s="520">
        <f t="shared" si="23"/>
        <v>0</v>
      </c>
      <c r="M68" s="520">
        <f t="shared" si="23"/>
        <v>16469508674</v>
      </c>
      <c r="N68" s="519"/>
    </row>
    <row r="69" spans="2:30" ht="13">
      <c r="C69" s="519" t="s">
        <v>931</v>
      </c>
      <c r="D69" s="519"/>
      <c r="E69" s="567">
        <f>'Consol SoFP 24'!H44</f>
        <v>8708905407</v>
      </c>
      <c r="F69" s="567">
        <f>'Consol SoFP 24'!L44</f>
        <v>7760603267</v>
      </c>
      <c r="G69" s="567">
        <f>'Consol SoFP 23 &amp; 22'!N45</f>
        <v>0</v>
      </c>
      <c r="H69" s="567">
        <f>'Consol SoFP 23 &amp; 22'!Q45</f>
        <v>0</v>
      </c>
      <c r="I69" s="567">
        <f>'Consol SoFP 23 &amp; 22'!T45</f>
        <v>0</v>
      </c>
      <c r="J69" s="567">
        <f>'Consol SoFP 23 &amp; 22'!W45</f>
        <v>0</v>
      </c>
      <c r="K69" s="567">
        <f>SUM('Consol SoFP 24'!AE44)</f>
        <v>16469508674</v>
      </c>
      <c r="L69" s="567"/>
      <c r="M69" s="567">
        <f>K69</f>
        <v>16469508674</v>
      </c>
      <c r="N69" s="519"/>
    </row>
    <row r="70" spans="2:30" ht="13">
      <c r="C70" s="588" t="s">
        <v>347</v>
      </c>
      <c r="D70" s="588"/>
      <c r="E70" s="520">
        <f>E68-E69</f>
        <v>0</v>
      </c>
      <c r="F70" s="520">
        <f t="shared" ref="F70:M70" si="24">F68-F69</f>
        <v>0</v>
      </c>
      <c r="G70" s="520">
        <f t="shared" si="24"/>
        <v>0</v>
      </c>
      <c r="H70" s="520">
        <f t="shared" si="24"/>
        <v>0</v>
      </c>
      <c r="I70" s="520">
        <f t="shared" si="24"/>
        <v>0</v>
      </c>
      <c r="J70" s="520">
        <f t="shared" si="24"/>
        <v>0</v>
      </c>
      <c r="K70" s="520">
        <f t="shared" si="24"/>
        <v>0</v>
      </c>
      <c r="L70" s="520">
        <f t="shared" si="24"/>
        <v>0</v>
      </c>
      <c r="M70" s="520">
        <f t="shared" si="24"/>
        <v>0</v>
      </c>
      <c r="N70" s="519"/>
    </row>
    <row r="71" spans="2:30">
      <c r="E71" s="590"/>
      <c r="F71" s="590"/>
    </row>
    <row r="72" spans="2:30" s="584" customFormat="1" ht="13">
      <c r="B72" s="583" t="s">
        <v>89</v>
      </c>
      <c r="I72" s="585"/>
    </row>
    <row r="73" spans="2:30" ht="13">
      <c r="B73" s="185"/>
    </row>
    <row r="74" spans="2:30" ht="13">
      <c r="C74" s="519"/>
      <c r="D74" s="519"/>
      <c r="E74" s="586" t="s">
        <v>640</v>
      </c>
      <c r="F74" s="586" t="s">
        <v>688</v>
      </c>
      <c r="G74" s="586" t="s">
        <v>740</v>
      </c>
      <c r="H74" s="586" t="s">
        <v>961</v>
      </c>
      <c r="I74" s="586" t="s">
        <v>609</v>
      </c>
      <c r="J74" s="586" t="s">
        <v>461</v>
      </c>
      <c r="K74" s="586" t="s">
        <v>11</v>
      </c>
      <c r="L74" s="586" t="s">
        <v>223</v>
      </c>
      <c r="M74" s="586" t="s">
        <v>926</v>
      </c>
      <c r="N74" s="519"/>
    </row>
    <row r="75" spans="2:30" ht="13">
      <c r="C75" s="519" t="s">
        <v>219</v>
      </c>
      <c r="D75" s="519"/>
      <c r="E75" s="520">
        <f>-SOCE!H52</f>
        <v>-1003275649843.4248</v>
      </c>
      <c r="F75" s="520">
        <v>0</v>
      </c>
      <c r="G75" s="520">
        <v>0</v>
      </c>
      <c r="H75" s="520">
        <v>0</v>
      </c>
      <c r="I75" s="520">
        <v>0</v>
      </c>
      <c r="J75" s="520">
        <v>0</v>
      </c>
      <c r="K75" s="520">
        <f>SUM(E75:J75)</f>
        <v>-1003275649843.4248</v>
      </c>
      <c r="L75" s="520">
        <v>0</v>
      </c>
      <c r="M75" s="520">
        <f>SUM(K75:L75)</f>
        <v>-1003275649843.4248</v>
      </c>
      <c r="N75" s="519"/>
      <c r="O75" s="597"/>
      <c r="P75" s="597"/>
      <c r="Q75" s="597"/>
      <c r="R75" s="597"/>
      <c r="S75" s="597"/>
      <c r="T75" s="597"/>
      <c r="U75" s="597"/>
      <c r="V75" s="597"/>
      <c r="W75" s="597"/>
      <c r="X75" s="597"/>
      <c r="Y75" s="597"/>
      <c r="Z75" s="597">
        <f t="shared" ref="Z75:AD75" si="25">P75*1.575</f>
        <v>0</v>
      </c>
      <c r="AA75" s="597">
        <f t="shared" si="25"/>
        <v>0</v>
      </c>
      <c r="AB75" s="597">
        <f t="shared" si="25"/>
        <v>0</v>
      </c>
      <c r="AC75" s="597">
        <f t="shared" si="25"/>
        <v>0</v>
      </c>
      <c r="AD75" s="597">
        <f t="shared" si="25"/>
        <v>0</v>
      </c>
    </row>
    <row r="76" spans="2:30" ht="13">
      <c r="C76" s="519" t="s">
        <v>947</v>
      </c>
      <c r="D76" s="519"/>
      <c r="E76" s="521">
        <v>-604970548438.7251</v>
      </c>
      <c r="F76" s="521">
        <v>0</v>
      </c>
      <c r="G76" s="521">
        <v>0</v>
      </c>
      <c r="H76" s="521">
        <v>0</v>
      </c>
      <c r="I76" s="521">
        <v>0</v>
      </c>
      <c r="J76" s="521">
        <v>0</v>
      </c>
      <c r="K76" s="520">
        <f t="shared" ref="K76:K77" si="26">SUM(E76:J76)</f>
        <v>-604970548438.7251</v>
      </c>
      <c r="L76" s="521">
        <v>0</v>
      </c>
      <c r="M76" s="520">
        <f t="shared" ref="M76:M77" si="27">SUM(K76:L76)</f>
        <v>-604970548438.7251</v>
      </c>
      <c r="N76" s="519"/>
      <c r="O76" s="597"/>
      <c r="P76" s="597"/>
      <c r="Q76" s="597"/>
      <c r="R76" s="597"/>
      <c r="S76" s="597"/>
      <c r="T76" s="597"/>
      <c r="U76" s="597"/>
      <c r="V76" s="597"/>
      <c r="W76" s="597"/>
    </row>
    <row r="77" spans="2:30" ht="13">
      <c r="C77" s="519" t="s">
        <v>948</v>
      </c>
      <c r="D77" s="519"/>
      <c r="E77" s="521"/>
      <c r="F77" s="521">
        <v>0</v>
      </c>
      <c r="G77" s="521">
        <v>0</v>
      </c>
      <c r="H77" s="521">
        <v>0</v>
      </c>
      <c r="I77" s="521">
        <v>0</v>
      </c>
      <c r="J77" s="521">
        <v>0</v>
      </c>
      <c r="K77" s="520">
        <f t="shared" si="26"/>
        <v>0</v>
      </c>
      <c r="L77" s="521">
        <v>0</v>
      </c>
      <c r="M77" s="520">
        <f t="shared" si="27"/>
        <v>0</v>
      </c>
      <c r="N77" s="519"/>
      <c r="O77" s="597"/>
      <c r="P77" s="597"/>
      <c r="Q77" s="597"/>
      <c r="R77" s="597"/>
      <c r="S77" s="597"/>
      <c r="T77" s="597"/>
      <c r="U77" s="597"/>
      <c r="V77" s="597"/>
      <c r="W77" s="597"/>
    </row>
    <row r="78" spans="2:30" ht="13">
      <c r="C78" s="519"/>
      <c r="D78" s="519"/>
      <c r="E78" s="587"/>
      <c r="F78" s="587">
        <v>0</v>
      </c>
      <c r="G78" s="587">
        <v>0</v>
      </c>
      <c r="H78" s="587">
        <v>0</v>
      </c>
      <c r="I78" s="587">
        <v>0</v>
      </c>
      <c r="J78" s="587">
        <v>0</v>
      </c>
      <c r="K78" s="587">
        <f>SUM(E78:J78)</f>
        <v>0</v>
      </c>
      <c r="L78" s="587"/>
      <c r="M78" s="587">
        <f t="shared" ref="M78" si="28">SUM(K78:L78)</f>
        <v>0</v>
      </c>
      <c r="N78" s="519"/>
    </row>
    <row r="79" spans="2:30" ht="13">
      <c r="C79" s="519" t="s">
        <v>224</v>
      </c>
      <c r="D79" s="519"/>
      <c r="E79" s="520">
        <f t="shared" ref="E79:M79" si="29">SUM(E75:E78)</f>
        <v>-1608246198282.1499</v>
      </c>
      <c r="F79" s="520">
        <f t="shared" si="29"/>
        <v>0</v>
      </c>
      <c r="G79" s="520">
        <f t="shared" si="29"/>
        <v>0</v>
      </c>
      <c r="H79" s="520">
        <f t="shared" si="29"/>
        <v>0</v>
      </c>
      <c r="I79" s="520">
        <f t="shared" si="29"/>
        <v>0</v>
      </c>
      <c r="J79" s="520">
        <f t="shared" si="29"/>
        <v>0</v>
      </c>
      <c r="K79" s="520">
        <f t="shared" si="29"/>
        <v>-1608246198282.1499</v>
      </c>
      <c r="L79" s="520">
        <f t="shared" si="29"/>
        <v>0</v>
      </c>
      <c r="M79" s="520">
        <f t="shared" si="29"/>
        <v>-1608246198282.1499</v>
      </c>
      <c r="N79" s="519"/>
    </row>
    <row r="80" spans="2:30" ht="13">
      <c r="C80" s="519" t="s">
        <v>931</v>
      </c>
      <c r="D80" s="519"/>
      <c r="E80" s="567">
        <f>'Consol SoFP 24'!H94</f>
        <v>-1608246198282.1499</v>
      </c>
      <c r="F80" s="567">
        <v>0</v>
      </c>
      <c r="G80" s="567">
        <v>0</v>
      </c>
      <c r="H80" s="567"/>
      <c r="I80" s="567">
        <v>0</v>
      </c>
      <c r="J80" s="567"/>
      <c r="K80" s="567">
        <f>'Consol SoFP 24'!AE94</f>
        <v>-1608246198282.1499</v>
      </c>
      <c r="L80" s="567"/>
      <c r="M80" s="567">
        <f>K80</f>
        <v>-1608246198282.1499</v>
      </c>
      <c r="N80" s="519"/>
    </row>
    <row r="81" spans="2:24" ht="13">
      <c r="C81" s="588" t="s">
        <v>347</v>
      </c>
      <c r="D81" s="588"/>
      <c r="E81" s="520">
        <f>E79-E80</f>
        <v>0</v>
      </c>
      <c r="F81" s="520">
        <f t="shared" ref="F81:M81" si="30">F79-F80</f>
        <v>0</v>
      </c>
      <c r="G81" s="520">
        <f t="shared" si="30"/>
        <v>0</v>
      </c>
      <c r="H81" s="520">
        <f t="shared" si="30"/>
        <v>0</v>
      </c>
      <c r="I81" s="520">
        <f t="shared" si="30"/>
        <v>0</v>
      </c>
      <c r="J81" s="520">
        <f t="shared" si="30"/>
        <v>0</v>
      </c>
      <c r="K81" s="520">
        <f t="shared" si="30"/>
        <v>0</v>
      </c>
      <c r="L81" s="520">
        <f t="shared" si="30"/>
        <v>0</v>
      </c>
      <c r="M81" s="520">
        <f t="shared" si="30"/>
        <v>0</v>
      </c>
      <c r="N81" s="519"/>
    </row>
    <row r="82" spans="2:24">
      <c r="E82" s="590">
        <f>-E81</f>
        <v>0</v>
      </c>
      <c r="F82" s="590"/>
    </row>
    <row r="83" spans="2:24" s="584" customFormat="1" ht="13">
      <c r="B83" s="583" t="s">
        <v>949</v>
      </c>
      <c r="I83" s="585"/>
    </row>
    <row r="84" spans="2:24" ht="13">
      <c r="B84" s="185"/>
    </row>
    <row r="85" spans="2:24" ht="13">
      <c r="C85" s="519"/>
      <c r="D85" s="519"/>
      <c r="E85" s="586" t="s">
        <v>920</v>
      </c>
      <c r="F85" s="586" t="s">
        <v>921</v>
      </c>
      <c r="G85" s="586" t="s">
        <v>922</v>
      </c>
      <c r="H85" s="586" t="s">
        <v>923</v>
      </c>
      <c r="I85" s="586" t="s">
        <v>924</v>
      </c>
      <c r="J85" s="586" t="s">
        <v>925</v>
      </c>
      <c r="K85" s="586" t="s">
        <v>11</v>
      </c>
      <c r="L85" s="586" t="s">
        <v>223</v>
      </c>
      <c r="M85" s="586" t="s">
        <v>926</v>
      </c>
      <c r="N85" s="519"/>
    </row>
    <row r="86" spans="2:24" ht="13">
      <c r="C86" s="519" t="s">
        <v>219</v>
      </c>
      <c r="D86" s="519"/>
      <c r="E86" s="520">
        <v>-1421174560.05</v>
      </c>
      <c r="F86" s="520">
        <v>-3497072321.9249997</v>
      </c>
      <c r="G86" s="520">
        <v>0</v>
      </c>
      <c r="H86" s="520">
        <v>0</v>
      </c>
      <c r="I86" s="520">
        <v>0</v>
      </c>
      <c r="J86" s="520">
        <v>0</v>
      </c>
      <c r="K86" s="520">
        <v>-4918246881.9749994</v>
      </c>
      <c r="L86" s="520">
        <v>0</v>
      </c>
      <c r="M86" s="520">
        <v>-4918246881.9749994</v>
      </c>
      <c r="N86" s="519"/>
      <c r="O86" s="597"/>
      <c r="P86" s="597"/>
      <c r="Q86" s="597"/>
      <c r="R86" s="597"/>
      <c r="S86" s="597"/>
      <c r="T86" s="597"/>
      <c r="U86" s="597"/>
      <c r="V86" s="597"/>
      <c r="W86" s="597"/>
      <c r="X86" s="597"/>
    </row>
    <row r="87" spans="2:24" ht="13">
      <c r="C87" s="519" t="s">
        <v>950</v>
      </c>
      <c r="D87" s="519"/>
      <c r="E87" s="521">
        <v>112745275.64999999</v>
      </c>
      <c r="F87" s="521">
        <v>1408006405.575</v>
      </c>
      <c r="G87" s="521">
        <v>0</v>
      </c>
      <c r="H87" s="521">
        <v>0</v>
      </c>
      <c r="I87" s="521">
        <v>0</v>
      </c>
      <c r="J87" s="521">
        <v>0</v>
      </c>
      <c r="K87" s="521">
        <v>1520751681.2249999</v>
      </c>
      <c r="L87" s="521">
        <v>0</v>
      </c>
      <c r="M87" s="521">
        <v>1520751681.2249999</v>
      </c>
      <c r="N87" s="519"/>
      <c r="O87" s="597"/>
      <c r="P87" s="597"/>
      <c r="Q87" s="597"/>
      <c r="R87" s="597"/>
      <c r="S87" s="597"/>
      <c r="T87" s="597"/>
      <c r="U87" s="597"/>
      <c r="V87" s="597"/>
      <c r="W87" s="597"/>
    </row>
    <row r="88" spans="2:24" ht="13">
      <c r="C88" s="519" t="s">
        <v>951</v>
      </c>
      <c r="D88" s="519"/>
      <c r="E88" s="521">
        <v>-614703573.22500002</v>
      </c>
      <c r="F88" s="521">
        <v>-841103516.92499995</v>
      </c>
      <c r="G88" s="521">
        <v>0</v>
      </c>
      <c r="H88" s="521">
        <v>0</v>
      </c>
      <c r="I88" s="521">
        <v>0</v>
      </c>
      <c r="J88" s="521">
        <v>0</v>
      </c>
      <c r="K88" s="521">
        <v>-1455807090.1499999</v>
      </c>
      <c r="L88" s="521">
        <v>0</v>
      </c>
      <c r="M88" s="521">
        <v>-1455807090.1499999</v>
      </c>
      <c r="N88" s="519"/>
      <c r="O88" s="597"/>
      <c r="P88" s="597"/>
      <c r="Q88" s="597"/>
      <c r="R88" s="597"/>
      <c r="S88" s="597"/>
      <c r="T88" s="597"/>
      <c r="U88" s="597"/>
      <c r="V88" s="597"/>
      <c r="W88" s="597"/>
    </row>
    <row r="89" spans="2:24" ht="13">
      <c r="C89" s="519" t="s">
        <v>952</v>
      </c>
      <c r="D89" s="519"/>
      <c r="E89" s="587">
        <v>0</v>
      </c>
      <c r="F89" s="587">
        <v>0</v>
      </c>
      <c r="G89" s="587">
        <v>0</v>
      </c>
      <c r="H89" s="587">
        <v>0</v>
      </c>
      <c r="I89" s="587">
        <v>0</v>
      </c>
      <c r="J89" s="587">
        <v>0</v>
      </c>
      <c r="K89" s="587">
        <v>0</v>
      </c>
      <c r="L89" s="587">
        <v>0</v>
      </c>
      <c r="M89" s="587">
        <v>0</v>
      </c>
      <c r="N89" s="519"/>
      <c r="O89" s="597"/>
      <c r="P89" s="597"/>
      <c r="Q89" s="597"/>
      <c r="R89" s="597"/>
      <c r="S89" s="597"/>
      <c r="T89" s="597"/>
      <c r="U89" s="597"/>
      <c r="V89" s="597"/>
      <c r="W89" s="597"/>
    </row>
    <row r="90" spans="2:24" ht="13">
      <c r="C90" s="519" t="s">
        <v>224</v>
      </c>
      <c r="D90" s="519"/>
      <c r="E90" s="520">
        <f>SUM(E86:E88)</f>
        <v>-1923132857.625</v>
      </c>
      <c r="F90" s="520">
        <f t="shared" ref="F90:M90" si="31">SUM(F86:F89)</f>
        <v>-2930169433.2749996</v>
      </c>
      <c r="G90" s="520">
        <f t="shared" si="31"/>
        <v>0</v>
      </c>
      <c r="H90" s="520">
        <f t="shared" si="31"/>
        <v>0</v>
      </c>
      <c r="I90" s="520">
        <f t="shared" si="31"/>
        <v>0</v>
      </c>
      <c r="J90" s="520">
        <f t="shared" si="31"/>
        <v>0</v>
      </c>
      <c r="K90" s="520">
        <f t="shared" si="31"/>
        <v>-4853302290.8999996</v>
      </c>
      <c r="L90" s="520">
        <f t="shared" si="31"/>
        <v>0</v>
      </c>
      <c r="M90" s="520">
        <f t="shared" si="31"/>
        <v>-4853302290.8999996</v>
      </c>
      <c r="N90" s="519"/>
    </row>
    <row r="91" spans="2:24" ht="13">
      <c r="C91" s="519" t="s">
        <v>953</v>
      </c>
      <c r="D91" s="519"/>
      <c r="E91" s="567">
        <f>'Consol SoFP 23 &amp; 22'!H82</f>
        <v>-1923132857.625</v>
      </c>
      <c r="F91" s="567">
        <f>'Consol SoFP 23 &amp; 22'!K82</f>
        <v>-2930169433.2750001</v>
      </c>
      <c r="G91" s="567">
        <v>0</v>
      </c>
      <c r="H91" s="567"/>
      <c r="I91" s="567">
        <v>0</v>
      </c>
      <c r="J91" s="567"/>
      <c r="K91" s="567">
        <f>'Consol SoFP 23 &amp; 22'!AB82</f>
        <v>-4853302290.8999996</v>
      </c>
      <c r="L91" s="567"/>
      <c r="M91" s="567">
        <f>K91</f>
        <v>-4853302290.8999996</v>
      </c>
      <c r="N91" s="519"/>
    </row>
    <row r="92" spans="2:24" ht="13">
      <c r="C92" s="588" t="s">
        <v>347</v>
      </c>
      <c r="D92" s="588"/>
      <c r="E92" s="520">
        <f t="shared" ref="E92:M92" si="32">E90-E91</f>
        <v>0</v>
      </c>
      <c r="F92" s="520">
        <f t="shared" si="32"/>
        <v>0</v>
      </c>
      <c r="G92" s="520">
        <f t="shared" si="32"/>
        <v>0</v>
      </c>
      <c r="H92" s="520">
        <f t="shared" si="32"/>
        <v>0</v>
      </c>
      <c r="I92" s="520">
        <f t="shared" si="32"/>
        <v>0</v>
      </c>
      <c r="J92" s="520">
        <f t="shared" si="32"/>
        <v>0</v>
      </c>
      <c r="K92" s="520">
        <f t="shared" si="32"/>
        <v>0</v>
      </c>
      <c r="L92" s="520">
        <f t="shared" si="32"/>
        <v>0</v>
      </c>
      <c r="M92" s="520">
        <f t="shared" si="32"/>
        <v>0</v>
      </c>
      <c r="N92" s="519"/>
    </row>
    <row r="93" spans="2:24">
      <c r="E93" s="590"/>
      <c r="F93" s="590"/>
    </row>
    <row r="94" spans="2:24" s="584" customFormat="1" ht="13">
      <c r="B94" s="583" t="s">
        <v>101</v>
      </c>
      <c r="I94" s="585"/>
    </row>
    <row r="95" spans="2:24" ht="13">
      <c r="B95" s="185"/>
    </row>
    <row r="96" spans="2:24" ht="13">
      <c r="C96" s="519"/>
      <c r="D96" s="519"/>
      <c r="E96" s="586" t="s">
        <v>640</v>
      </c>
      <c r="F96" s="586" t="s">
        <v>688</v>
      </c>
      <c r="G96" s="586" t="s">
        <v>740</v>
      </c>
      <c r="H96" s="586" t="s">
        <v>961</v>
      </c>
      <c r="I96" s="586" t="s">
        <v>609</v>
      </c>
      <c r="J96" s="586" t="s">
        <v>461</v>
      </c>
      <c r="K96" s="586" t="s">
        <v>11</v>
      </c>
      <c r="L96" s="586" t="s">
        <v>223</v>
      </c>
      <c r="M96" s="586" t="s">
        <v>926</v>
      </c>
      <c r="N96" s="519"/>
    </row>
    <row r="97" spans="3:24" ht="13">
      <c r="C97" s="519" t="s">
        <v>219</v>
      </c>
      <c r="D97" s="519"/>
      <c r="E97" s="520">
        <v>0</v>
      </c>
      <c r="F97" s="520">
        <f>'Supplementary CF 23'!F103</f>
        <v>14831473886.181398</v>
      </c>
      <c r="G97" s="520">
        <f>'Supplementary CF 23'!G103</f>
        <v>-1233577148.0032501</v>
      </c>
      <c r="H97" s="520">
        <f>'Supplementary CF 23'!H103</f>
        <v>-8513616425.6422501</v>
      </c>
      <c r="I97" s="520">
        <f>'Supplementary CF 23'!I103</f>
        <v>49921484193.599892</v>
      </c>
      <c r="J97" s="520">
        <f>'Supplementary CF 23'!J103</f>
        <v>0</v>
      </c>
      <c r="K97" s="520">
        <f>SUM(E97:J97)</f>
        <v>55005764506.135788</v>
      </c>
      <c r="L97" s="520">
        <v>0</v>
      </c>
      <c r="M97" s="520">
        <f>SUM(K97:L97)</f>
        <v>55005764506.135788</v>
      </c>
      <c r="N97" s="519"/>
      <c r="O97" s="597"/>
      <c r="P97" s="597"/>
      <c r="Q97" s="597"/>
      <c r="R97" s="597"/>
      <c r="S97" s="597"/>
      <c r="T97" s="597"/>
      <c r="U97" s="597"/>
      <c r="V97" s="597"/>
      <c r="W97" s="597"/>
      <c r="X97" s="597"/>
    </row>
    <row r="98" spans="3:24" ht="13">
      <c r="C98" s="519" t="s">
        <v>420</v>
      </c>
      <c r="D98" s="519"/>
      <c r="E98" s="520"/>
      <c r="F98" s="520"/>
      <c r="G98" s="520"/>
      <c r="H98" s="520"/>
      <c r="I98" s="520"/>
      <c r="J98" s="520"/>
      <c r="K98" s="520">
        <f t="shared" ref="K98:K102" si="33">SUM(E98:J98)</f>
        <v>0</v>
      </c>
      <c r="L98" s="520"/>
      <c r="M98" s="520">
        <f t="shared" ref="M98:M101" si="34">SUM(K98:L98)</f>
        <v>0</v>
      </c>
      <c r="N98" s="519"/>
      <c r="O98" s="597"/>
      <c r="P98" s="597"/>
      <c r="Q98" s="597"/>
      <c r="R98" s="597"/>
      <c r="S98" s="597"/>
      <c r="T98" s="597"/>
      <c r="U98" s="597"/>
      <c r="V98" s="597"/>
      <c r="W98" s="597"/>
      <c r="X98" s="597"/>
    </row>
    <row r="99" spans="3:24" ht="13">
      <c r="C99" s="519" t="s">
        <v>221</v>
      </c>
      <c r="D99" s="519"/>
      <c r="E99" s="520"/>
      <c r="F99" s="520">
        <f>'Capital Proforma Control'!H140</f>
        <v>2910673035.4171801</v>
      </c>
      <c r="G99" s="520">
        <f>'Capital Proforma Control'!H141</f>
        <v>1582834860.8691001</v>
      </c>
      <c r="H99" s="520">
        <f>'Capital Proforma Control'!H142</f>
        <v>9333360669.8477993</v>
      </c>
      <c r="I99" s="520">
        <f>'Capital Proforma Control'!H143</f>
        <v>-7780628834.6999998</v>
      </c>
      <c r="J99" s="520"/>
      <c r="K99" s="520">
        <f t="shared" si="33"/>
        <v>6046239731.4340792</v>
      </c>
      <c r="L99" s="520"/>
      <c r="M99" s="520">
        <f t="shared" si="34"/>
        <v>6046239731.4340792</v>
      </c>
      <c r="N99" s="519"/>
      <c r="O99" s="597"/>
      <c r="P99" s="597"/>
      <c r="Q99" s="597"/>
      <c r="R99" s="597"/>
      <c r="S99" s="597"/>
      <c r="T99" s="597"/>
      <c r="U99" s="597"/>
      <c r="V99" s="597"/>
      <c r="W99" s="597"/>
      <c r="X99" s="597"/>
    </row>
    <row r="100" spans="3:24" ht="13">
      <c r="C100" s="519" t="s">
        <v>419</v>
      </c>
      <c r="D100" s="519"/>
      <c r="E100" s="521">
        <v>0</v>
      </c>
      <c r="F100" s="521"/>
      <c r="G100" s="521"/>
      <c r="H100" s="521"/>
      <c r="I100" s="521"/>
      <c r="J100" s="521"/>
      <c r="K100" s="520">
        <f t="shared" si="33"/>
        <v>0</v>
      </c>
      <c r="L100" s="521">
        <v>0</v>
      </c>
      <c r="M100" s="520">
        <f t="shared" si="34"/>
        <v>0</v>
      </c>
      <c r="N100" s="519"/>
      <c r="O100" s="597"/>
      <c r="P100" s="597"/>
      <c r="Q100" s="597"/>
      <c r="R100" s="597"/>
      <c r="S100" s="597"/>
      <c r="T100" s="597"/>
      <c r="U100" s="597"/>
      <c r="V100" s="597"/>
      <c r="W100" s="597"/>
    </row>
    <row r="101" spans="3:24" ht="13">
      <c r="C101" s="519" t="s">
        <v>209</v>
      </c>
      <c r="D101" s="519"/>
      <c r="E101" s="521">
        <v>0</v>
      </c>
      <c r="F101" s="521"/>
      <c r="G101" s="521"/>
      <c r="H101" s="521"/>
      <c r="I101" s="521"/>
      <c r="J101" s="521"/>
      <c r="K101" s="521">
        <f t="shared" si="33"/>
        <v>0</v>
      </c>
      <c r="L101" s="521">
        <v>0</v>
      </c>
      <c r="M101" s="520">
        <f t="shared" si="34"/>
        <v>0</v>
      </c>
      <c r="N101" s="519"/>
      <c r="O101" s="597"/>
      <c r="P101" s="597"/>
      <c r="Q101" s="597"/>
      <c r="R101" s="597"/>
      <c r="S101" s="597"/>
      <c r="T101" s="597"/>
      <c r="U101" s="597"/>
      <c r="V101" s="597"/>
      <c r="W101" s="597"/>
    </row>
    <row r="102" spans="3:24" ht="13">
      <c r="C102" s="519"/>
      <c r="D102" s="519"/>
      <c r="E102" s="587">
        <v>0</v>
      </c>
      <c r="F102" s="587"/>
      <c r="G102" s="587"/>
      <c r="H102" s="587"/>
      <c r="I102" s="587"/>
      <c r="J102" s="587"/>
      <c r="K102" s="587">
        <f t="shared" si="33"/>
        <v>0</v>
      </c>
      <c r="L102" s="587">
        <v>0</v>
      </c>
      <c r="M102" s="587">
        <v>0</v>
      </c>
      <c r="N102" s="519"/>
      <c r="O102" s="597"/>
      <c r="P102" s="597"/>
      <c r="Q102" s="597"/>
      <c r="R102" s="597"/>
      <c r="S102" s="597"/>
      <c r="T102" s="597"/>
      <c r="U102" s="597"/>
      <c r="V102" s="597"/>
      <c r="W102" s="597"/>
    </row>
    <row r="103" spans="3:24" ht="13">
      <c r="C103" s="519" t="s">
        <v>224</v>
      </c>
      <c r="D103" s="519"/>
      <c r="E103" s="520">
        <f>SUM(E97:E101)</f>
        <v>0</v>
      </c>
      <c r="F103" s="520">
        <f t="shared" ref="F103:M103" si="35">SUM(F97:F102)</f>
        <v>17742146921.598579</v>
      </c>
      <c r="G103" s="520">
        <f t="shared" si="35"/>
        <v>349257712.86584997</v>
      </c>
      <c r="H103" s="520">
        <f t="shared" si="35"/>
        <v>819744244.20554924</v>
      </c>
      <c r="I103" s="520">
        <f t="shared" si="35"/>
        <v>42140855358.899895</v>
      </c>
      <c r="J103" s="520">
        <f t="shared" si="35"/>
        <v>0</v>
      </c>
      <c r="K103" s="520">
        <f t="shared" si="35"/>
        <v>61052004237.56987</v>
      </c>
      <c r="L103" s="520">
        <f t="shared" si="35"/>
        <v>0</v>
      </c>
      <c r="M103" s="520">
        <f t="shared" si="35"/>
        <v>61052004237.56987</v>
      </c>
      <c r="N103" s="519"/>
    </row>
    <row r="104" spans="3:24" ht="13">
      <c r="C104" s="519" t="s">
        <v>953</v>
      </c>
      <c r="D104" s="519"/>
      <c r="E104" s="567"/>
      <c r="F104" s="567"/>
      <c r="G104" s="567"/>
      <c r="H104" s="567"/>
      <c r="I104" s="567"/>
      <c r="J104" s="567"/>
      <c r="K104" s="567">
        <f>SOCE!L77</f>
        <v>61052004237.56987</v>
      </c>
      <c r="L104" s="567"/>
      <c r="M104" s="567">
        <f>K104</f>
        <v>61052004237.56987</v>
      </c>
      <c r="N104" s="519"/>
    </row>
    <row r="105" spans="3:24" ht="13">
      <c r="C105" s="588" t="s">
        <v>347</v>
      </c>
      <c r="D105" s="588"/>
      <c r="E105" s="520"/>
      <c r="F105" s="520"/>
      <c r="G105" s="520"/>
      <c r="H105" s="520"/>
      <c r="I105" s="520"/>
      <c r="J105" s="520"/>
      <c r="K105" s="520">
        <f>K103-K104</f>
        <v>0</v>
      </c>
      <c r="L105" s="520"/>
      <c r="M105" s="520">
        <f>M103-M104</f>
        <v>0</v>
      </c>
      <c r="N105" s="519"/>
    </row>
    <row r="106" spans="3:24">
      <c r="E106" s="590"/>
      <c r="F106" s="59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A401-6888-4E93-96DE-5ACC3B3AFE78}">
  <dimension ref="A1:BE99"/>
  <sheetViews>
    <sheetView workbookViewId="0"/>
  </sheetViews>
  <sheetFormatPr defaultColWidth="8.26953125" defaultRowHeight="13"/>
  <cols>
    <col min="1" max="1" width="2.7265625" style="519" customWidth="1"/>
    <col min="2" max="2" width="2" style="519" customWidth="1"/>
    <col min="3" max="3" width="25.26953125" style="519" customWidth="1"/>
    <col min="4" max="4" width="10.1796875" style="519" customWidth="1"/>
    <col min="5" max="5" width="20" style="520" customWidth="1"/>
    <col min="6" max="7" width="18.81640625" style="519" customWidth="1"/>
    <col min="8" max="8" width="20.81640625" style="519" bestFit="1" customWidth="1"/>
    <col min="9" max="9" width="18.81640625" style="519" hidden="1" customWidth="1"/>
    <col min="10" max="10" width="16.453125" style="521" customWidth="1"/>
    <col min="11" max="26" width="16.453125" style="519" customWidth="1"/>
    <col min="27" max="28" width="16.54296875" style="519" customWidth="1"/>
    <col min="29" max="36" width="16.453125" style="519" customWidth="1"/>
    <col min="37" max="37" width="18.1796875" style="519" customWidth="1"/>
    <col min="38" max="44" width="16.453125" style="519" customWidth="1"/>
    <col min="45" max="45" width="18.81640625" style="519" customWidth="1"/>
    <col min="46" max="49" width="16.453125" style="519" customWidth="1"/>
    <col min="50" max="56" width="21.54296875" style="519" customWidth="1"/>
    <col min="57" max="57" width="16.453125" style="519" customWidth="1"/>
    <col min="58" max="16384" width="8.26953125" style="519"/>
  </cols>
  <sheetData>
    <row r="1" spans="1:57">
      <c r="A1" s="518" t="s">
        <v>592</v>
      </c>
      <c r="B1" s="518"/>
      <c r="K1" s="522"/>
      <c r="N1" s="522"/>
      <c r="AA1" s="522" t="s">
        <v>823</v>
      </c>
      <c r="AK1" s="522"/>
      <c r="AP1" s="522" t="s">
        <v>823</v>
      </c>
      <c r="AV1" s="522" t="s">
        <v>823</v>
      </c>
      <c r="AW1" s="522" t="s">
        <v>823</v>
      </c>
    </row>
    <row r="2" spans="1:57">
      <c r="A2" s="518" t="s">
        <v>824</v>
      </c>
      <c r="B2" s="518"/>
    </row>
    <row r="3" spans="1:57">
      <c r="A3" s="523" t="s">
        <v>960</v>
      </c>
      <c r="B3" s="518"/>
    </row>
    <row r="4" spans="1:57">
      <c r="B4" s="518"/>
      <c r="E4" s="524" t="s">
        <v>347</v>
      </c>
      <c r="F4" s="525"/>
      <c r="G4" s="525"/>
      <c r="H4" s="525"/>
      <c r="I4" s="525"/>
      <c r="J4" s="526">
        <f t="shared" ref="J4:BD4" si="0">J97</f>
        <v>0</v>
      </c>
      <c r="K4" s="526">
        <f t="shared" si="0"/>
        <v>0</v>
      </c>
      <c r="L4" s="526">
        <f t="shared" si="0"/>
        <v>0</v>
      </c>
      <c r="M4" s="526">
        <f t="shared" si="0"/>
        <v>0</v>
      </c>
      <c r="N4" s="526">
        <f t="shared" si="0"/>
        <v>0</v>
      </c>
      <c r="O4" s="526" t="e">
        <f t="shared" si="0"/>
        <v>#REF!</v>
      </c>
      <c r="P4" s="526">
        <f t="shared" si="0"/>
        <v>0</v>
      </c>
      <c r="Q4" s="526">
        <f t="shared" si="0"/>
        <v>0</v>
      </c>
      <c r="R4" s="526">
        <f t="shared" si="0"/>
        <v>0</v>
      </c>
      <c r="S4" s="526">
        <f t="shared" si="0"/>
        <v>0</v>
      </c>
      <c r="T4" s="526">
        <f t="shared" si="0"/>
        <v>0</v>
      </c>
      <c r="U4" s="526">
        <f t="shared" si="0"/>
        <v>0</v>
      </c>
      <c r="V4" s="526">
        <f t="shared" si="0"/>
        <v>2.2926025390625</v>
      </c>
      <c r="W4" s="526">
        <f t="shared" si="0"/>
        <v>0</v>
      </c>
      <c r="X4" s="526">
        <f t="shared" si="0"/>
        <v>-0.3500213623046875</v>
      </c>
      <c r="Y4" s="526">
        <f t="shared" si="0"/>
        <v>2.5000572204589844E-2</v>
      </c>
      <c r="Z4" s="526">
        <f t="shared" si="0"/>
        <v>0</v>
      </c>
      <c r="AA4" s="526">
        <f t="shared" si="0"/>
        <v>0</v>
      </c>
      <c r="AB4" s="526">
        <f t="shared" si="0"/>
        <v>0</v>
      </c>
      <c r="AC4" s="526">
        <f t="shared" si="0"/>
        <v>0</v>
      </c>
      <c r="AD4" s="526">
        <f t="shared" si="0"/>
        <v>1</v>
      </c>
      <c r="AE4" s="526">
        <f t="shared" si="0"/>
        <v>0</v>
      </c>
      <c r="AF4" s="526" t="e">
        <f t="shared" si="0"/>
        <v>#REF!</v>
      </c>
      <c r="AG4" s="526" t="e">
        <f t="shared" si="0"/>
        <v>#REF!</v>
      </c>
      <c r="AH4" s="526">
        <f t="shared" si="0"/>
        <v>0</v>
      </c>
      <c r="AI4" s="526">
        <f t="shared" si="0"/>
        <v>0</v>
      </c>
      <c r="AJ4" s="526">
        <f t="shared" si="0"/>
        <v>0</v>
      </c>
      <c r="AK4" s="526">
        <f t="shared" si="0"/>
        <v>0</v>
      </c>
      <c r="AL4" s="526">
        <f t="shared" si="0"/>
        <v>0</v>
      </c>
      <c r="AM4" s="526">
        <f t="shared" si="0"/>
        <v>0</v>
      </c>
      <c r="AN4" s="526">
        <f t="shared" si="0"/>
        <v>0</v>
      </c>
      <c r="AO4" s="526">
        <f t="shared" si="0"/>
        <v>0</v>
      </c>
      <c r="AP4" s="526">
        <f t="shared" si="0"/>
        <v>0</v>
      </c>
      <c r="AQ4" s="526">
        <f t="shared" si="0"/>
        <v>0</v>
      </c>
      <c r="AR4" s="526">
        <f t="shared" si="0"/>
        <v>0</v>
      </c>
      <c r="AS4" s="526">
        <f t="shared" si="0"/>
        <v>0</v>
      </c>
      <c r="AT4" s="526">
        <f t="shared" si="0"/>
        <v>3.83380126953125</v>
      </c>
      <c r="AU4" s="526">
        <f t="shared" si="0"/>
        <v>0</v>
      </c>
      <c r="AV4" s="526">
        <f t="shared" si="0"/>
        <v>0</v>
      </c>
      <c r="AW4" s="526">
        <f t="shared" si="0"/>
        <v>0</v>
      </c>
      <c r="AX4" s="526">
        <f t="shared" si="0"/>
        <v>0</v>
      </c>
      <c r="AY4" s="526">
        <f t="shared" si="0"/>
        <v>0.449951171875</v>
      </c>
      <c r="AZ4" s="526">
        <f t="shared" si="0"/>
        <v>0</v>
      </c>
      <c r="BA4" s="526">
        <f t="shared" si="0"/>
        <v>0.22500002384185791</v>
      </c>
      <c r="BB4" s="526">
        <f t="shared" si="0"/>
        <v>0.91478168964385986</v>
      </c>
      <c r="BC4" s="526">
        <f t="shared" si="0"/>
        <v>0.5047607421875</v>
      </c>
      <c r="BD4" s="526">
        <f t="shared" si="0"/>
        <v>-2.2983217239379883</v>
      </c>
    </row>
    <row r="5" spans="1:57" ht="13.5" customHeight="1">
      <c r="A5" s="527"/>
      <c r="D5" s="528"/>
      <c r="F5" s="529"/>
      <c r="G5" s="529"/>
      <c r="H5" s="529"/>
      <c r="I5" s="529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0"/>
      <c r="AB5" s="520"/>
      <c r="AC5" s="520"/>
      <c r="AD5" s="520"/>
      <c r="AE5" s="520"/>
      <c r="AF5" s="520"/>
      <c r="AG5" s="520"/>
      <c r="AH5" s="520"/>
      <c r="AI5" s="520"/>
      <c r="AJ5" s="520"/>
      <c r="AK5" s="520"/>
      <c r="AL5" s="520"/>
      <c r="AM5" s="520"/>
      <c r="AN5" s="520"/>
      <c r="AO5" s="520"/>
      <c r="AP5" s="520"/>
      <c r="AQ5" s="520"/>
      <c r="AR5" s="520"/>
      <c r="AS5" s="520"/>
      <c r="AT5" s="520"/>
      <c r="AU5" s="520"/>
      <c r="AV5" s="520"/>
      <c r="AW5" s="520"/>
      <c r="AX5" s="520"/>
      <c r="BE5" s="520"/>
    </row>
    <row r="6" spans="1:57" ht="13.5" customHeight="1">
      <c r="A6" s="527"/>
      <c r="D6" s="528"/>
      <c r="F6" s="529"/>
      <c r="G6" s="529"/>
      <c r="H6" s="529">
        <v>0.42999267578125</v>
      </c>
      <c r="I6" s="529"/>
      <c r="J6" s="530"/>
      <c r="K6" s="531"/>
      <c r="L6" s="531"/>
      <c r="M6" s="531"/>
      <c r="N6" s="531" t="s">
        <v>825</v>
      </c>
      <c r="O6" s="531"/>
      <c r="P6" s="531"/>
      <c r="Q6" s="532"/>
      <c r="R6" s="533"/>
      <c r="S6" s="534"/>
      <c r="T6" s="534"/>
      <c r="U6" s="534"/>
      <c r="V6" s="534"/>
      <c r="W6" s="534" t="s">
        <v>826</v>
      </c>
      <c r="X6" s="534"/>
      <c r="Y6" s="534"/>
      <c r="Z6" s="534"/>
      <c r="AA6" s="535"/>
      <c r="AB6" s="536"/>
      <c r="AC6" s="520"/>
      <c r="AD6" s="520"/>
      <c r="AE6" s="520"/>
      <c r="AF6" s="520"/>
      <c r="AG6" s="520"/>
      <c r="AH6" s="520"/>
      <c r="AI6" s="520"/>
      <c r="AJ6" s="520"/>
      <c r="AK6" s="520"/>
      <c r="AL6" s="520"/>
      <c r="AM6" s="520"/>
      <c r="AN6" s="520"/>
      <c r="AO6" s="520"/>
      <c r="AP6" s="520"/>
      <c r="AQ6" s="520"/>
      <c r="AR6" s="520"/>
      <c r="AS6" s="520"/>
      <c r="AT6" s="520"/>
      <c r="AU6" s="520"/>
      <c r="AV6" s="520"/>
      <c r="AW6" s="520"/>
      <c r="AX6" s="520"/>
      <c r="BE6" s="520"/>
    </row>
    <row r="7" spans="1:57" s="537" customFormat="1" ht="46.5">
      <c r="E7" s="538"/>
      <c r="G7" s="539"/>
      <c r="H7" s="540"/>
      <c r="J7" s="541" t="s">
        <v>18</v>
      </c>
      <c r="K7" s="541" t="s">
        <v>827</v>
      </c>
      <c r="L7" s="541" t="s">
        <v>25</v>
      </c>
      <c r="M7" s="541" t="s">
        <v>956</v>
      </c>
      <c r="N7" s="541" t="s">
        <v>828</v>
      </c>
      <c r="O7" s="541" t="s">
        <v>829</v>
      </c>
      <c r="P7" s="541" t="s">
        <v>830</v>
      </c>
      <c r="Q7" s="541" t="s">
        <v>831</v>
      </c>
      <c r="R7" s="541" t="s">
        <v>832</v>
      </c>
      <c r="S7" s="541" t="s">
        <v>38</v>
      </c>
      <c r="T7" s="541" t="s">
        <v>833</v>
      </c>
      <c r="U7" s="541" t="s">
        <v>834</v>
      </c>
      <c r="V7" s="541" t="s">
        <v>835</v>
      </c>
      <c r="W7" s="541" t="s">
        <v>836</v>
      </c>
      <c r="X7" s="541" t="s">
        <v>837</v>
      </c>
      <c r="Y7" s="541" t="s">
        <v>838</v>
      </c>
      <c r="Z7" s="541" t="s">
        <v>48</v>
      </c>
      <c r="AA7" s="541" t="s">
        <v>51</v>
      </c>
      <c r="AB7" s="541" t="s">
        <v>840</v>
      </c>
      <c r="AC7" s="541" t="s">
        <v>841</v>
      </c>
      <c r="AD7" s="541" t="s">
        <v>842</v>
      </c>
      <c r="AE7" s="541" t="s">
        <v>843</v>
      </c>
      <c r="AF7" s="541" t="s">
        <v>844</v>
      </c>
      <c r="AG7" s="541" t="s">
        <v>845</v>
      </c>
      <c r="AH7" s="541" t="s">
        <v>846</v>
      </c>
      <c r="AI7" s="541" t="s">
        <v>260</v>
      </c>
      <c r="AJ7" s="541" t="s">
        <v>63</v>
      </c>
      <c r="AK7" s="541" t="s">
        <v>65</v>
      </c>
      <c r="AL7" s="541" t="s">
        <v>957</v>
      </c>
      <c r="AM7" s="541" t="s">
        <v>71</v>
      </c>
      <c r="AN7" s="541" t="s">
        <v>848</v>
      </c>
      <c r="AO7" s="541" t="s">
        <v>849</v>
      </c>
      <c r="AP7" s="541" t="s">
        <v>73</v>
      </c>
      <c r="AQ7" s="541" t="s">
        <v>69</v>
      </c>
      <c r="AR7" s="541" t="s">
        <v>850</v>
      </c>
      <c r="AS7" s="541" t="s">
        <v>851</v>
      </c>
      <c r="AT7" s="541" t="s">
        <v>852</v>
      </c>
      <c r="AU7" s="541" t="s">
        <v>853</v>
      </c>
      <c r="AV7" s="541" t="s">
        <v>958</v>
      </c>
      <c r="AW7" s="541" t="s">
        <v>854</v>
      </c>
      <c r="AX7" s="541" t="s">
        <v>205</v>
      </c>
      <c r="AY7" s="541" t="s">
        <v>89</v>
      </c>
      <c r="AZ7" s="541" t="s">
        <v>855</v>
      </c>
      <c r="BA7" s="541" t="s">
        <v>963</v>
      </c>
      <c r="BB7" s="541" t="s">
        <v>174</v>
      </c>
      <c r="BC7" s="541" t="s">
        <v>95</v>
      </c>
      <c r="BD7" s="541" t="s">
        <v>856</v>
      </c>
      <c r="BE7" s="542" t="s">
        <v>347</v>
      </c>
    </row>
    <row r="8" spans="1:57" s="543" customFormat="1" ht="11.5">
      <c r="E8" s="544"/>
      <c r="F8" s="545">
        <v>45291</v>
      </c>
      <c r="G8" s="545"/>
      <c r="H8" s="546"/>
      <c r="I8" s="545">
        <v>44926</v>
      </c>
      <c r="J8" s="547">
        <f>'CF 2024'!H9</f>
        <v>75109486095</v>
      </c>
      <c r="K8" s="547">
        <f>'CF 2024'!I9</f>
        <v>323260364520</v>
      </c>
      <c r="L8" s="547">
        <f>'CF 2024'!J9</f>
        <v>15830303102</v>
      </c>
      <c r="M8" s="547">
        <f>'CF 2024'!K9</f>
        <v>20326406410</v>
      </c>
      <c r="N8" s="547">
        <f>'CF 2024'!L9</f>
        <v>38356602143</v>
      </c>
      <c r="O8" s="547" t="e">
        <f>'CF 2024'!#REF!</f>
        <v>#REF!</v>
      </c>
      <c r="P8" s="547">
        <f>'CF 2024'!M9</f>
        <v>11811728970</v>
      </c>
      <c r="Q8" s="547">
        <f>'CF 2024'!N9</f>
        <v>159588593589</v>
      </c>
      <c r="R8" s="547">
        <f>'CF 2024'!O9</f>
        <v>2623976876</v>
      </c>
      <c r="S8" s="547">
        <f>'CF 2024'!P9</f>
        <v>24013216750</v>
      </c>
      <c r="T8" s="547">
        <f>'CF 2024'!Q9</f>
        <v>0</v>
      </c>
      <c r="U8" s="547">
        <f>'CF 2024'!R9</f>
        <v>2156177190</v>
      </c>
      <c r="V8" s="547">
        <f>'CF 2024'!S9</f>
        <v>21832710982</v>
      </c>
      <c r="W8" s="547">
        <f>'CF 2024'!T9</f>
        <v>0</v>
      </c>
      <c r="X8" s="547">
        <f>'CF 2024'!U9</f>
        <v>11843914378</v>
      </c>
      <c r="Y8" s="547">
        <f>'CF 2024'!V9</f>
        <v>24886088064</v>
      </c>
      <c r="Z8" s="547">
        <f>'CF 2024'!W9</f>
        <v>2482200000</v>
      </c>
      <c r="AA8" s="547">
        <f>'CF 2024'!X9</f>
        <v>12960995205</v>
      </c>
      <c r="AB8" s="547">
        <f>'CF 2024'!Y9</f>
        <v>0</v>
      </c>
      <c r="AC8" s="547">
        <f>'CF 2024'!Z9</f>
        <v>0</v>
      </c>
      <c r="AD8" s="547">
        <f>'CF 2024'!AA9</f>
        <v>-11841969435</v>
      </c>
      <c r="AE8" s="547">
        <f>'CF 2024'!AB9</f>
        <v>-141442017128</v>
      </c>
      <c r="AF8" s="547" t="e">
        <f>'CF 2024'!#REF!</f>
        <v>#REF!</v>
      </c>
      <c r="AG8" s="547" t="e">
        <f>'CF 2024'!#REF!</f>
        <v>#REF!</v>
      </c>
      <c r="AH8" s="547">
        <f>'CF 2024'!AC9</f>
        <v>-48531295722</v>
      </c>
      <c r="AI8" s="547">
        <f>'CF 2024'!AD9</f>
        <v>-5410354427</v>
      </c>
      <c r="AJ8" s="547">
        <f>'CF 2024'!AE9</f>
        <v>-3998598175</v>
      </c>
      <c r="AK8" s="547">
        <f>'CF 2024'!AF9</f>
        <v>-15917342497</v>
      </c>
      <c r="AL8" s="547">
        <f>'CF 2024'!AG9</f>
        <v>0</v>
      </c>
      <c r="AM8" s="547">
        <f>'CF 2024'!AH9</f>
        <v>0</v>
      </c>
      <c r="AN8" s="547">
        <f>'CF 2024'!AI9</f>
        <v>-5484244074</v>
      </c>
      <c r="AO8" s="547">
        <f>'CF 2024'!AJ9</f>
        <v>-59423529841</v>
      </c>
      <c r="AP8" s="547">
        <f>'CF 2024'!AK9</f>
        <v>0</v>
      </c>
      <c r="AQ8" s="547">
        <f>'CF 2024'!AL9</f>
        <v>0</v>
      </c>
      <c r="AR8" s="547">
        <f>'CF 2024'!AM9</f>
        <v>0</v>
      </c>
      <c r="AS8" s="547">
        <f>'CF 2024'!AN9</f>
        <v>0</v>
      </c>
      <c r="AT8" s="547">
        <f>'CF 2024'!AO9</f>
        <v>-89665532815</v>
      </c>
      <c r="AU8" s="547">
        <f>'CF 2024'!AP9</f>
        <v>-4853302291</v>
      </c>
      <c r="AV8" s="547">
        <f>'CF 2024'!AQ9</f>
        <v>0</v>
      </c>
      <c r="AW8" s="547">
        <f>'CF 2024'!AR9</f>
        <v>-4735334275</v>
      </c>
      <c r="AX8" s="547">
        <f>'CF 2024'!AS9</f>
        <v>-486708075000</v>
      </c>
      <c r="AY8" s="547">
        <f>'CF 2024'!AT9</f>
        <v>-1003275649843</v>
      </c>
      <c r="AZ8" s="547">
        <f>'CF 2024'!AU9</f>
        <v>-42384330497</v>
      </c>
      <c r="BA8" s="547">
        <f>'CF 2024'!AV9</f>
        <v>-1505283288</v>
      </c>
      <c r="BB8" s="547">
        <f>'CF 2024'!AW9</f>
        <v>55005764507</v>
      </c>
      <c r="BC8" s="547">
        <f>'CF 2024'!AY9</f>
        <v>649879728743</v>
      </c>
      <c r="BD8" s="547">
        <f>'CF 2024'!AZ9</f>
        <v>473208601783.68762</v>
      </c>
      <c r="BE8" s="544" t="e">
        <f>SUM(J8:BD8)</f>
        <v>#REF!</v>
      </c>
    </row>
    <row r="9" spans="1:57" s="543" customFormat="1" ht="11.5">
      <c r="E9" s="544"/>
      <c r="F9" s="545">
        <v>44926</v>
      </c>
      <c r="G9" s="545"/>
      <c r="H9" s="546"/>
      <c r="I9" s="545">
        <v>44561</v>
      </c>
      <c r="J9" s="547">
        <f>'Consol SoFP 23 &amp; 22'!BF15</f>
        <v>40661258337</v>
      </c>
      <c r="K9" s="547">
        <f>SUM('Consol SoFP 23 &amp; 22'!BF17:BF18)</f>
        <v>227940501708</v>
      </c>
      <c r="L9" s="547">
        <f>'Consol SoFP 23 &amp; 22'!BF22</f>
        <v>14442442151</v>
      </c>
      <c r="M9" s="547">
        <f>'Consol SoFP 23 &amp; 22'!BF26</f>
        <v>5180796035</v>
      </c>
      <c r="N9" s="547">
        <f>'Consol SoFP 23 &amp; 22'!BF28</f>
        <v>5434584686</v>
      </c>
      <c r="O9" s="547">
        <f>'Consol SoFP 23 &amp; 22'!BF30</f>
        <v>0</v>
      </c>
      <c r="P9" s="547">
        <f>'Consol SoFP 23 &amp; 22'!BF32</f>
        <v>46432019959</v>
      </c>
      <c r="Q9" s="547">
        <f>'Consol SoFP 23 &amp; 22'!BF34</f>
        <v>55354071673</v>
      </c>
      <c r="R9" s="547">
        <f>'Consol SoFP 23 &amp; 22'!BF31</f>
        <v>90969692</v>
      </c>
      <c r="S9" s="547">
        <f>'Consol SoFP 23 &amp; 22'!BF35</f>
        <v>12634397153</v>
      </c>
      <c r="T9" s="547"/>
      <c r="U9" s="547">
        <f>'Consol SoFP 23 &amp; 22'!BF42</f>
        <v>14398163289</v>
      </c>
      <c r="V9" s="547">
        <f>'Consol SoFP 23 &amp; 22'!BF44</f>
        <v>35664033274</v>
      </c>
      <c r="W9" s="547"/>
      <c r="X9" s="547">
        <f>'Consol SoFP 23 &amp; 22'!BF46</f>
        <v>140145541230</v>
      </c>
      <c r="Y9" s="547">
        <f>'Consol SoFP 23 &amp; 22'!BF45</f>
        <v>43488307487</v>
      </c>
      <c r="Z9" s="547">
        <f>'Consol SoFP 23 &amp; 22'!BF47</f>
        <v>874125000</v>
      </c>
      <c r="AA9" s="547">
        <f>'Consol SoFP 23 &amp; 22'!BF50+'Consol SoFP 23 &amp; 22'!BF48</f>
        <v>10947704500</v>
      </c>
      <c r="AB9" s="547"/>
      <c r="AC9" s="547"/>
      <c r="AD9" s="547">
        <f>'Consol SoFP 23 &amp; 22'!BF84</f>
        <v>-3469782201</v>
      </c>
      <c r="AE9" s="547">
        <f>'Consol SoFP 23 &amp; 22'!BF58</f>
        <v>-43196374892</v>
      </c>
      <c r="AF9" s="547"/>
      <c r="AG9" s="547"/>
      <c r="AH9" s="547">
        <f>SUM('Consol SoFP 23 &amp; 22'!BF60:BF61)</f>
        <v>-35633999745</v>
      </c>
      <c r="AI9" s="547">
        <f>SUM('Consol SoFP 23 &amp; 22'!BF69:BF70)</f>
        <v>0</v>
      </c>
      <c r="AJ9" s="547">
        <f>'Consol SoFP 23 &amp; 22'!BF65</f>
        <v>-6108774604</v>
      </c>
      <c r="AK9" s="547">
        <f>'Consol SoFP 23 &amp; 22'!BF67</f>
        <v>-40302224</v>
      </c>
      <c r="AL9" s="547"/>
      <c r="AM9" s="547"/>
      <c r="AN9" s="547">
        <f>'Consol SoFP 23 &amp; 22'!BF66</f>
        <v>-8775032472</v>
      </c>
      <c r="AO9" s="547">
        <f>'Consol SoFP 23 &amp; 22'!BF63</f>
        <v>-83657606012</v>
      </c>
      <c r="AP9" s="547"/>
      <c r="AQ9" s="547"/>
      <c r="AR9" s="547"/>
      <c r="AS9" s="547"/>
      <c r="AT9" s="547">
        <f>'Consol SoFP 23 &amp; 22'!BF75+'Consol SoFP 23 &amp; 22'!BF81</f>
        <v>-125095664551</v>
      </c>
      <c r="AU9" s="547">
        <f>'Consol SoFP 23 &amp; 22'!BF82</f>
        <v>-4918246882</v>
      </c>
      <c r="AV9" s="547">
        <v>0</v>
      </c>
      <c r="AW9" s="547">
        <f>'Consol SoFP 23 &amp; 22'!BF85</f>
        <v>0</v>
      </c>
      <c r="AX9" s="547">
        <f>'Consol SoFP 23 &amp; 22'!BF93</f>
        <v>-142427250000</v>
      </c>
      <c r="AY9" s="547">
        <f>'Consol SoFP 23 &amp; 22'!BF94</f>
        <v>-357853579198</v>
      </c>
      <c r="AZ9" s="547">
        <f>SUM('Consol SoFP 23 &amp; 22'!BF97:BF98)</f>
        <v>-28533901860</v>
      </c>
      <c r="BA9" s="547">
        <f>SUM('Consol SoFP 23 &amp; 22'!BF104:BF105)</f>
        <v>-890579715</v>
      </c>
      <c r="BB9" s="547">
        <f>'Consol SoFP 23 &amp; 22'!BF106</f>
        <v>-2093719896</v>
      </c>
      <c r="BC9" s="547">
        <f>SUM('Consol SoFP 23 &amp; 22'!BF101:BF102)</f>
        <v>323673912325</v>
      </c>
      <c r="BD9" s="547">
        <f>'Consol SoFP 23 &amp; 22'!BF110</f>
        <v>-134668014247</v>
      </c>
      <c r="BE9" s="544">
        <f>SUM(J9:BD9)</f>
        <v>0</v>
      </c>
    </row>
    <row r="10" spans="1:57" s="554" customFormat="1" ht="12" thickBot="1">
      <c r="A10" s="550"/>
      <c r="B10" s="550"/>
      <c r="C10" s="550"/>
      <c r="D10" s="550"/>
      <c r="E10" s="551"/>
      <c r="F10" s="552" t="s">
        <v>857</v>
      </c>
      <c r="G10" s="552"/>
      <c r="H10" s="552"/>
      <c r="I10" s="552" t="s">
        <v>857</v>
      </c>
      <c r="J10" s="553">
        <f>J8-J9</f>
        <v>34448227758</v>
      </c>
      <c r="K10" s="553">
        <f t="shared" ref="K10:AW10" si="1">K8-K9</f>
        <v>95319862812</v>
      </c>
      <c r="L10" s="553">
        <f t="shared" si="1"/>
        <v>1387860951</v>
      </c>
      <c r="M10" s="553">
        <f t="shared" si="1"/>
        <v>15145610375</v>
      </c>
      <c r="N10" s="553">
        <f t="shared" si="1"/>
        <v>32922017457</v>
      </c>
      <c r="O10" s="553" t="e">
        <f t="shared" si="1"/>
        <v>#REF!</v>
      </c>
      <c r="P10" s="553">
        <f t="shared" si="1"/>
        <v>-34620290989</v>
      </c>
      <c r="Q10" s="553">
        <f>Q8-Q9</f>
        <v>104234521916</v>
      </c>
      <c r="R10" s="553">
        <f>R8-R9</f>
        <v>2533007184</v>
      </c>
      <c r="S10" s="553">
        <f>S8-S9</f>
        <v>11378819597</v>
      </c>
      <c r="T10" s="553">
        <f>T8-T9</f>
        <v>0</v>
      </c>
      <c r="U10" s="553">
        <f t="shared" si="1"/>
        <v>-12241986099</v>
      </c>
      <c r="V10" s="553">
        <f t="shared" si="1"/>
        <v>-13831322292</v>
      </c>
      <c r="W10" s="553">
        <f t="shared" si="1"/>
        <v>0</v>
      </c>
      <c r="X10" s="553">
        <f t="shared" si="1"/>
        <v>-128301626852</v>
      </c>
      <c r="Y10" s="553">
        <f t="shared" si="1"/>
        <v>-18602219423</v>
      </c>
      <c r="Z10" s="553">
        <f t="shared" si="1"/>
        <v>1608075000</v>
      </c>
      <c r="AA10" s="553">
        <f t="shared" si="1"/>
        <v>2013290705</v>
      </c>
      <c r="AB10" s="553">
        <f>AB8-AB9</f>
        <v>0</v>
      </c>
      <c r="AC10" s="553">
        <f t="shared" si="1"/>
        <v>0</v>
      </c>
      <c r="AD10" s="553">
        <f t="shared" si="1"/>
        <v>-8372187234</v>
      </c>
      <c r="AE10" s="553">
        <f t="shared" si="1"/>
        <v>-98245642236</v>
      </c>
      <c r="AF10" s="553" t="e">
        <f>AF8-AF9</f>
        <v>#REF!</v>
      </c>
      <c r="AG10" s="553" t="e">
        <f t="shared" si="1"/>
        <v>#REF!</v>
      </c>
      <c r="AH10" s="553">
        <f t="shared" si="1"/>
        <v>-12897295977</v>
      </c>
      <c r="AI10" s="553">
        <f t="shared" si="1"/>
        <v>-5410354427</v>
      </c>
      <c r="AJ10" s="553">
        <f t="shared" si="1"/>
        <v>2110176429</v>
      </c>
      <c r="AK10" s="553">
        <f t="shared" si="1"/>
        <v>-15877040273</v>
      </c>
      <c r="AL10" s="553">
        <f t="shared" si="1"/>
        <v>0</v>
      </c>
      <c r="AM10" s="553">
        <f t="shared" si="1"/>
        <v>0</v>
      </c>
      <c r="AN10" s="553">
        <f t="shared" si="1"/>
        <v>3290788398</v>
      </c>
      <c r="AO10" s="553">
        <f>AO8-AO9</f>
        <v>24234076171</v>
      </c>
      <c r="AP10" s="553">
        <f t="shared" si="1"/>
        <v>0</v>
      </c>
      <c r="AQ10" s="553">
        <f t="shared" si="1"/>
        <v>0</v>
      </c>
      <c r="AR10" s="553">
        <f t="shared" si="1"/>
        <v>0</v>
      </c>
      <c r="AS10" s="553">
        <f t="shared" si="1"/>
        <v>0</v>
      </c>
      <c r="AT10" s="553">
        <f t="shared" si="1"/>
        <v>35430131736</v>
      </c>
      <c r="AU10" s="553">
        <f t="shared" si="1"/>
        <v>64944591</v>
      </c>
      <c r="AV10" s="553">
        <f t="shared" si="1"/>
        <v>0</v>
      </c>
      <c r="AW10" s="553">
        <f t="shared" si="1"/>
        <v>-4735334275</v>
      </c>
      <c r="AX10" s="553">
        <f t="shared" ref="AX10:BD10" si="2">AX8-AX9</f>
        <v>-344280825000</v>
      </c>
      <c r="AY10" s="553">
        <f t="shared" si="2"/>
        <v>-645422070645</v>
      </c>
      <c r="AZ10" s="553">
        <f t="shared" si="2"/>
        <v>-13850428637</v>
      </c>
      <c r="BA10" s="553">
        <f t="shared" si="2"/>
        <v>-614703573</v>
      </c>
      <c r="BB10" s="553">
        <f t="shared" si="2"/>
        <v>57099484403</v>
      </c>
      <c r="BC10" s="553">
        <f t="shared" si="2"/>
        <v>326205816418</v>
      </c>
      <c r="BD10" s="553">
        <f t="shared" si="2"/>
        <v>607876616030.68762</v>
      </c>
    </row>
    <row r="11" spans="1:57" ht="13.5" customHeight="1">
      <c r="A11" s="527"/>
      <c r="D11" s="528"/>
      <c r="F11" s="555"/>
      <c r="G11" s="555"/>
      <c r="H11" s="555"/>
      <c r="I11" s="555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0"/>
      <c r="AH11" s="520"/>
      <c r="AI11" s="520"/>
      <c r="AJ11" s="520"/>
      <c r="AK11" s="520"/>
      <c r="AL11" s="520"/>
      <c r="AM11" s="520"/>
      <c r="AN11" s="520"/>
      <c r="AO11" s="520"/>
      <c r="AP11" s="520"/>
      <c r="AQ11" s="520"/>
      <c r="AR11" s="520"/>
      <c r="AS11" s="520"/>
      <c r="AT11" s="520"/>
      <c r="AU11" s="520"/>
      <c r="AV11" s="520"/>
      <c r="AW11" s="520"/>
      <c r="AX11" s="520"/>
      <c r="BE11" s="520"/>
    </row>
    <row r="12" spans="1:57" ht="13.5" customHeight="1">
      <c r="A12" s="527" t="s">
        <v>858</v>
      </c>
      <c r="D12" s="528"/>
      <c r="F12" s="556" t="s">
        <v>859</v>
      </c>
      <c r="G12" s="556" t="s">
        <v>823</v>
      </c>
      <c r="H12" s="556" t="s">
        <v>860</v>
      </c>
      <c r="I12" s="556"/>
      <c r="J12" s="520"/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520"/>
      <c r="W12" s="520"/>
      <c r="X12" s="520"/>
      <c r="Y12" s="520"/>
      <c r="Z12" s="520"/>
      <c r="AA12" s="520"/>
      <c r="AB12" s="520"/>
      <c r="AC12" s="520"/>
      <c r="AD12" s="520"/>
      <c r="AE12" s="520"/>
      <c r="AF12" s="520"/>
      <c r="AG12" s="520"/>
      <c r="AH12" s="520"/>
      <c r="AI12" s="520"/>
      <c r="AJ12" s="520"/>
      <c r="AK12" s="520"/>
      <c r="AL12" s="520"/>
      <c r="AM12" s="520"/>
      <c r="AN12" s="520"/>
      <c r="AO12" s="520"/>
      <c r="AP12" s="520"/>
      <c r="AQ12" s="520"/>
      <c r="AR12" s="520"/>
      <c r="AS12" s="520"/>
      <c r="AT12" s="520"/>
      <c r="AU12" s="520"/>
      <c r="AV12" s="520"/>
      <c r="AW12" s="520"/>
      <c r="AX12" s="520"/>
      <c r="BE12" s="520"/>
    </row>
    <row r="13" spans="1:57" ht="13.5" customHeight="1">
      <c r="B13" s="519" t="s">
        <v>861</v>
      </c>
      <c r="D13" s="528"/>
      <c r="F13" s="557">
        <v>-194638591753.64001</v>
      </c>
      <c r="G13" s="557">
        <f>H13-F13</f>
        <v>-802089107121.35999</v>
      </c>
      <c r="H13" s="558">
        <f t="shared" ref="H13" si="3">ROUND(SUM(J13:BD13),0)</f>
        <v>-996727698875</v>
      </c>
      <c r="I13" s="557"/>
      <c r="J13" s="520"/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520"/>
      <c r="W13" s="520"/>
      <c r="X13" s="520"/>
      <c r="Y13" s="520"/>
      <c r="Z13" s="520"/>
      <c r="AA13" s="520"/>
      <c r="AB13" s="520"/>
      <c r="AC13" s="520"/>
      <c r="AD13" s="520">
        <f>'Consol SoPL-OCI 23 &amp; 22'!AC56</f>
        <v>8372187235</v>
      </c>
      <c r="AE13" s="520"/>
      <c r="AF13" s="520"/>
      <c r="AG13" s="520"/>
      <c r="AH13" s="520"/>
      <c r="AI13" s="520"/>
      <c r="AJ13" s="520">
        <v>0</v>
      </c>
      <c r="AK13" s="520"/>
      <c r="AL13" s="520"/>
      <c r="AM13" s="520"/>
      <c r="AN13" s="520"/>
      <c r="AO13" s="520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>
        <f>'Consol SoPL-OCI 23 &amp; 22'!AC61</f>
        <v>-58403961762.594269</v>
      </c>
      <c r="BC13" s="520">
        <f>-'Consol SoPL-OCI 23 &amp; 22'!AC86</f>
        <v>-326205816417.49524</v>
      </c>
      <c r="BD13" s="520">
        <f>-'Consol SoPL-OCI 23 &amp; 22'!AC87</f>
        <v>-620490107930.3269</v>
      </c>
      <c r="BE13" s="520">
        <f>H13-SUM(J13:BD13)</f>
        <v>0.4163818359375</v>
      </c>
    </row>
    <row r="14" spans="1:57">
      <c r="D14" s="528"/>
      <c r="F14" s="557"/>
      <c r="G14" s="557"/>
      <c r="H14" s="557"/>
      <c r="I14" s="557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  <c r="W14" s="520"/>
      <c r="X14" s="520"/>
      <c r="Y14" s="520"/>
      <c r="Z14" s="520"/>
      <c r="AA14" s="520"/>
      <c r="AB14" s="520"/>
      <c r="AC14" s="520"/>
      <c r="AD14" s="520"/>
      <c r="AE14" s="520"/>
      <c r="AF14" s="520"/>
      <c r="AG14" s="520"/>
      <c r="AH14" s="520"/>
      <c r="AI14" s="520"/>
      <c r="AJ14" s="520"/>
      <c r="AK14" s="520"/>
      <c r="AL14" s="520"/>
      <c r="AM14" s="520"/>
      <c r="AN14" s="520"/>
      <c r="AO14" s="520"/>
      <c r="AP14" s="520"/>
      <c r="AQ14" s="520"/>
      <c r="AR14" s="520"/>
      <c r="AS14" s="520"/>
      <c r="AT14" s="520"/>
      <c r="AU14" s="520"/>
      <c r="AV14" s="520"/>
      <c r="AW14" s="520"/>
      <c r="AX14" s="520"/>
      <c r="BE14" s="520"/>
    </row>
    <row r="15" spans="1:57">
      <c r="B15" s="519" t="s">
        <v>862</v>
      </c>
      <c r="D15" s="528"/>
      <c r="F15" s="559"/>
      <c r="G15" s="559"/>
      <c r="H15" s="559"/>
      <c r="I15" s="559"/>
      <c r="J15" s="520"/>
      <c r="K15" s="520"/>
      <c r="L15" s="520"/>
      <c r="M15" s="520"/>
      <c r="N15" s="520"/>
      <c r="O15" s="520"/>
      <c r="P15" s="520"/>
      <c r="Q15" s="520"/>
      <c r="R15" s="520"/>
      <c r="S15" s="520"/>
      <c r="T15" s="520"/>
      <c r="U15" s="520"/>
      <c r="V15" s="520"/>
      <c r="W15" s="520"/>
      <c r="X15" s="520"/>
      <c r="Y15" s="520"/>
      <c r="Z15" s="520"/>
      <c r="AA15" s="520"/>
      <c r="AB15" s="520"/>
      <c r="AC15" s="520"/>
      <c r="AD15" s="520"/>
      <c r="AE15" s="520"/>
      <c r="AF15" s="520"/>
      <c r="AG15" s="520"/>
      <c r="AH15" s="520"/>
      <c r="AI15" s="520"/>
      <c r="AJ15" s="520"/>
      <c r="AK15" s="520"/>
      <c r="AL15" s="520"/>
      <c r="AM15" s="520"/>
      <c r="AN15" s="520"/>
      <c r="AO15" s="520"/>
      <c r="AP15" s="520"/>
      <c r="AQ15" s="520"/>
      <c r="AR15" s="520"/>
      <c r="AS15" s="520"/>
      <c r="AT15" s="520"/>
      <c r="AU15" s="520"/>
      <c r="AV15" s="520"/>
      <c r="AW15" s="520"/>
      <c r="AX15" s="520"/>
      <c r="BE15" s="520"/>
    </row>
    <row r="16" spans="1:57">
      <c r="C16" s="519" t="s">
        <v>863</v>
      </c>
      <c r="D16" s="528"/>
      <c r="F16" s="559">
        <v>80020622</v>
      </c>
      <c r="G16" s="559">
        <f>H16-F16</f>
        <v>17589947875</v>
      </c>
      <c r="H16" s="559">
        <f t="shared" ref="H16:H31" si="4">ROUND(SUM(J16:BD16),0)</f>
        <v>17669968497</v>
      </c>
      <c r="I16" s="559"/>
      <c r="J16" s="520"/>
      <c r="K16" s="520"/>
      <c r="L16" s="520"/>
      <c r="M16" s="520"/>
      <c r="N16" s="520"/>
      <c r="O16" s="520"/>
      <c r="P16" s="520"/>
      <c r="Q16" s="520"/>
      <c r="R16" s="520"/>
      <c r="S16" s="520"/>
      <c r="T16" s="520"/>
      <c r="U16" s="520"/>
      <c r="V16" s="520">
        <f>-'Supplementary CF 23'!M24</f>
        <v>17669968496.727749</v>
      </c>
      <c r="W16" s="520"/>
      <c r="X16" s="520"/>
      <c r="Y16" s="520"/>
      <c r="Z16" s="520"/>
      <c r="AA16" s="520"/>
      <c r="AB16" s="520"/>
      <c r="AC16" s="520"/>
      <c r="AD16" s="520"/>
      <c r="AE16" s="520"/>
      <c r="AF16" s="520"/>
      <c r="AG16" s="520"/>
      <c r="AH16" s="520"/>
      <c r="AI16" s="520"/>
      <c r="AJ16" s="520"/>
      <c r="AK16" s="520"/>
      <c r="AL16" s="520"/>
      <c r="AM16" s="520"/>
      <c r="AN16" s="520"/>
      <c r="AO16" s="520"/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>
        <f t="shared" ref="BE16:BE32" si="5">H16-SUM(J16:BD16)</f>
        <v>0.27225112915039063</v>
      </c>
    </row>
    <row r="17" spans="3:57">
      <c r="C17" s="519" t="s">
        <v>864</v>
      </c>
      <c r="D17" s="528"/>
      <c r="F17" s="559">
        <v>0</v>
      </c>
      <c r="G17" s="559">
        <f t="shared" ref="G17:G31" si="6">H17-F17</f>
        <v>32453747018</v>
      </c>
      <c r="H17" s="559">
        <f t="shared" si="4"/>
        <v>32453747018</v>
      </c>
      <c r="I17" s="559"/>
      <c r="J17" s="520"/>
      <c r="K17" s="520"/>
      <c r="L17" s="520"/>
      <c r="M17" s="520"/>
      <c r="N17" s="520"/>
      <c r="O17" s="520"/>
      <c r="P17" s="520"/>
      <c r="Q17" s="520"/>
      <c r="R17" s="520"/>
      <c r="S17" s="520"/>
      <c r="T17" s="520"/>
      <c r="U17" s="520"/>
      <c r="V17" s="520">
        <f>-'Supplementary CF 23'!M25</f>
        <v>32453747017.514847</v>
      </c>
      <c r="W17" s="520"/>
      <c r="X17" s="520"/>
      <c r="Y17" s="520"/>
      <c r="Z17" s="520"/>
      <c r="AA17" s="520"/>
      <c r="AB17" s="520"/>
      <c r="AC17" s="520"/>
      <c r="AD17" s="520"/>
      <c r="AE17" s="520"/>
      <c r="AF17" s="520"/>
      <c r="AG17" s="520"/>
      <c r="AH17" s="520"/>
      <c r="AI17" s="520"/>
      <c r="AJ17" s="520"/>
      <c r="AK17" s="520"/>
      <c r="AL17" s="520"/>
      <c r="AM17" s="520"/>
      <c r="AN17" s="520"/>
      <c r="AO17" s="520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>
        <f t="shared" ref="BE17" si="7">H17-SUM(J17:BD17)</f>
        <v>0.4851531982421875</v>
      </c>
    </row>
    <row r="18" spans="3:57">
      <c r="C18" s="519" t="s">
        <v>865</v>
      </c>
      <c r="D18" s="528"/>
      <c r="F18" s="559">
        <v>0</v>
      </c>
      <c r="G18" s="559">
        <f t="shared" si="6"/>
        <v>83296105213</v>
      </c>
      <c r="H18" s="559">
        <f t="shared" si="4"/>
        <v>83296105213</v>
      </c>
      <c r="I18" s="559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/>
      <c r="V18" s="520"/>
      <c r="W18" s="520"/>
      <c r="X18" s="520">
        <f>-'Supplementary CF 23'!F43</f>
        <v>83296105212.599991</v>
      </c>
      <c r="Y18" s="520"/>
      <c r="Z18" s="520"/>
      <c r="AA18" s="520"/>
      <c r="AB18" s="520"/>
      <c r="AC18" s="520"/>
      <c r="AD18" s="520"/>
      <c r="AE18" s="520"/>
      <c r="AF18" s="520"/>
      <c r="AG18" s="520"/>
      <c r="AH18" s="520"/>
      <c r="AI18" s="520"/>
      <c r="AJ18" s="520"/>
      <c r="AK18" s="520"/>
      <c r="AL18" s="520"/>
      <c r="AM18" s="520"/>
      <c r="AN18" s="520"/>
      <c r="AO18" s="520"/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>
        <f t="shared" si="5"/>
        <v>0.4000091552734375</v>
      </c>
    </row>
    <row r="19" spans="3:57">
      <c r="C19" s="519" t="s">
        <v>866</v>
      </c>
      <c r="D19" s="528"/>
      <c r="F19" s="559">
        <v>0</v>
      </c>
      <c r="G19" s="559">
        <f t="shared" si="6"/>
        <v>88325573940</v>
      </c>
      <c r="H19" s="559">
        <f t="shared" si="4"/>
        <v>88325573940</v>
      </c>
      <c r="I19" s="559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/>
      <c r="V19" s="520"/>
      <c r="W19" s="520"/>
      <c r="X19" s="520">
        <f>-'Supplementary CF 23'!F44</f>
        <v>88325573940.449997</v>
      </c>
      <c r="Y19" s="520"/>
      <c r="Z19" s="520"/>
      <c r="AA19" s="520"/>
      <c r="AB19" s="520"/>
      <c r="AC19" s="520"/>
      <c r="AD19" s="520"/>
      <c r="AE19" s="520"/>
      <c r="AF19" s="520"/>
      <c r="AG19" s="520"/>
      <c r="AH19" s="520"/>
      <c r="AI19" s="520"/>
      <c r="AJ19" s="520"/>
      <c r="AK19" s="520"/>
      <c r="AL19" s="520"/>
      <c r="AM19" s="520"/>
      <c r="AN19" s="520"/>
      <c r="AO19" s="520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>
        <f t="shared" si="5"/>
        <v>-0.4499969482421875</v>
      </c>
    </row>
    <row r="20" spans="3:57">
      <c r="C20" s="519" t="s">
        <v>867</v>
      </c>
      <c r="D20" s="528"/>
      <c r="E20" s="520" t="s">
        <v>868</v>
      </c>
      <c r="F20" s="559">
        <v>0</v>
      </c>
      <c r="G20" s="559">
        <f t="shared" si="6"/>
        <v>-7662849305</v>
      </c>
      <c r="H20" s="559">
        <f t="shared" si="4"/>
        <v>-7662849305</v>
      </c>
      <c r="I20" s="559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/>
      <c r="V20" s="520"/>
      <c r="W20" s="520"/>
      <c r="X20" s="520">
        <f>-'Supplementary CF 23'!F42</f>
        <v>49691894071.049995</v>
      </c>
      <c r="Y20" s="520"/>
      <c r="Z20" s="520"/>
      <c r="AA20" s="520"/>
      <c r="AB20" s="520"/>
      <c r="AC20" s="520"/>
      <c r="AD20" s="520"/>
      <c r="AE20" s="520"/>
      <c r="AF20" s="520"/>
      <c r="AG20" s="520"/>
      <c r="AH20" s="520"/>
      <c r="AI20" s="520"/>
      <c r="AJ20" s="520"/>
      <c r="AK20" s="520"/>
      <c r="AL20" s="520"/>
      <c r="AM20" s="520"/>
      <c r="AN20" s="520"/>
      <c r="AO20" s="520"/>
      <c r="AP20" s="520"/>
      <c r="AQ20" s="520"/>
      <c r="AR20" s="520"/>
      <c r="AS20" s="520"/>
      <c r="AT20" s="520">
        <f>'Supplementary CF 23'!F55</f>
        <v>-57354743376</v>
      </c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>
        <f t="shared" ref="BE20" si="8">H20-SUM(J20:BD20)</f>
        <v>-4.999542236328125E-2</v>
      </c>
    </row>
    <row r="21" spans="3:57">
      <c r="C21" s="519" t="s">
        <v>869</v>
      </c>
      <c r="D21" s="528"/>
      <c r="F21" s="559">
        <v>4404668871</v>
      </c>
      <c r="G21" s="559">
        <f t="shared" si="6"/>
        <v>6450534227</v>
      </c>
      <c r="H21" s="559">
        <f t="shared" si="4"/>
        <v>10855203098</v>
      </c>
      <c r="I21" s="559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  <c r="U21" s="520"/>
      <c r="V21" s="520"/>
      <c r="W21" s="520"/>
      <c r="X21" s="520"/>
      <c r="Y21" s="520">
        <f>-'Supplementary CF 23'!M66</f>
        <v>10855203097.725</v>
      </c>
      <c r="Z21" s="520"/>
      <c r="AA21" s="520"/>
      <c r="AB21" s="520"/>
      <c r="AC21" s="520"/>
      <c r="AD21" s="520"/>
      <c r="AE21" s="520"/>
      <c r="AF21" s="520"/>
      <c r="AG21" s="520"/>
      <c r="AH21" s="520"/>
      <c r="AI21" s="520"/>
      <c r="AJ21" s="520"/>
      <c r="AK21" s="520"/>
      <c r="AL21" s="520"/>
      <c r="AM21" s="520"/>
      <c r="AN21" s="520"/>
      <c r="AO21" s="5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>
        <f t="shared" si="5"/>
        <v>0.27499961853027344</v>
      </c>
    </row>
    <row r="22" spans="3:57">
      <c r="C22" s="519" t="s">
        <v>870</v>
      </c>
      <c r="D22" s="528"/>
      <c r="F22" s="559">
        <v>4918740524</v>
      </c>
      <c r="G22" s="559">
        <f t="shared" si="6"/>
        <v>2828275801</v>
      </c>
      <c r="H22" s="559">
        <f t="shared" si="4"/>
        <v>7747016325</v>
      </c>
      <c r="I22" s="559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  <c r="U22" s="520"/>
      <c r="V22" s="520"/>
      <c r="W22" s="520"/>
      <c r="X22" s="520"/>
      <c r="Y22" s="520">
        <f>-'Supplementary CF 23'!M67</f>
        <v>7747016325.3000002</v>
      </c>
      <c r="Z22" s="520"/>
      <c r="AA22" s="520"/>
      <c r="AB22" s="520"/>
      <c r="AC22" s="520"/>
      <c r="AD22" s="520"/>
      <c r="AE22" s="520"/>
      <c r="AF22" s="520"/>
      <c r="AG22" s="520"/>
      <c r="AH22" s="520"/>
      <c r="AI22" s="520"/>
      <c r="AJ22" s="520"/>
      <c r="AK22" s="520"/>
      <c r="AL22" s="520"/>
      <c r="AM22" s="520"/>
      <c r="AN22" s="520"/>
      <c r="AO22" s="520"/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>
        <f t="shared" ref="BE22" si="9">H22-SUM(J22:BD22)</f>
        <v>-0.30000019073486328</v>
      </c>
    </row>
    <row r="23" spans="3:57">
      <c r="C23" s="519" t="s">
        <v>871</v>
      </c>
      <c r="D23" s="528"/>
      <c r="F23" s="559">
        <v>0</v>
      </c>
      <c r="G23" s="559">
        <f t="shared" si="6"/>
        <v>133536375</v>
      </c>
      <c r="H23" s="559">
        <f t="shared" si="4"/>
        <v>133536375</v>
      </c>
      <c r="I23" s="559"/>
      <c r="J23" s="520"/>
      <c r="K23" s="520"/>
      <c r="L23" s="520"/>
      <c r="M23" s="520"/>
      <c r="N23" s="520"/>
      <c r="O23" s="520"/>
      <c r="P23" s="520"/>
      <c r="Q23" s="520"/>
      <c r="R23" s="520"/>
      <c r="S23" s="520"/>
      <c r="T23" s="520"/>
      <c r="U23" s="520"/>
      <c r="V23" s="520">
        <f>-'Supplementary CF 23'!M23</f>
        <v>133536375</v>
      </c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0"/>
      <c r="AH23" s="520"/>
      <c r="AI23" s="520"/>
      <c r="AJ23" s="520"/>
      <c r="AK23" s="520"/>
      <c r="AL23" s="520"/>
      <c r="AM23" s="520"/>
      <c r="AN23" s="520"/>
      <c r="AO23" s="5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>
        <f t="shared" si="5"/>
        <v>0</v>
      </c>
    </row>
    <row r="24" spans="3:57">
      <c r="C24" s="519" t="s">
        <v>872</v>
      </c>
      <c r="D24" s="528"/>
      <c r="F24" s="559">
        <v>318703681</v>
      </c>
      <c r="G24" s="559">
        <f t="shared" si="6"/>
        <v>1072158818</v>
      </c>
      <c r="H24" s="559">
        <f t="shared" si="4"/>
        <v>1390862499</v>
      </c>
      <c r="I24" s="559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/>
      <c r="AA24" s="520"/>
      <c r="AB24" s="520"/>
      <c r="AC24" s="520"/>
      <c r="AD24" s="520"/>
      <c r="AE24" s="520"/>
      <c r="AF24" s="520"/>
      <c r="AG24" s="520"/>
      <c r="AH24" s="520"/>
      <c r="AI24" s="520"/>
      <c r="AJ24" s="520"/>
      <c r="AK24" s="520"/>
      <c r="AL24" s="520"/>
      <c r="AM24" s="520"/>
      <c r="AN24" s="520"/>
      <c r="AO24" s="520"/>
      <c r="AP24" s="520"/>
      <c r="AQ24" s="520"/>
      <c r="AR24" s="520"/>
      <c r="AS24" s="520"/>
      <c r="AT24" s="520"/>
      <c r="AU24" s="520">
        <f>-AU10</f>
        <v>-64944591</v>
      </c>
      <c r="AV24" s="520"/>
      <c r="AW24" s="520"/>
      <c r="AX24" s="520"/>
      <c r="AY24" s="520"/>
      <c r="AZ24" s="520"/>
      <c r="BA24" s="520">
        <f>-'Supplementary CF 23'!E88</f>
        <v>614703573.22500002</v>
      </c>
      <c r="BB24" s="520">
        <f>-'Supplementary CF 23'!K100</f>
        <v>27756416.058525</v>
      </c>
      <c r="BC24" s="520"/>
      <c r="BD24" s="520">
        <f>-'NCI Detail &amp; Movement'!J194</f>
        <v>813347100.86647499</v>
      </c>
      <c r="BE24" s="520">
        <f t="shared" si="5"/>
        <v>-0.15000009536743164</v>
      </c>
    </row>
    <row r="25" spans="3:57">
      <c r="C25" s="519" t="s">
        <v>873</v>
      </c>
      <c r="D25" s="528"/>
      <c r="F25" s="559">
        <v>1642570691</v>
      </c>
      <c r="G25" s="559">
        <f t="shared" si="6"/>
        <v>256888109</v>
      </c>
      <c r="H25" s="559">
        <f t="shared" si="4"/>
        <v>1899458800</v>
      </c>
      <c r="I25" s="559"/>
      <c r="J25" s="520"/>
      <c r="K25" s="520">
        <f>SUM('Supplementary CF 23'!K10,'Supplementary CF 23'!K12)</f>
        <v>1899458800.4250002</v>
      </c>
      <c r="L25" s="520">
        <v>0</v>
      </c>
      <c r="M25" s="520"/>
      <c r="N25" s="520"/>
      <c r="O25" s="520"/>
      <c r="P25" s="520"/>
      <c r="Q25" s="520"/>
      <c r="R25" s="520">
        <v>0</v>
      </c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0"/>
      <c r="AH25" s="520"/>
      <c r="AI25" s="520"/>
      <c r="AJ25" s="520"/>
      <c r="AK25" s="520"/>
      <c r="AL25" s="520"/>
      <c r="AM25" s="520"/>
      <c r="AN25" s="520"/>
      <c r="AO25" s="520"/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>
        <f t="shared" si="5"/>
        <v>-0.42500019073486328</v>
      </c>
    </row>
    <row r="26" spans="3:57">
      <c r="C26" s="519" t="s">
        <v>1131</v>
      </c>
      <c r="D26" s="528"/>
      <c r="F26" s="559">
        <v>0</v>
      </c>
      <c r="G26" s="559">
        <f t="shared" ref="G26" si="10">H26-F26</f>
        <v>5028226875</v>
      </c>
      <c r="H26" s="559">
        <f t="shared" ref="H26" si="11">ROUND(SUM(J26:BD26),0)</f>
        <v>5028226875</v>
      </c>
      <c r="I26" s="559"/>
      <c r="J26" s="520"/>
      <c r="K26" s="520">
        <f>-'Supplementary CF 23'!K11</f>
        <v>5028226875</v>
      </c>
      <c r="L26" s="520">
        <v>0</v>
      </c>
      <c r="M26" s="520"/>
      <c r="N26" s="520"/>
      <c r="O26" s="520"/>
      <c r="P26" s="520"/>
      <c r="Q26" s="520"/>
      <c r="R26" s="520">
        <v>0</v>
      </c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0"/>
      <c r="AJ26" s="520"/>
      <c r="AK26" s="520"/>
      <c r="AL26" s="520"/>
      <c r="AM26" s="520"/>
      <c r="AN26" s="520"/>
      <c r="AO26" s="520"/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>
        <f t="shared" ref="BE26" si="12">H26-SUM(J26:BD26)</f>
        <v>0</v>
      </c>
    </row>
    <row r="27" spans="3:57">
      <c r="C27" s="519" t="s">
        <v>874</v>
      </c>
      <c r="D27" s="528"/>
      <c r="F27" s="559">
        <v>-2410609681</v>
      </c>
      <c r="G27" s="559">
        <f t="shared" si="6"/>
        <v>2410609681</v>
      </c>
      <c r="H27" s="559">
        <f t="shared" si="4"/>
        <v>0</v>
      </c>
      <c r="I27" s="559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0"/>
      <c r="AG27" s="520"/>
      <c r="AH27" s="520"/>
      <c r="AI27" s="520"/>
      <c r="AJ27" s="520"/>
      <c r="AK27" s="520"/>
      <c r="AL27" s="520"/>
      <c r="AM27" s="520"/>
      <c r="AN27" s="520"/>
      <c r="AO27" s="520"/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>
        <f t="shared" si="5"/>
        <v>0</v>
      </c>
    </row>
    <row r="28" spans="3:57">
      <c r="C28" s="519" t="s">
        <v>92</v>
      </c>
      <c r="D28" s="528"/>
      <c r="F28" s="559">
        <v>8793922944</v>
      </c>
      <c r="G28" s="559">
        <f t="shared" si="6"/>
        <v>12061876393</v>
      </c>
      <c r="H28" s="559">
        <f t="shared" si="4"/>
        <v>20855799337</v>
      </c>
      <c r="I28" s="559"/>
      <c r="J28" s="520"/>
      <c r="K28" s="520"/>
      <c r="L28" s="520"/>
      <c r="M28" s="520"/>
      <c r="N28" s="520"/>
      <c r="O28" s="520"/>
      <c r="P28" s="520"/>
      <c r="Q28" s="520"/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20"/>
      <c r="AF28" s="520"/>
      <c r="AG28" s="520"/>
      <c r="AH28" s="520"/>
      <c r="AI28" s="520"/>
      <c r="AJ28" s="520"/>
      <c r="AK28" s="520"/>
      <c r="AL28" s="520"/>
      <c r="AM28" s="520"/>
      <c r="AN28" s="520"/>
      <c r="AO28" s="520"/>
      <c r="AP28" s="520"/>
      <c r="AQ28" s="520"/>
      <c r="AR28" s="520"/>
      <c r="AS28" s="520"/>
      <c r="AT28" s="520"/>
      <c r="AU28" s="520">
        <v>0</v>
      </c>
      <c r="AV28" s="520"/>
      <c r="AW28" s="520">
        <v>0</v>
      </c>
      <c r="AX28" s="520"/>
      <c r="AY28" s="520"/>
      <c r="AZ28" s="520">
        <f>-AZ10</f>
        <v>13850428637</v>
      </c>
      <c r="BA28" s="520"/>
      <c r="BB28" s="520">
        <f>-'Supplementary CF 23'!K101</f>
        <v>231177233.115675</v>
      </c>
      <c r="BC28" s="520"/>
      <c r="BD28" s="520">
        <f>-'NCI Detail &amp; Movement'!L194</f>
        <v>6774193467.3593245</v>
      </c>
      <c r="BE28" s="520">
        <f t="shared" si="5"/>
        <v>-0.47499847412109375</v>
      </c>
    </row>
    <row r="29" spans="3:57">
      <c r="C29" s="519" t="s">
        <v>875</v>
      </c>
      <c r="D29" s="528"/>
      <c r="F29" s="559">
        <v>-15678499864</v>
      </c>
      <c r="G29" s="559">
        <f t="shared" si="6"/>
        <v>14447267541</v>
      </c>
      <c r="H29" s="559">
        <v>-1231232323</v>
      </c>
      <c r="I29" s="559"/>
      <c r="J29" s="520"/>
      <c r="K29" s="520"/>
      <c r="L29" s="520"/>
      <c r="M29" s="520"/>
      <c r="N29" s="520"/>
      <c r="O29" s="520"/>
      <c r="P29" s="520"/>
      <c r="Q29" s="520"/>
      <c r="R29" s="520">
        <v>0</v>
      </c>
      <c r="S29" s="520"/>
      <c r="T29" s="520"/>
      <c r="U29" s="520"/>
      <c r="V29" s="520"/>
      <c r="W29" s="520"/>
      <c r="X29" s="520"/>
      <c r="Y29" s="520"/>
      <c r="Z29" s="520"/>
      <c r="AA29" s="520"/>
      <c r="AB29" s="520"/>
      <c r="AC29" s="520"/>
      <c r="AD29" s="520"/>
      <c r="AE29" s="520"/>
      <c r="AF29" s="520"/>
      <c r="AG29" s="520"/>
      <c r="AH29" s="520"/>
      <c r="AI29" s="520"/>
      <c r="AJ29" s="520"/>
      <c r="AK29" s="520"/>
      <c r="AL29" s="520"/>
      <c r="AM29" s="520"/>
      <c r="AN29" s="520"/>
      <c r="AO29" s="520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>
        <v>-20328558530.279999</v>
      </c>
      <c r="BD29" s="520"/>
      <c r="BE29" s="520">
        <f t="shared" si="5"/>
        <v>19097326207.279999</v>
      </c>
    </row>
    <row r="30" spans="3:57" ht="12.65" customHeight="1">
      <c r="C30" s="519" t="s">
        <v>876</v>
      </c>
      <c r="D30" s="528"/>
      <c r="F30" s="559">
        <v>2437477042</v>
      </c>
      <c r="G30" s="559">
        <f t="shared" si="6"/>
        <v>-1205345811</v>
      </c>
      <c r="H30" s="559">
        <v>1232131231</v>
      </c>
      <c r="I30" s="559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0"/>
      <c r="AH30" s="520"/>
      <c r="AI30" s="520"/>
      <c r="AJ30" s="520"/>
      <c r="AK30" s="520"/>
      <c r="AL30" s="520"/>
      <c r="AM30" s="520"/>
      <c r="AN30" s="520"/>
      <c r="AO30" s="520"/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>
        <v>-31356999728</v>
      </c>
      <c r="BD30" s="520"/>
      <c r="BE30" s="520">
        <f t="shared" si="5"/>
        <v>32589130959</v>
      </c>
    </row>
    <row r="31" spans="3:57" ht="12.65" customHeight="1">
      <c r="C31" s="519" t="s">
        <v>877</v>
      </c>
      <c r="D31" s="528"/>
      <c r="F31" s="559">
        <v>0</v>
      </c>
      <c r="G31" s="559">
        <f t="shared" si="6"/>
        <v>13001777997</v>
      </c>
      <c r="H31" s="559">
        <f t="shared" si="4"/>
        <v>13001777997</v>
      </c>
      <c r="I31" s="559"/>
      <c r="J31" s="520"/>
      <c r="K31" s="520"/>
      <c r="L31" s="520"/>
      <c r="M31" s="520"/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  <c r="Y31" s="520"/>
      <c r="Z31" s="520"/>
      <c r="AA31" s="520"/>
      <c r="AB31" s="520"/>
      <c r="AC31" s="520"/>
      <c r="AD31" s="520"/>
      <c r="AE31" s="520"/>
      <c r="AF31" s="520"/>
      <c r="AG31" s="520"/>
      <c r="AH31" s="520"/>
      <c r="AI31" s="520"/>
      <c r="AJ31" s="520"/>
      <c r="AK31" s="520"/>
      <c r="AL31" s="520"/>
      <c r="AM31" s="520"/>
      <c r="AN31" s="520"/>
      <c r="AO31" s="520"/>
      <c r="AP31" s="520"/>
      <c r="AQ31" s="520"/>
      <c r="AR31" s="520"/>
      <c r="AS31" s="520"/>
      <c r="AT31" s="520">
        <f>'Supplementary CF 23'!F53</f>
        <v>13001777996.817863</v>
      </c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>
        <f t="shared" si="5"/>
        <v>0.18213653564453125</v>
      </c>
    </row>
    <row r="32" spans="3:57">
      <c r="D32" s="528"/>
      <c r="F32" s="561"/>
      <c r="G32" s="561"/>
      <c r="H32" s="561"/>
      <c r="I32" s="562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  <c r="Y32" s="520"/>
      <c r="Z32" s="520"/>
      <c r="AA32" s="520"/>
      <c r="AB32" s="520"/>
      <c r="AC32" s="520"/>
      <c r="AD32" s="520"/>
      <c r="AE32" s="520"/>
      <c r="AF32" s="520"/>
      <c r="AG32" s="520"/>
      <c r="AH32" s="520"/>
      <c r="AI32" s="520"/>
      <c r="AJ32" s="520"/>
      <c r="AK32" s="520"/>
      <c r="AL32" s="520"/>
      <c r="AM32" s="520"/>
      <c r="AN32" s="520"/>
      <c r="AO32" s="52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>
        <f t="shared" si="5"/>
        <v>0</v>
      </c>
    </row>
    <row r="33" spans="2:57">
      <c r="D33" s="528"/>
      <c r="F33" s="557">
        <f>SUM(F13:F32)</f>
        <v>-190131596923.64001</v>
      </c>
      <c r="G33" s="557">
        <f>SUM(G13:G32)</f>
        <v>-531600776374.35999</v>
      </c>
      <c r="H33" s="557">
        <f>SUM(H13:H32)</f>
        <v>-721732373298</v>
      </c>
      <c r="I33" s="557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0"/>
      <c r="AH33" s="520"/>
      <c r="AI33" s="520"/>
      <c r="AJ33" s="520"/>
      <c r="AK33" s="520"/>
      <c r="AL33" s="520"/>
      <c r="AM33" s="520"/>
      <c r="AN33" s="520"/>
      <c r="AO33" s="520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>
        <v>0</v>
      </c>
    </row>
    <row r="34" spans="2:57">
      <c r="B34" s="519" t="s">
        <v>878</v>
      </c>
      <c r="D34" s="528"/>
      <c r="F34" s="559"/>
      <c r="G34" s="559"/>
      <c r="H34" s="559"/>
      <c r="I34" s="559"/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  <c r="Y34" s="520"/>
      <c r="Z34" s="520"/>
      <c r="AA34" s="520"/>
      <c r="AB34" s="520"/>
      <c r="AC34" s="520"/>
      <c r="AD34" s="520"/>
      <c r="AE34" s="520"/>
      <c r="AF34" s="520"/>
      <c r="AG34" s="520"/>
      <c r="AH34" s="520"/>
      <c r="AI34" s="520"/>
      <c r="AJ34" s="520"/>
      <c r="AK34" s="520"/>
      <c r="AL34" s="520"/>
      <c r="AM34" s="520"/>
      <c r="AN34" s="520"/>
      <c r="AO34" s="520"/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>
        <f t="shared" ref="BE34:BE44" si="13">H34-SUM(J34:BD34)</f>
        <v>0</v>
      </c>
    </row>
    <row r="35" spans="2:57">
      <c r="C35" s="519" t="s">
        <v>827</v>
      </c>
      <c r="D35" s="528"/>
      <c r="F35" s="559">
        <v>26728835831</v>
      </c>
      <c r="G35" s="559">
        <f t="shared" ref="G35:G37" si="14">H35-F35</f>
        <v>-128976384318</v>
      </c>
      <c r="H35" s="563">
        <f t="shared" ref="H35:H43" si="15">ROUND(SUM(J35:BD35),0)</f>
        <v>-102247548487</v>
      </c>
      <c r="I35" s="559"/>
      <c r="J35" s="520"/>
      <c r="K35" s="520">
        <f>-K10-K25-K26</f>
        <v>-102247548487.425</v>
      </c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  <c r="Z35" s="520"/>
      <c r="AA35" s="520"/>
      <c r="AB35" s="520"/>
      <c r="AC35" s="520"/>
      <c r="AD35" s="520"/>
      <c r="AE35" s="520"/>
      <c r="AF35" s="520"/>
      <c r="AG35" s="520"/>
      <c r="AH35" s="520"/>
      <c r="AI35" s="520"/>
      <c r="AJ35" s="520"/>
      <c r="AK35" s="520"/>
      <c r="AL35" s="520"/>
      <c r="AM35" s="520"/>
      <c r="AN35" s="520"/>
      <c r="AO35" s="520"/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>
        <f t="shared" si="13"/>
        <v>0.4250030517578125</v>
      </c>
    </row>
    <row r="36" spans="2:57">
      <c r="C36" s="519" t="s">
        <v>879</v>
      </c>
      <c r="D36" s="528"/>
      <c r="F36" s="559">
        <v>-11960670943</v>
      </c>
      <c r="G36" s="559">
        <f t="shared" si="14"/>
        <v>-20961346514</v>
      </c>
      <c r="H36" s="563">
        <f t="shared" si="15"/>
        <v>-32922017457</v>
      </c>
      <c r="I36" s="559"/>
      <c r="J36" s="520"/>
      <c r="K36" s="520"/>
      <c r="L36" s="520"/>
      <c r="M36" s="520"/>
      <c r="N36" s="520">
        <f>-N10</f>
        <v>-32922017457</v>
      </c>
      <c r="O36" s="520"/>
      <c r="P36" s="520"/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>
        <v>0</v>
      </c>
      <c r="AB36" s="520"/>
      <c r="AC36" s="520"/>
      <c r="AD36" s="520"/>
      <c r="AE36" s="520"/>
      <c r="AF36" s="520"/>
      <c r="AG36" s="520"/>
      <c r="AH36" s="520"/>
      <c r="AI36" s="520"/>
      <c r="AJ36" s="520"/>
      <c r="AK36" s="520"/>
      <c r="AL36" s="520"/>
      <c r="AM36" s="520"/>
      <c r="AN36" s="520"/>
      <c r="AO36" s="520"/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>
        <f t="shared" si="13"/>
        <v>0</v>
      </c>
    </row>
    <row r="37" spans="2:57">
      <c r="C37" s="519" t="s">
        <v>839</v>
      </c>
      <c r="D37" s="528"/>
      <c r="F37" s="559">
        <v>-543204467</v>
      </c>
      <c r="G37" s="559">
        <f t="shared" si="14"/>
        <v>35163495456</v>
      </c>
      <c r="H37" s="563">
        <f t="shared" si="15"/>
        <v>34620290989</v>
      </c>
      <c r="I37" s="559"/>
      <c r="J37" s="520"/>
      <c r="K37" s="520"/>
      <c r="L37" s="520"/>
      <c r="M37" s="520"/>
      <c r="N37" s="520">
        <v>0</v>
      </c>
      <c r="O37" s="520"/>
      <c r="P37" s="520">
        <f>-P10</f>
        <v>34620290989</v>
      </c>
      <c r="Q37" s="520"/>
      <c r="R37" s="520"/>
      <c r="S37" s="520"/>
      <c r="T37" s="520"/>
      <c r="U37" s="520"/>
      <c r="V37" s="520"/>
      <c r="W37" s="520"/>
      <c r="X37" s="520"/>
      <c r="Y37" s="520"/>
      <c r="Z37" s="520"/>
      <c r="AA37" s="520"/>
      <c r="AB37" s="520"/>
      <c r="AC37" s="520"/>
      <c r="AD37" s="520"/>
      <c r="AE37" s="520"/>
      <c r="AF37" s="520"/>
      <c r="AG37" s="520"/>
      <c r="AH37" s="520"/>
      <c r="AI37" s="520"/>
      <c r="AJ37" s="520"/>
      <c r="AK37" s="520"/>
      <c r="AL37" s="520"/>
      <c r="AM37" s="520"/>
      <c r="AN37" s="520"/>
      <c r="AO37" s="520"/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>
        <f t="shared" si="13"/>
        <v>0</v>
      </c>
    </row>
    <row r="38" spans="2:57">
      <c r="C38" s="519" t="s">
        <v>163</v>
      </c>
      <c r="D38" s="528"/>
      <c r="F38" s="559">
        <v>-132098954</v>
      </c>
      <c r="G38" s="559" t="e">
        <f>H38-F38</f>
        <v>#REF!</v>
      </c>
      <c r="H38" s="563" t="e">
        <f t="shared" si="15"/>
        <v>#REF!</v>
      </c>
      <c r="I38" s="559"/>
      <c r="J38" s="520"/>
      <c r="K38" s="520"/>
      <c r="L38" s="520"/>
      <c r="M38" s="520"/>
      <c r="N38" s="520"/>
      <c r="O38" s="520" t="e">
        <f>-O10</f>
        <v>#REF!</v>
      </c>
      <c r="P38" s="520"/>
      <c r="Q38" s="520"/>
      <c r="R38" s="520"/>
      <c r="S38" s="520">
        <f>-S10</f>
        <v>-11378819597</v>
      </c>
      <c r="T38" s="520"/>
      <c r="U38" s="520"/>
      <c r="V38" s="520"/>
      <c r="W38" s="520"/>
      <c r="X38" s="520"/>
      <c r="Y38" s="520"/>
      <c r="Z38" s="520"/>
      <c r="AA38" s="520">
        <f>-AA10</f>
        <v>-2013290705</v>
      </c>
      <c r="AB38" s="520"/>
      <c r="AC38" s="520"/>
      <c r="AD38" s="520"/>
      <c r="AE38" s="520"/>
      <c r="AF38" s="520"/>
      <c r="AG38" s="520"/>
      <c r="AH38" s="520"/>
      <c r="AI38" s="520"/>
      <c r="AJ38" s="520"/>
      <c r="AK38" s="520"/>
      <c r="AL38" s="520"/>
      <c r="AM38" s="520"/>
      <c r="AN38" s="520"/>
      <c r="AO38" s="520"/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 t="e">
        <f t="shared" si="13"/>
        <v>#REF!</v>
      </c>
    </row>
    <row r="39" spans="2:57">
      <c r="C39" s="519" t="s">
        <v>880</v>
      </c>
      <c r="D39" s="528"/>
      <c r="F39" s="559">
        <v>3993936338</v>
      </c>
      <c r="G39" s="559">
        <f t="shared" ref="G39:G43" si="16">H39-F39</f>
        <v>8136161389</v>
      </c>
      <c r="H39" s="563">
        <f t="shared" si="15"/>
        <v>12130097727</v>
      </c>
      <c r="I39" s="559"/>
      <c r="J39" s="520"/>
      <c r="K39" s="520"/>
      <c r="L39" s="520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  <c r="Y39" s="520"/>
      <c r="Z39" s="520"/>
      <c r="AA39" s="520"/>
      <c r="AB39" s="520"/>
      <c r="AC39" s="520"/>
      <c r="AD39" s="520"/>
      <c r="AE39" s="520"/>
      <c r="AF39" s="520"/>
      <c r="AG39" s="520"/>
      <c r="AH39" s="520">
        <f>-AH10-AH57</f>
        <v>12130097727</v>
      </c>
      <c r="AI39" s="520"/>
      <c r="AJ39" s="520"/>
      <c r="AK39" s="520"/>
      <c r="AL39" s="520"/>
      <c r="AM39" s="520"/>
      <c r="AN39" s="520"/>
      <c r="AO39" s="520"/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>
        <f t="shared" si="13"/>
        <v>0</v>
      </c>
    </row>
    <row r="40" spans="2:57">
      <c r="C40" s="519" t="s">
        <v>881</v>
      </c>
      <c r="D40" s="528"/>
      <c r="F40" s="559">
        <v>-1339794558</v>
      </c>
      <c r="G40" s="559">
        <f t="shared" si="16"/>
        <v>-770381871</v>
      </c>
      <c r="H40" s="563">
        <f t="shared" si="15"/>
        <v>-2110176429</v>
      </c>
      <c r="I40" s="559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/>
      <c r="AF40" s="520"/>
      <c r="AG40" s="520"/>
      <c r="AH40" s="520"/>
      <c r="AI40" s="520"/>
      <c r="AJ40" s="520">
        <f>-AJ10</f>
        <v>-2110176429</v>
      </c>
      <c r="AK40" s="520"/>
      <c r="AL40" s="520"/>
      <c r="AM40" s="520"/>
      <c r="AN40" s="520"/>
      <c r="AO40" s="520"/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>
        <f t="shared" si="13"/>
        <v>0</v>
      </c>
    </row>
    <row r="41" spans="2:57">
      <c r="C41" s="519" t="s">
        <v>882</v>
      </c>
      <c r="D41" s="521"/>
      <c r="F41" s="559">
        <v>0</v>
      </c>
      <c r="G41" s="559" t="e">
        <f t="shared" si="16"/>
        <v>#REF!</v>
      </c>
      <c r="H41" s="563" t="e">
        <f t="shared" si="15"/>
        <v>#REF!</v>
      </c>
      <c r="I41" s="559"/>
      <c r="J41" s="520"/>
      <c r="K41" s="520"/>
      <c r="L41" s="520"/>
      <c r="M41" s="520"/>
      <c r="N41" s="520"/>
      <c r="O41" s="520"/>
      <c r="P41" s="520"/>
      <c r="Q41" s="520"/>
      <c r="R41" s="520"/>
      <c r="S41" s="520"/>
      <c r="T41" s="520"/>
      <c r="U41" s="520"/>
      <c r="V41" s="520"/>
      <c r="W41" s="520"/>
      <c r="X41" s="520"/>
      <c r="Y41" s="520"/>
      <c r="Z41" s="520"/>
      <c r="AA41" s="520"/>
      <c r="AB41" s="520"/>
      <c r="AC41" s="520"/>
      <c r="AD41" s="520"/>
      <c r="AE41" s="520"/>
      <c r="AF41" s="520" t="e">
        <f>-AF10</f>
        <v>#REF!</v>
      </c>
      <c r="AG41" s="520"/>
      <c r="AH41" s="520"/>
      <c r="AI41" s="520"/>
      <c r="AJ41" s="520"/>
      <c r="AK41" s="520"/>
      <c r="AL41" s="520"/>
      <c r="AM41" s="520"/>
      <c r="AN41" s="520"/>
      <c r="AO41" s="520">
        <f>-AO10</f>
        <v>-24234076171</v>
      </c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 t="e">
        <f t="shared" si="13"/>
        <v>#REF!</v>
      </c>
    </row>
    <row r="42" spans="2:57">
      <c r="C42" s="519" t="s">
        <v>883</v>
      </c>
      <c r="D42" s="521"/>
      <c r="F42" s="559">
        <v>-11956740508</v>
      </c>
      <c r="G42" s="559">
        <f t="shared" si="16"/>
        <v>6132944926</v>
      </c>
      <c r="H42" s="563">
        <f t="shared" si="15"/>
        <v>-5823795582</v>
      </c>
      <c r="I42" s="559"/>
      <c r="J42" s="520"/>
      <c r="K42" s="520"/>
      <c r="L42" s="520"/>
      <c r="M42" s="520"/>
      <c r="N42" s="520"/>
      <c r="O42" s="520"/>
      <c r="P42" s="520"/>
      <c r="Q42" s="520"/>
      <c r="R42" s="520">
        <f>-R10</f>
        <v>-2533007184</v>
      </c>
      <c r="S42" s="520"/>
      <c r="T42" s="520"/>
      <c r="U42" s="520"/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>
        <f>-AG9-AG60</f>
        <v>0</v>
      </c>
      <c r="AH42" s="520"/>
      <c r="AI42" s="520"/>
      <c r="AJ42" s="520"/>
      <c r="AK42" s="520"/>
      <c r="AL42" s="520"/>
      <c r="AM42" s="520"/>
      <c r="AN42" s="520">
        <f>-AN10</f>
        <v>-3290788398</v>
      </c>
      <c r="AO42" s="520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>
        <f t="shared" ref="BE42" si="17">H42-SUM(J42:BD42)</f>
        <v>0</v>
      </c>
    </row>
    <row r="43" spans="2:57">
      <c r="C43" s="519" t="s">
        <v>83</v>
      </c>
      <c r="D43" s="521"/>
      <c r="F43" s="559">
        <v>-1127523981</v>
      </c>
      <c r="G43" s="559" t="e">
        <f t="shared" si="16"/>
        <v>#REF!</v>
      </c>
      <c r="H43" s="563" t="e">
        <f t="shared" si="15"/>
        <v>#REF!</v>
      </c>
      <c r="I43" s="559"/>
      <c r="J43" s="520"/>
      <c r="K43" s="520"/>
      <c r="L43" s="520"/>
      <c r="M43" s="520"/>
      <c r="N43" s="520"/>
      <c r="O43" s="520"/>
      <c r="P43" s="520"/>
      <c r="Q43" s="520"/>
      <c r="R43" s="520"/>
      <c r="S43" s="520"/>
      <c r="T43" s="520"/>
      <c r="U43" s="520"/>
      <c r="V43" s="520"/>
      <c r="W43" s="520"/>
      <c r="X43" s="520"/>
      <c r="Y43" s="520"/>
      <c r="Z43" s="520"/>
      <c r="AA43" s="520"/>
      <c r="AB43" s="520"/>
      <c r="AC43" s="520"/>
      <c r="AD43" s="520"/>
      <c r="AE43" s="520"/>
      <c r="AF43" s="520"/>
      <c r="AG43" s="520" t="e">
        <f>-AG10-AG61</f>
        <v>#REF!</v>
      </c>
      <c r="AH43" s="520"/>
      <c r="AI43" s="520"/>
      <c r="AJ43" s="520"/>
      <c r="AK43" s="520"/>
      <c r="AL43" s="520"/>
      <c r="AM43" s="520"/>
      <c r="AN43" s="520"/>
      <c r="AO43" s="520"/>
      <c r="AP43" s="520"/>
      <c r="AQ43" s="520">
        <f>-AQ10</f>
        <v>0</v>
      </c>
      <c r="AR43" s="520"/>
      <c r="AS43" s="520"/>
      <c r="AT43" s="520"/>
      <c r="AU43" s="520"/>
      <c r="AV43" s="520"/>
      <c r="AW43" s="520">
        <f>-AW10</f>
        <v>4735334275</v>
      </c>
      <c r="AX43" s="520"/>
      <c r="AY43" s="520"/>
      <c r="AZ43" s="520"/>
      <c r="BA43" s="520"/>
      <c r="BB43" s="520"/>
      <c r="BC43" s="520"/>
      <c r="BD43" s="520"/>
      <c r="BE43" s="520" t="e">
        <f t="shared" si="13"/>
        <v>#REF!</v>
      </c>
    </row>
    <row r="44" spans="2:57">
      <c r="D44" s="521"/>
      <c r="F44" s="559"/>
      <c r="G44" s="559"/>
      <c r="H44" s="563"/>
      <c r="I44" s="559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  <c r="Y44" s="520"/>
      <c r="Z44" s="520"/>
      <c r="AA44" s="520"/>
      <c r="AB44" s="520"/>
      <c r="AC44" s="520"/>
      <c r="AD44" s="520"/>
      <c r="AE44" s="520"/>
      <c r="AF44" s="520"/>
      <c r="AG44" s="520"/>
      <c r="AH44" s="520"/>
      <c r="AI44" s="520"/>
      <c r="AJ44" s="520"/>
      <c r="AK44" s="520"/>
      <c r="AL44" s="520"/>
      <c r="AM44" s="520"/>
      <c r="AN44" s="520"/>
      <c r="AO44" s="520"/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>
        <f t="shared" si="13"/>
        <v>0</v>
      </c>
    </row>
    <row r="45" spans="2:57">
      <c r="D45" s="521"/>
      <c r="F45" s="564">
        <f>SUM(F33:F44)</f>
        <v>-186468858165.64001</v>
      </c>
      <c r="G45" s="564" t="e">
        <f>SUM(G33:G44)</f>
        <v>#REF!</v>
      </c>
      <c r="H45" s="564" t="e">
        <f>SUM(H33:H44)</f>
        <v>#REF!</v>
      </c>
      <c r="I45" s="565"/>
      <c r="J45" s="520"/>
      <c r="K45" s="520"/>
      <c r="L45" s="520"/>
      <c r="M45" s="520"/>
      <c r="N45" s="520"/>
      <c r="O45" s="520"/>
      <c r="P45" s="520"/>
      <c r="Q45" s="520"/>
      <c r="R45" s="520"/>
      <c r="S45" s="520"/>
      <c r="T45" s="520"/>
      <c r="U45" s="520"/>
      <c r="V45" s="520"/>
      <c r="W45" s="520"/>
      <c r="X45" s="520"/>
      <c r="Y45" s="520"/>
      <c r="Z45" s="520"/>
      <c r="AA45" s="520"/>
      <c r="AB45" s="520"/>
      <c r="AC45" s="520"/>
      <c r="AD45" s="520"/>
      <c r="AE45" s="520"/>
      <c r="AF45" s="520"/>
      <c r="AG45" s="520"/>
      <c r="AH45" s="520"/>
      <c r="AI45" s="520"/>
      <c r="AJ45" s="520"/>
      <c r="AK45" s="520"/>
      <c r="AL45" s="520"/>
      <c r="AM45" s="520"/>
      <c r="AN45" s="520"/>
      <c r="AO45" s="520"/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</row>
    <row r="46" spans="2:57">
      <c r="D46" s="521"/>
      <c r="F46" s="559"/>
      <c r="G46" s="559"/>
      <c r="H46" s="559">
        <v>0</v>
      </c>
      <c r="I46" s="559"/>
      <c r="J46" s="520"/>
      <c r="K46" s="520"/>
      <c r="L46" s="520"/>
      <c r="M46" s="520"/>
      <c r="N46" s="520"/>
      <c r="O46" s="520"/>
      <c r="P46" s="520"/>
      <c r="Q46" s="520"/>
      <c r="R46" s="520"/>
      <c r="S46" s="520"/>
      <c r="T46" s="520"/>
      <c r="U46" s="520"/>
      <c r="V46" s="520"/>
      <c r="W46" s="520"/>
      <c r="X46" s="520"/>
      <c r="Y46" s="520"/>
      <c r="Z46" s="520"/>
      <c r="AA46" s="520"/>
      <c r="AB46" s="520"/>
      <c r="AC46" s="520"/>
      <c r="AD46" s="520"/>
      <c r="AE46" s="520"/>
      <c r="AF46" s="520"/>
      <c r="AG46" s="520"/>
      <c r="AH46" s="520"/>
      <c r="AI46" s="520"/>
      <c r="AJ46" s="520"/>
      <c r="AK46" s="520"/>
      <c r="AL46" s="520"/>
      <c r="AM46" s="520"/>
      <c r="AN46" s="520"/>
      <c r="AO46" s="520"/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</row>
    <row r="47" spans="2:57">
      <c r="B47" s="519" t="s">
        <v>884</v>
      </c>
      <c r="D47" s="521"/>
      <c r="F47" s="559">
        <v>0</v>
      </c>
      <c r="G47" s="559">
        <f>H47-F47</f>
        <v>0</v>
      </c>
      <c r="H47" s="563">
        <f t="shared" ref="H47:H49" si="18">ROUND(SUM(J47:BD47),0)</f>
        <v>0</v>
      </c>
      <c r="I47" s="559"/>
      <c r="J47" s="520"/>
      <c r="K47" s="520"/>
      <c r="L47" s="520"/>
      <c r="M47" s="520"/>
      <c r="N47" s="520"/>
      <c r="O47" s="520"/>
      <c r="P47" s="520"/>
      <c r="Q47" s="520"/>
      <c r="R47" s="520"/>
      <c r="S47" s="520"/>
      <c r="T47" s="520"/>
      <c r="U47" s="520"/>
      <c r="V47" s="520"/>
      <c r="W47" s="520"/>
      <c r="X47" s="520"/>
      <c r="Y47" s="520"/>
      <c r="Z47" s="520"/>
      <c r="AA47" s="520"/>
      <c r="AB47" s="520"/>
      <c r="AC47" s="520"/>
      <c r="AD47" s="520"/>
      <c r="AE47" s="520"/>
      <c r="AF47" s="520"/>
      <c r="AG47" s="520"/>
      <c r="AH47" s="520"/>
      <c r="AI47" s="520"/>
      <c r="AJ47" s="520"/>
      <c r="AK47" s="520"/>
      <c r="AL47" s="520"/>
      <c r="AM47" s="520"/>
      <c r="AN47" s="520"/>
      <c r="AO47" s="520"/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>
        <f t="shared" ref="BE47:BE51" si="19">H47-SUM(J47:BD47)</f>
        <v>0</v>
      </c>
    </row>
    <row r="48" spans="2:57">
      <c r="B48" s="519" t="s">
        <v>885</v>
      </c>
      <c r="D48" s="521"/>
      <c r="F48" s="559">
        <v>0</v>
      </c>
      <c r="G48" s="559">
        <f>H48-F48</f>
        <v>10854125148</v>
      </c>
      <c r="H48" s="563">
        <f t="shared" si="18"/>
        <v>10854125148</v>
      </c>
      <c r="I48" s="559"/>
      <c r="J48" s="520"/>
      <c r="K48" s="520"/>
      <c r="L48" s="520">
        <f>-L10</f>
        <v>-1387860951</v>
      </c>
      <c r="M48" s="520"/>
      <c r="N48" s="520"/>
      <c r="O48" s="520"/>
      <c r="P48" s="520"/>
      <c r="Q48" s="520">
        <v>0</v>
      </c>
      <c r="R48" s="520"/>
      <c r="S48" s="520"/>
      <c r="T48" s="520"/>
      <c r="U48" s="520">
        <f>-U10</f>
        <v>12241986099</v>
      </c>
      <c r="V48" s="520"/>
      <c r="W48" s="520"/>
      <c r="X48" s="520"/>
      <c r="Y48" s="520"/>
      <c r="Z48" s="520"/>
      <c r="AA48" s="520"/>
      <c r="AB48" s="520"/>
      <c r="AC48" s="520"/>
      <c r="AD48" s="520"/>
      <c r="AE48" s="520"/>
      <c r="AF48" s="520"/>
      <c r="AG48" s="520"/>
      <c r="AH48" s="520"/>
      <c r="AI48" s="520"/>
      <c r="AJ48" s="520">
        <v>0</v>
      </c>
      <c r="AK48" s="520"/>
      <c r="AL48" s="520"/>
      <c r="AM48" s="520"/>
      <c r="AN48" s="520"/>
      <c r="AO48" s="520"/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>
        <f t="shared" ref="BE48" si="20">H48-SUM(J48:BD48)</f>
        <v>0</v>
      </c>
    </row>
    <row r="49" spans="1:57">
      <c r="B49" s="519" t="s">
        <v>886</v>
      </c>
      <c r="D49" s="521"/>
      <c r="F49" s="559">
        <v>0</v>
      </c>
      <c r="G49" s="559">
        <f>H49-F49</f>
        <v>0</v>
      </c>
      <c r="H49" s="563">
        <f t="shared" si="18"/>
        <v>0</v>
      </c>
      <c r="I49" s="559"/>
      <c r="J49" s="520"/>
      <c r="K49" s="520"/>
      <c r="L49" s="520"/>
      <c r="M49" s="520"/>
      <c r="N49" s="520"/>
      <c r="O49" s="520"/>
      <c r="P49" s="520"/>
      <c r="Q49" s="520"/>
      <c r="R49" s="520"/>
      <c r="S49" s="520"/>
      <c r="T49" s="520"/>
      <c r="U49" s="520"/>
      <c r="V49" s="520"/>
      <c r="W49" s="520"/>
      <c r="X49" s="520"/>
      <c r="Y49" s="520"/>
      <c r="Z49" s="520"/>
      <c r="AA49" s="520"/>
      <c r="AB49" s="520"/>
      <c r="AC49" s="520"/>
      <c r="AD49" s="520"/>
      <c r="AE49" s="520"/>
      <c r="AF49" s="520"/>
      <c r="AG49" s="520"/>
      <c r="AH49" s="520"/>
      <c r="AI49" s="520"/>
      <c r="AJ49" s="520">
        <v>0</v>
      </c>
      <c r="AK49" s="520"/>
      <c r="AL49" s="520"/>
      <c r="AM49" s="520"/>
      <c r="AN49" s="520"/>
      <c r="AO49" s="520"/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>
        <f t="shared" si="19"/>
        <v>0</v>
      </c>
    </row>
    <row r="50" spans="1:57">
      <c r="B50" s="519" t="s">
        <v>887</v>
      </c>
      <c r="D50" s="521"/>
      <c r="F50" s="559">
        <v>435304954</v>
      </c>
      <c r="G50" s="559">
        <f>H50-F50</f>
        <v>795927369</v>
      </c>
      <c r="H50" s="563">
        <f>-H29</f>
        <v>1231232323</v>
      </c>
      <c r="I50" s="559"/>
      <c r="J50" s="520"/>
      <c r="K50" s="520"/>
      <c r="L50" s="520"/>
      <c r="M50" s="520"/>
      <c r="N50" s="520"/>
      <c r="O50" s="520"/>
      <c r="P50" s="520"/>
      <c r="Q50" s="520"/>
      <c r="R50" s="520"/>
      <c r="S50" s="520"/>
      <c r="T50" s="520"/>
      <c r="U50" s="520"/>
      <c r="V50" s="520"/>
      <c r="W50" s="520"/>
      <c r="X50" s="520"/>
      <c r="Y50" s="520"/>
      <c r="Z50" s="520"/>
      <c r="AA50" s="520"/>
      <c r="AB50" s="520"/>
      <c r="AC50" s="520"/>
      <c r="AD50" s="520"/>
      <c r="AE50" s="520"/>
      <c r="AF50" s="520"/>
      <c r="AG50" s="520"/>
      <c r="AH50" s="520"/>
      <c r="AI50" s="520"/>
      <c r="AJ50" s="520"/>
      <c r="AK50" s="520"/>
      <c r="AL50" s="520"/>
      <c r="AM50" s="520"/>
      <c r="AN50" s="520"/>
      <c r="AO50" s="520"/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>
        <f>-BC29</f>
        <v>20328558530.279999</v>
      </c>
      <c r="BD50" s="520"/>
      <c r="BE50" s="520">
        <f t="shared" si="19"/>
        <v>-19097326207.279999</v>
      </c>
    </row>
    <row r="51" spans="1:57">
      <c r="B51" s="519" t="s">
        <v>888</v>
      </c>
      <c r="D51" s="521"/>
      <c r="F51" s="559">
        <v>-2437477042</v>
      </c>
      <c r="G51" s="559">
        <f>H51-F51</f>
        <v>1205345811</v>
      </c>
      <c r="H51" s="563">
        <f>-H30</f>
        <v>-1232131231</v>
      </c>
      <c r="I51" s="559"/>
      <c r="J51" s="520"/>
      <c r="K51" s="520"/>
      <c r="L51" s="520"/>
      <c r="M51" s="520"/>
      <c r="N51" s="520"/>
      <c r="O51" s="520"/>
      <c r="P51" s="520"/>
      <c r="Q51" s="520"/>
      <c r="R51" s="520"/>
      <c r="S51" s="520"/>
      <c r="T51" s="520"/>
      <c r="U51" s="520"/>
      <c r="V51" s="520"/>
      <c r="W51" s="520"/>
      <c r="X51" s="520"/>
      <c r="Y51" s="520"/>
      <c r="Z51" s="520"/>
      <c r="AA51" s="520"/>
      <c r="AB51" s="520"/>
      <c r="AC51" s="520"/>
      <c r="AD51" s="520"/>
      <c r="AE51" s="520"/>
      <c r="AF51" s="520"/>
      <c r="AG51" s="520"/>
      <c r="AH51" s="520"/>
      <c r="AI51" s="520"/>
      <c r="AJ51" s="520"/>
      <c r="AK51" s="520"/>
      <c r="AL51" s="520"/>
      <c r="AM51" s="520"/>
      <c r="AN51" s="520"/>
      <c r="AO51" s="520"/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>
        <f>-BC30</f>
        <v>31356999728</v>
      </c>
      <c r="BD51" s="520"/>
      <c r="BE51" s="520">
        <f t="shared" si="19"/>
        <v>-32589130959</v>
      </c>
    </row>
    <row r="52" spans="1:57">
      <c r="D52" s="521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/>
      <c r="U52" s="520"/>
      <c r="V52" s="520"/>
      <c r="W52" s="520"/>
      <c r="X52" s="520"/>
      <c r="Y52" s="520"/>
      <c r="Z52" s="520"/>
      <c r="AA52" s="520"/>
      <c r="AB52" s="520"/>
      <c r="AC52" s="520"/>
      <c r="AD52" s="520"/>
      <c r="AE52" s="520"/>
      <c r="AF52" s="520"/>
      <c r="AG52" s="520"/>
      <c r="AH52" s="520"/>
      <c r="AI52" s="520"/>
      <c r="AJ52" s="520"/>
      <c r="AK52" s="520"/>
      <c r="AL52" s="520"/>
      <c r="AM52" s="520"/>
      <c r="AN52" s="520"/>
      <c r="AO52" s="520"/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</row>
    <row r="53" spans="1:57" s="518" customFormat="1">
      <c r="B53" s="518" t="s">
        <v>889</v>
      </c>
      <c r="D53" s="566"/>
      <c r="E53" s="567"/>
      <c r="F53" s="567">
        <f>SUM(F45:F52)</f>
        <v>-188471030253.64001</v>
      </c>
      <c r="G53" s="567" t="e">
        <f>SUM(G45:G52)</f>
        <v>#REF!</v>
      </c>
      <c r="H53" s="567" t="e">
        <f>SUM(H45:H52)</f>
        <v>#REF!</v>
      </c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20"/>
      <c r="AX53" s="520"/>
      <c r="AY53" s="520"/>
      <c r="AZ53" s="520"/>
      <c r="BA53" s="520"/>
      <c r="BB53" s="520"/>
      <c r="BC53" s="520"/>
      <c r="BD53" s="520"/>
      <c r="BE53" s="567"/>
    </row>
    <row r="54" spans="1:57">
      <c r="D54" s="521"/>
      <c r="F54" s="520"/>
      <c r="G54" s="520"/>
      <c r="H54" s="520"/>
      <c r="I54" s="520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T54" s="520"/>
      <c r="U54" s="520"/>
      <c r="V54" s="520"/>
      <c r="W54" s="520"/>
      <c r="X54" s="520"/>
      <c r="Y54" s="520"/>
      <c r="Z54" s="520"/>
      <c r="AA54" s="520"/>
      <c r="AB54" s="520"/>
      <c r="AC54" s="520"/>
      <c r="AD54" s="520"/>
      <c r="AE54" s="520"/>
      <c r="AF54" s="520"/>
      <c r="AG54" s="520"/>
      <c r="AH54" s="520"/>
      <c r="AI54" s="520"/>
      <c r="AJ54" s="520"/>
      <c r="AK54" s="520"/>
      <c r="AL54" s="520"/>
      <c r="AM54" s="520"/>
      <c r="AN54" s="520"/>
      <c r="AO54" s="520"/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</row>
    <row r="55" spans="1:57" ht="13.5" customHeight="1">
      <c r="A55" s="527" t="s">
        <v>890</v>
      </c>
      <c r="D55" s="528"/>
      <c r="F55" s="557"/>
      <c r="G55" s="557"/>
      <c r="H55" s="557"/>
      <c r="I55" s="557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0"/>
      <c r="AJ55" s="520"/>
      <c r="AK55" s="520"/>
      <c r="AL55" s="520"/>
      <c r="AM55" s="520"/>
      <c r="AN55" s="520"/>
      <c r="AO55" s="520"/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</row>
    <row r="56" spans="1:57" ht="12.65" customHeight="1">
      <c r="B56" s="518"/>
      <c r="D56" s="521"/>
      <c r="F56" s="520"/>
      <c r="G56" s="520"/>
      <c r="H56" s="520"/>
      <c r="I56" s="520"/>
      <c r="J56" s="520"/>
      <c r="K56" s="520"/>
      <c r="L56" s="520"/>
      <c r="M56" s="520"/>
      <c r="N56" s="520"/>
      <c r="O56" s="520"/>
      <c r="P56" s="520"/>
      <c r="Q56" s="520"/>
      <c r="R56" s="520"/>
      <c r="S56" s="520"/>
      <c r="T56" s="520"/>
      <c r="U56" s="520"/>
      <c r="V56" s="520"/>
      <c r="W56" s="520"/>
      <c r="X56" s="520"/>
      <c r="Y56" s="520"/>
      <c r="Z56" s="520"/>
      <c r="AA56" s="520"/>
      <c r="AB56" s="520"/>
      <c r="AC56" s="520"/>
      <c r="AD56" s="520"/>
      <c r="AE56" s="520"/>
      <c r="AF56" s="520"/>
      <c r="AG56" s="520"/>
      <c r="AH56" s="520"/>
      <c r="AI56" s="520"/>
      <c r="AJ56" s="520"/>
      <c r="AK56" s="520"/>
      <c r="AL56" s="520"/>
      <c r="AM56" s="520"/>
      <c r="AN56" s="520"/>
      <c r="AO56" s="520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</row>
    <row r="57" spans="1:57" ht="12.65" customHeight="1">
      <c r="B57" s="518"/>
      <c r="C57" s="519" t="s">
        <v>891</v>
      </c>
      <c r="D57" s="521"/>
      <c r="F57" s="559">
        <v>-112738051</v>
      </c>
      <c r="G57" s="559">
        <f t="shared" ref="G57:G67" si="21">H57-F57</f>
        <v>-35545993294</v>
      </c>
      <c r="H57" s="563">
        <f t="shared" ref="H57:H67" si="22">ROUND(SUM(J57:BD57),0)</f>
        <v>-35658731345</v>
      </c>
      <c r="I57" s="559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>
        <f>-'Supplementary CF 23'!M34</f>
        <v>-36425929594.949997</v>
      </c>
      <c r="W57" s="520"/>
      <c r="X57" s="520"/>
      <c r="Y57" s="520"/>
      <c r="Z57" s="520"/>
      <c r="AA57" s="520"/>
      <c r="AB57" s="520"/>
      <c r="AC57" s="520"/>
      <c r="AD57" s="520"/>
      <c r="AE57" s="520"/>
      <c r="AF57" s="520"/>
      <c r="AG57" s="520"/>
      <c r="AH57" s="520">
        <f>'Supplementary CF 23'!K32</f>
        <v>767198250</v>
      </c>
      <c r="AI57" s="520"/>
      <c r="AJ57" s="520"/>
      <c r="AK57" s="520"/>
      <c r="AL57" s="520"/>
      <c r="AM57" s="520"/>
      <c r="AN57" s="520"/>
      <c r="AO57" s="520"/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>
        <f t="shared" ref="BE57" si="23">H57-SUM(J57:BD57)</f>
        <v>-5.00030517578125E-2</v>
      </c>
    </row>
    <row r="58" spans="1:57" ht="12.65" customHeight="1">
      <c r="B58" s="518"/>
      <c r="C58" s="519" t="s">
        <v>892</v>
      </c>
      <c r="D58" s="521"/>
      <c r="F58" s="559">
        <v>-2146000000</v>
      </c>
      <c r="G58" s="559">
        <f t="shared" si="21"/>
        <v>2146000000</v>
      </c>
      <c r="H58" s="559">
        <f t="shared" si="22"/>
        <v>0</v>
      </c>
      <c r="I58" s="559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0"/>
      <c r="AB58" s="520"/>
      <c r="AC58" s="520"/>
      <c r="AD58" s="520"/>
      <c r="AE58" s="520"/>
      <c r="AF58" s="520"/>
      <c r="AG58" s="520"/>
      <c r="AH58" s="520"/>
      <c r="AI58" s="520"/>
      <c r="AJ58" s="520"/>
      <c r="AK58" s="520"/>
      <c r="AL58" s="520"/>
      <c r="AM58" s="520"/>
      <c r="AN58" s="520"/>
      <c r="AO58" s="520"/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>
        <f t="shared" ref="BE58:BE64" si="24">H58-SUM(J58:BD58)</f>
        <v>0</v>
      </c>
    </row>
    <row r="59" spans="1:57" ht="12.65" customHeight="1">
      <c r="B59" s="518"/>
      <c r="C59" s="519" t="s">
        <v>893</v>
      </c>
      <c r="D59" s="521"/>
      <c r="F59" s="559">
        <v>0</v>
      </c>
      <c r="G59" s="559">
        <f t="shared" si="21"/>
        <v>1</v>
      </c>
      <c r="H59" s="559">
        <f t="shared" si="22"/>
        <v>1</v>
      </c>
      <c r="I59" s="559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>
        <f>-'Supplementary CF 23'!F41</f>
        <v>-93011946372.449997</v>
      </c>
      <c r="Y59" s="520"/>
      <c r="Z59" s="520"/>
      <c r="AA59" s="520"/>
      <c r="AB59" s="520"/>
      <c r="AC59" s="520"/>
      <c r="AD59" s="520"/>
      <c r="AE59" s="520"/>
      <c r="AF59" s="520"/>
      <c r="AG59" s="520"/>
      <c r="AH59" s="520"/>
      <c r="AI59" s="520"/>
      <c r="AJ59" s="520"/>
      <c r="AK59" s="520"/>
      <c r="AL59" s="520"/>
      <c r="AM59" s="520"/>
      <c r="AN59" s="520"/>
      <c r="AO59" s="520"/>
      <c r="AP59" s="520"/>
      <c r="AQ59" s="520"/>
      <c r="AR59" s="520"/>
      <c r="AS59" s="520"/>
      <c r="AT59" s="520">
        <f>'Supplementary CF 23'!F52</f>
        <v>93011946373.165939</v>
      </c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>
        <f t="shared" si="24"/>
        <v>0.2840576171875</v>
      </c>
    </row>
    <row r="60" spans="1:57" ht="12.65" customHeight="1">
      <c r="B60" s="518"/>
      <c r="C60" s="519" t="s">
        <v>894</v>
      </c>
      <c r="D60" s="521"/>
      <c r="F60" s="559">
        <v>0</v>
      </c>
      <c r="G60" s="559">
        <f t="shared" si="21"/>
        <v>0</v>
      </c>
      <c r="H60" s="559">
        <f t="shared" si="22"/>
        <v>0</v>
      </c>
      <c r="I60" s="559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  <c r="AA60" s="520"/>
      <c r="AB60" s="520"/>
      <c r="AC60" s="520"/>
      <c r="AD60" s="520"/>
      <c r="AE60" s="520"/>
      <c r="AF60" s="520"/>
      <c r="AG60" s="520"/>
      <c r="AH60" s="520"/>
      <c r="AI60" s="520"/>
      <c r="AJ60" s="520"/>
      <c r="AK60" s="520"/>
      <c r="AL60" s="520"/>
      <c r="AM60" s="520"/>
      <c r="AN60" s="520"/>
      <c r="AO60" s="520"/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>
        <f t="shared" si="24"/>
        <v>0</v>
      </c>
    </row>
    <row r="61" spans="1:57" ht="12.65" customHeight="1">
      <c r="B61" s="518"/>
      <c r="C61" s="519" t="s">
        <v>895</v>
      </c>
      <c r="D61" s="521"/>
      <c r="F61" s="559">
        <v>0</v>
      </c>
      <c r="G61" s="559">
        <f t="shared" si="21"/>
        <v>0</v>
      </c>
      <c r="H61" s="559">
        <f t="shared" si="22"/>
        <v>0</v>
      </c>
      <c r="I61" s="559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>
        <v>0</v>
      </c>
      <c r="Z61" s="520"/>
      <c r="AA61" s="520"/>
      <c r="AB61" s="520"/>
      <c r="AC61" s="520"/>
      <c r="AD61" s="520"/>
      <c r="AE61" s="520"/>
      <c r="AF61" s="520"/>
      <c r="AG61" s="520"/>
      <c r="AH61" s="520"/>
      <c r="AI61" s="520"/>
      <c r="AJ61" s="520"/>
      <c r="AK61" s="520"/>
      <c r="AL61" s="520"/>
      <c r="AM61" s="520"/>
      <c r="AN61" s="520"/>
      <c r="AO61" s="520"/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>
        <f t="shared" si="24"/>
        <v>0</v>
      </c>
    </row>
    <row r="62" spans="1:57" ht="12.65" customHeight="1">
      <c r="B62" s="518"/>
      <c r="C62" s="519" t="s">
        <v>896</v>
      </c>
      <c r="D62" s="521"/>
      <c r="F62" s="559">
        <v>0</v>
      </c>
      <c r="G62" s="559">
        <f t="shared" si="21"/>
        <v>0</v>
      </c>
      <c r="H62" s="563">
        <f t="shared" si="22"/>
        <v>0</v>
      </c>
      <c r="I62" s="559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>
        <v>0</v>
      </c>
      <c r="U62" s="520"/>
      <c r="V62" s="520"/>
      <c r="W62" s="520"/>
      <c r="X62" s="520"/>
      <c r="Y62" s="520"/>
      <c r="Z62" s="520"/>
      <c r="AA62" s="520"/>
      <c r="AB62" s="520"/>
      <c r="AC62" s="520"/>
      <c r="AD62" s="520"/>
      <c r="AE62" s="520"/>
      <c r="AF62" s="520"/>
      <c r="AG62" s="520"/>
      <c r="AH62" s="520"/>
      <c r="AI62" s="520"/>
      <c r="AJ62" s="520"/>
      <c r="AK62" s="520"/>
      <c r="AL62" s="520"/>
      <c r="AM62" s="520"/>
      <c r="AN62" s="520"/>
      <c r="AO62" s="520"/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>
        <f t="shared" si="24"/>
        <v>0</v>
      </c>
    </row>
    <row r="63" spans="1:57" ht="12.65" customHeight="1">
      <c r="B63" s="518"/>
      <c r="C63" s="519" t="s">
        <v>897</v>
      </c>
      <c r="D63" s="521"/>
      <c r="F63" s="559">
        <v>0</v>
      </c>
      <c r="G63" s="559">
        <f t="shared" si="21"/>
        <v>0</v>
      </c>
      <c r="H63" s="559">
        <f t="shared" si="22"/>
        <v>0</v>
      </c>
      <c r="I63" s="559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0"/>
      <c r="AB63" s="520"/>
      <c r="AC63" s="520"/>
      <c r="AD63" s="520"/>
      <c r="AE63" s="520"/>
      <c r="AF63" s="520"/>
      <c r="AG63" s="520"/>
      <c r="AH63" s="520"/>
      <c r="AI63" s="520"/>
      <c r="AJ63" s="520"/>
      <c r="AK63" s="520"/>
      <c r="AL63" s="520"/>
      <c r="AM63" s="520"/>
      <c r="AN63" s="520"/>
      <c r="AO63" s="520"/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>
        <f t="shared" si="24"/>
        <v>0</v>
      </c>
    </row>
    <row r="64" spans="1:57">
      <c r="C64" s="519" t="s">
        <v>898</v>
      </c>
      <c r="E64" s="519"/>
      <c r="F64" s="559">
        <v>0</v>
      </c>
      <c r="G64" s="559">
        <f t="shared" si="21"/>
        <v>0</v>
      </c>
      <c r="H64" s="559">
        <f t="shared" si="22"/>
        <v>0</v>
      </c>
      <c r="I64" s="559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0"/>
      <c r="AB64" s="520"/>
      <c r="AC64" s="520"/>
      <c r="AD64" s="520"/>
      <c r="AE64" s="520"/>
      <c r="AF64" s="520"/>
      <c r="AG64" s="520"/>
      <c r="AH64" s="520"/>
      <c r="AI64" s="520"/>
      <c r="AJ64" s="520"/>
      <c r="AK64" s="520"/>
      <c r="AL64" s="520"/>
      <c r="AM64" s="520"/>
      <c r="AN64" s="520"/>
      <c r="AO64" s="520"/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>
        <f t="shared" si="24"/>
        <v>0</v>
      </c>
    </row>
    <row r="65" spans="1:57">
      <c r="C65" s="519" t="s">
        <v>964</v>
      </c>
      <c r="E65" s="519"/>
      <c r="F65" s="559">
        <v>119275489905</v>
      </c>
      <c r="G65" s="559">
        <f t="shared" si="21"/>
        <v>-119275489905</v>
      </c>
      <c r="H65" s="559">
        <f t="shared" si="22"/>
        <v>0</v>
      </c>
      <c r="I65" s="559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  <c r="AA65" s="520"/>
      <c r="AB65" s="520"/>
      <c r="AC65" s="520"/>
      <c r="AD65" s="520"/>
      <c r="AE65" s="520"/>
      <c r="AF65" s="520"/>
      <c r="AG65" s="520"/>
      <c r="AH65" s="520"/>
      <c r="AI65" s="520"/>
      <c r="AJ65" s="520"/>
      <c r="AK65" s="520"/>
      <c r="AL65" s="520"/>
      <c r="AM65" s="520"/>
      <c r="AN65" s="520"/>
      <c r="AO65" s="520"/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</row>
    <row r="66" spans="1:57">
      <c r="C66" s="519" t="s">
        <v>899</v>
      </c>
      <c r="D66" s="568"/>
      <c r="E66" s="536"/>
      <c r="F66" s="559">
        <v>-541148875613</v>
      </c>
      <c r="G66" s="559">
        <f t="shared" si="21"/>
        <v>541148875613</v>
      </c>
      <c r="H66" s="559">
        <f t="shared" si="22"/>
        <v>0</v>
      </c>
      <c r="I66" s="559"/>
      <c r="J66" s="520"/>
      <c r="K66" s="520"/>
      <c r="L66" s="520"/>
      <c r="M66" s="520"/>
      <c r="N66" s="520"/>
      <c r="O66" s="520"/>
      <c r="P66" s="520"/>
      <c r="Q66" s="520"/>
      <c r="R66" s="520"/>
      <c r="S66" s="520"/>
      <c r="T66" s="520"/>
      <c r="U66" s="520"/>
      <c r="V66" s="520"/>
      <c r="W66" s="520"/>
      <c r="X66" s="520"/>
      <c r="Y66" s="520"/>
      <c r="Z66" s="520"/>
      <c r="AA66" s="520"/>
      <c r="AB66" s="520"/>
      <c r="AC66" s="520"/>
      <c r="AD66" s="520"/>
      <c r="AE66" s="520"/>
      <c r="AF66" s="520"/>
      <c r="AG66" s="520"/>
      <c r="AH66" s="520"/>
      <c r="AI66" s="520"/>
      <c r="AJ66" s="520"/>
      <c r="AK66" s="520"/>
      <c r="AL66" s="520"/>
      <c r="AM66" s="520"/>
      <c r="AN66" s="520"/>
      <c r="AO66" s="520"/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>
        <f>H66-SUM(J66:BD66)</f>
        <v>0</v>
      </c>
    </row>
    <row r="67" spans="1:57">
      <c r="C67" s="519" t="s">
        <v>901</v>
      </c>
      <c r="E67" s="519"/>
      <c r="F67" s="559">
        <v>0</v>
      </c>
      <c r="G67" s="559">
        <f t="shared" si="21"/>
        <v>0</v>
      </c>
      <c r="H67" s="559">
        <f t="shared" si="22"/>
        <v>0</v>
      </c>
      <c r="I67" s="559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  <c r="AA67" s="520"/>
      <c r="AB67" s="520"/>
      <c r="AC67" s="520"/>
      <c r="AD67" s="520"/>
      <c r="AE67" s="520"/>
      <c r="AF67" s="520"/>
      <c r="AG67" s="520"/>
      <c r="AH67" s="520"/>
      <c r="AI67" s="520"/>
      <c r="AJ67" s="520"/>
      <c r="AK67" s="520"/>
      <c r="AL67" s="520"/>
      <c r="AM67" s="520"/>
      <c r="AN67" s="520"/>
      <c r="AO67" s="520"/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>
        <f t="shared" ref="BE67" si="25">H67-SUM(J67:BD67)</f>
        <v>0</v>
      </c>
    </row>
    <row r="68" spans="1:57">
      <c r="E68" s="519"/>
      <c r="F68" s="520"/>
      <c r="G68" s="520"/>
      <c r="H68" s="520"/>
      <c r="I68" s="520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  <c r="AA68" s="520"/>
      <c r="AB68" s="520"/>
      <c r="AC68" s="520"/>
      <c r="AD68" s="520"/>
      <c r="AE68" s="520"/>
      <c r="AF68" s="520"/>
      <c r="AG68" s="520"/>
      <c r="AH68" s="520"/>
      <c r="AI68" s="520"/>
      <c r="AJ68" s="520"/>
      <c r="AK68" s="520"/>
      <c r="AL68" s="520"/>
      <c r="AM68" s="520"/>
      <c r="AN68" s="520"/>
      <c r="AO68" s="520"/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</row>
    <row r="69" spans="1:57">
      <c r="B69" s="518" t="s">
        <v>902</v>
      </c>
      <c r="E69" s="519"/>
      <c r="F69" s="567">
        <f>SUM(F56:F68)</f>
        <v>-424132123759</v>
      </c>
      <c r="G69" s="567">
        <f t="shared" ref="G69:H69" si="26">SUM(G56:G68)</f>
        <v>388473392415</v>
      </c>
      <c r="H69" s="567">
        <f t="shared" si="26"/>
        <v>-35658731344</v>
      </c>
      <c r="I69" s="567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  <c r="AA69" s="520"/>
      <c r="AB69" s="520"/>
      <c r="AC69" s="520"/>
      <c r="AD69" s="520"/>
      <c r="AE69" s="520"/>
      <c r="AF69" s="520"/>
      <c r="AG69" s="520"/>
      <c r="AH69" s="520"/>
      <c r="AI69" s="520"/>
      <c r="AJ69" s="520"/>
      <c r="AK69" s="520"/>
      <c r="AL69" s="520"/>
      <c r="AM69" s="520"/>
      <c r="AN69" s="520"/>
      <c r="AO69" s="520"/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</row>
    <row r="70" spans="1:57">
      <c r="E70" s="519"/>
      <c r="F70" s="520"/>
      <c r="G70" s="520"/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0"/>
      <c r="AB70" s="520"/>
      <c r="AC70" s="520"/>
      <c r="AD70" s="520"/>
      <c r="AE70" s="520"/>
      <c r="AF70" s="520"/>
      <c r="AG70" s="520"/>
      <c r="AH70" s="520"/>
      <c r="AI70" s="520"/>
      <c r="AJ70" s="520"/>
      <c r="AK70" s="520"/>
      <c r="AL70" s="520"/>
      <c r="AM70" s="520"/>
      <c r="AN70" s="520"/>
      <c r="AO70" s="520"/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</row>
    <row r="71" spans="1:57">
      <c r="A71" s="527" t="s">
        <v>903</v>
      </c>
      <c r="B71" s="518"/>
      <c r="D71" s="569"/>
      <c r="E71" s="570"/>
      <c r="F71" s="570"/>
      <c r="G71" s="570"/>
      <c r="H71" s="570"/>
      <c r="I71" s="570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  <c r="Y71" s="520"/>
      <c r="Z71" s="520"/>
      <c r="AA71" s="520"/>
      <c r="AB71" s="520"/>
      <c r="AC71" s="520"/>
      <c r="AD71" s="520"/>
      <c r="AE71" s="520"/>
      <c r="AF71" s="520"/>
      <c r="AG71" s="520"/>
      <c r="AH71" s="520"/>
      <c r="AI71" s="520"/>
      <c r="AJ71" s="520"/>
      <c r="AK71" s="520"/>
      <c r="AL71" s="520"/>
      <c r="AM71" s="520"/>
      <c r="AN71" s="520"/>
      <c r="AO71" s="520"/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</row>
    <row r="72" spans="1:57">
      <c r="A72" s="527"/>
      <c r="B72" s="518"/>
      <c r="D72" s="569"/>
      <c r="E72" s="570"/>
      <c r="F72" s="570"/>
      <c r="G72" s="570"/>
      <c r="H72" s="570"/>
      <c r="I72" s="57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0"/>
      <c r="AB72" s="520"/>
      <c r="AC72" s="520"/>
      <c r="AD72" s="520"/>
      <c r="AE72" s="520"/>
      <c r="AF72" s="520"/>
      <c r="AG72" s="520"/>
      <c r="AH72" s="520"/>
      <c r="AI72" s="520"/>
      <c r="AJ72" s="520"/>
      <c r="AK72" s="520"/>
      <c r="AL72" s="520"/>
      <c r="AM72" s="520"/>
      <c r="AN72" s="520"/>
      <c r="AO72" s="520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</row>
    <row r="73" spans="1:57">
      <c r="C73" s="519" t="s">
        <v>962</v>
      </c>
      <c r="D73" s="568"/>
      <c r="E73" s="536"/>
      <c r="F73" s="559">
        <v>-7000000000</v>
      </c>
      <c r="G73" s="559">
        <f>H73-F73</f>
        <v>105245642236</v>
      </c>
      <c r="H73" s="563">
        <f t="shared" ref="H73:H77" si="27">ROUND(SUM(J73:BD73),0)</f>
        <v>98245642236</v>
      </c>
      <c r="I73" s="559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0"/>
      <c r="AB73" s="520"/>
      <c r="AC73" s="520">
        <f>-AC10</f>
        <v>0</v>
      </c>
      <c r="AD73" s="520"/>
      <c r="AE73" s="520">
        <f>-AE10</f>
        <v>98245642236</v>
      </c>
      <c r="AF73" s="520"/>
      <c r="AG73" s="520"/>
      <c r="AH73" s="520"/>
      <c r="AI73" s="520"/>
      <c r="AJ73" s="520"/>
      <c r="AK73" s="520"/>
      <c r="AL73" s="520">
        <f>-AL10</f>
        <v>0</v>
      </c>
      <c r="AM73" s="520"/>
      <c r="AN73" s="520"/>
      <c r="AO73" s="520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>
        <f t="shared" ref="BE73:BE80" si="28">H73-SUM(J73:BD73)</f>
        <v>0</v>
      </c>
    </row>
    <row r="74" spans="1:57">
      <c r="C74" s="519" t="s">
        <v>906</v>
      </c>
      <c r="D74" s="568"/>
      <c r="E74" s="536"/>
      <c r="F74" s="559">
        <v>10080660490</v>
      </c>
      <c r="G74" s="559">
        <f>H74-F74</f>
        <v>5796379783</v>
      </c>
      <c r="H74" s="559">
        <f t="shared" si="27"/>
        <v>15877040273</v>
      </c>
      <c r="I74" s="559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0"/>
      <c r="AB74" s="520"/>
      <c r="AC74" s="520"/>
      <c r="AD74" s="520"/>
      <c r="AE74" s="520"/>
      <c r="AF74" s="520"/>
      <c r="AG74" s="520"/>
      <c r="AH74" s="520"/>
      <c r="AI74" s="520"/>
      <c r="AJ74" s="520"/>
      <c r="AK74" s="520">
        <f>-AK10</f>
        <v>15877040273</v>
      </c>
      <c r="AL74" s="520"/>
      <c r="AM74" s="520"/>
      <c r="AN74" s="520"/>
      <c r="AO74" s="520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>
        <f t="shared" si="28"/>
        <v>0</v>
      </c>
    </row>
    <row r="75" spans="1:57">
      <c r="C75" s="519" t="s">
        <v>420</v>
      </c>
      <c r="D75" s="568"/>
      <c r="E75" s="536"/>
      <c r="F75" s="559"/>
      <c r="G75" s="559"/>
      <c r="H75" s="559">
        <f t="shared" si="27"/>
        <v>6071495040</v>
      </c>
      <c r="I75" s="559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0"/>
      <c r="AB75" s="520"/>
      <c r="AC75" s="520"/>
      <c r="AD75" s="520"/>
      <c r="AE75" s="520"/>
      <c r="AF75" s="520"/>
      <c r="AG75" s="520"/>
      <c r="AH75" s="520"/>
      <c r="AI75" s="520"/>
      <c r="AJ75" s="520"/>
      <c r="AK75" s="520"/>
      <c r="AL75" s="520"/>
      <c r="AM75" s="520"/>
      <c r="AN75" s="520"/>
      <c r="AO75" s="520"/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>
        <f>-'Supplementary CF 23'!K98</f>
        <v>1045543711.3348504</v>
      </c>
      <c r="BC75" s="520"/>
      <c r="BD75" s="520">
        <f>-'NCI Detail &amp; Movement'!F200</f>
        <v>5025951329.1151619</v>
      </c>
      <c r="BE75" s="520"/>
    </row>
    <row r="76" spans="1:57">
      <c r="C76" s="519" t="s">
        <v>907</v>
      </c>
      <c r="D76" s="568"/>
      <c r="E76" s="536"/>
      <c r="F76" s="559">
        <v>-8925774573</v>
      </c>
      <c r="G76" s="559">
        <f>H76-F76</f>
        <v>-2417556375</v>
      </c>
      <c r="H76" s="559">
        <f t="shared" si="27"/>
        <v>-11343330948</v>
      </c>
      <c r="I76" s="559"/>
      <c r="J76" s="520"/>
      <c r="K76" s="520"/>
      <c r="L76" s="520"/>
      <c r="M76" s="520">
        <f>-M10</f>
        <v>-15145610375</v>
      </c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>
        <f>-Z10</f>
        <v>-1608075000</v>
      </c>
      <c r="AA76" s="520"/>
      <c r="AB76" s="520"/>
      <c r="AC76" s="520"/>
      <c r="AD76" s="520"/>
      <c r="AE76" s="520"/>
      <c r="AF76" s="520"/>
      <c r="AG76" s="520"/>
      <c r="AH76" s="520"/>
      <c r="AI76" s="520">
        <f>-AI10</f>
        <v>5410354427</v>
      </c>
      <c r="AJ76" s="520"/>
      <c r="AK76" s="520"/>
      <c r="AL76" s="520"/>
      <c r="AM76" s="520"/>
      <c r="AN76" s="520"/>
      <c r="AO76" s="520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>
        <f t="shared" si="28"/>
        <v>0</v>
      </c>
    </row>
    <row r="77" spans="1:57">
      <c r="C77" s="519" t="s">
        <v>908</v>
      </c>
      <c r="D77" s="568"/>
      <c r="E77" s="536"/>
      <c r="F77" s="559">
        <v>-15000000000</v>
      </c>
      <c r="G77" s="559">
        <f>H77-F77</f>
        <v>15000000000</v>
      </c>
      <c r="H77" s="559">
        <f t="shared" si="27"/>
        <v>0</v>
      </c>
      <c r="I77" s="559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0"/>
      <c r="AB77" s="520"/>
      <c r="AC77" s="520"/>
      <c r="AD77" s="520"/>
      <c r="AE77" s="520"/>
      <c r="AF77" s="520"/>
      <c r="AG77" s="520"/>
      <c r="AH77" s="520"/>
      <c r="AI77" s="520"/>
      <c r="AJ77" s="520"/>
      <c r="AK77" s="520"/>
      <c r="AL77" s="520"/>
      <c r="AM77" s="520"/>
      <c r="AN77" s="520"/>
      <c r="AO77" s="520"/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>
        <f t="shared" si="28"/>
        <v>0</v>
      </c>
    </row>
    <row r="78" spans="1:57">
      <c r="C78" s="519" t="s">
        <v>909</v>
      </c>
      <c r="D78" s="568"/>
      <c r="E78" s="536"/>
      <c r="F78" s="559">
        <v>628382790886</v>
      </c>
      <c r="G78" s="559">
        <v>0</v>
      </c>
      <c r="H78" s="559">
        <f>ROUND(SUM(J78:BD78),0)</f>
        <v>989702895645</v>
      </c>
      <c r="I78" s="559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0"/>
      <c r="AB78" s="520"/>
      <c r="AC78" s="520"/>
      <c r="AD78" s="520"/>
      <c r="AE78" s="520"/>
      <c r="AF78" s="520"/>
      <c r="AG78" s="520"/>
      <c r="AH78" s="520"/>
      <c r="AI78" s="520"/>
      <c r="AJ78" s="520"/>
      <c r="AK78" s="520"/>
      <c r="AL78" s="520"/>
      <c r="AM78" s="520"/>
      <c r="AN78" s="520"/>
      <c r="AO78" s="520"/>
      <c r="AP78" s="520"/>
      <c r="AQ78" s="520"/>
      <c r="AR78" s="520">
        <f>-AR10</f>
        <v>0</v>
      </c>
      <c r="AS78" s="520"/>
      <c r="AT78" s="520"/>
      <c r="AU78" s="520"/>
      <c r="AV78" s="520"/>
      <c r="AW78" s="520"/>
      <c r="AX78" s="520">
        <f>-AX10</f>
        <v>344280825000</v>
      </c>
      <c r="AY78" s="520">
        <f>-'Supplementary CF 23'!E76-AX78</f>
        <v>645422070645.44995</v>
      </c>
      <c r="AZ78" s="520"/>
      <c r="BA78" s="520"/>
      <c r="BB78" s="520"/>
      <c r="BC78" s="520"/>
      <c r="BD78" s="520"/>
      <c r="BE78" s="520">
        <f t="shared" si="28"/>
        <v>-0.449951171875</v>
      </c>
    </row>
    <row r="79" spans="1:57" ht="12.65" customHeight="1">
      <c r="C79" s="519" t="s">
        <v>910</v>
      </c>
      <c r="E79" s="519"/>
      <c r="F79" s="559"/>
      <c r="G79" s="559">
        <f>H79-F79</f>
        <v>-104234521916</v>
      </c>
      <c r="H79" s="559">
        <f t="shared" ref="H79:H81" si="29">ROUND(SUM(J79:BD79),0)</f>
        <v>-104234521916</v>
      </c>
      <c r="I79" s="559"/>
      <c r="J79" s="520"/>
      <c r="K79" s="520"/>
      <c r="L79" s="520"/>
      <c r="M79" s="520"/>
      <c r="N79" s="520"/>
      <c r="O79" s="520"/>
      <c r="P79" s="520"/>
      <c r="Q79" s="520">
        <f>-Q10</f>
        <v>-104234521916</v>
      </c>
      <c r="R79" s="520"/>
      <c r="S79" s="520"/>
      <c r="T79" s="520"/>
      <c r="U79" s="520"/>
      <c r="V79" s="520"/>
      <c r="W79" s="520"/>
      <c r="X79" s="520"/>
      <c r="Y79" s="520"/>
      <c r="Z79" s="520"/>
      <c r="AA79" s="520"/>
      <c r="AB79" s="520"/>
      <c r="AC79" s="520"/>
      <c r="AD79" s="520"/>
      <c r="AE79" s="520"/>
      <c r="AF79" s="520"/>
      <c r="AG79" s="520"/>
      <c r="AH79" s="520"/>
      <c r="AI79" s="520"/>
      <c r="AJ79" s="520"/>
      <c r="AK79" s="520"/>
      <c r="AL79" s="520"/>
      <c r="AM79" s="520"/>
      <c r="AN79" s="520"/>
      <c r="AO79" s="520"/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>
        <f t="shared" si="28"/>
        <v>0</v>
      </c>
    </row>
    <row r="80" spans="1:57">
      <c r="C80" s="519" t="s">
        <v>911</v>
      </c>
      <c r="D80" s="568"/>
      <c r="E80" s="536"/>
      <c r="F80" s="559"/>
      <c r="G80" s="559">
        <f>H80-F80</f>
        <v>-84089112726</v>
      </c>
      <c r="H80" s="559">
        <f t="shared" si="29"/>
        <v>-84089112726</v>
      </c>
      <c r="I80" s="559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0"/>
      <c r="V80" s="520"/>
      <c r="W80" s="520"/>
      <c r="X80" s="520"/>
      <c r="Y80" s="520"/>
      <c r="Z80" s="520"/>
      <c r="AA80" s="520"/>
      <c r="AB80" s="520"/>
      <c r="AC80" s="520"/>
      <c r="AD80" s="520"/>
      <c r="AE80" s="520"/>
      <c r="AF80" s="520"/>
      <c r="AG80" s="520"/>
      <c r="AH80" s="520"/>
      <c r="AI80" s="520"/>
      <c r="AJ80" s="520"/>
      <c r="AK80" s="520"/>
      <c r="AL80" s="520"/>
      <c r="AM80" s="520"/>
      <c r="AN80" s="520"/>
      <c r="AO80" s="520"/>
      <c r="AP80" s="520"/>
      <c r="AQ80" s="520"/>
      <c r="AR80" s="520"/>
      <c r="AS80" s="520"/>
      <c r="AT80" s="520">
        <f>'Supplementary CF 23'!M54</f>
        <v>-84089112726.149994</v>
      </c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>
        <f t="shared" si="28"/>
        <v>0.149993896484375</v>
      </c>
    </row>
    <row r="81" spans="2:57">
      <c r="C81" s="519" t="s">
        <v>912</v>
      </c>
      <c r="D81" s="568"/>
      <c r="E81" s="536"/>
      <c r="F81" s="559"/>
      <c r="G81" s="559">
        <f>H81-F81</f>
        <v>0</v>
      </c>
      <c r="H81" s="559">
        <f t="shared" si="29"/>
        <v>0</v>
      </c>
      <c r="I81" s="559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  <c r="Y81" s="520"/>
      <c r="Z81" s="520"/>
      <c r="AA81" s="520"/>
      <c r="AB81" s="520"/>
      <c r="AC81" s="520"/>
      <c r="AD81" s="520"/>
      <c r="AE81" s="520"/>
      <c r="AF81" s="520"/>
      <c r="AG81" s="520"/>
      <c r="AH81" s="520"/>
      <c r="AI81" s="520"/>
      <c r="AJ81" s="520"/>
      <c r="AK81" s="520"/>
      <c r="AL81" s="520"/>
      <c r="AM81" s="520"/>
      <c r="AN81" s="520"/>
      <c r="AO81" s="520"/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</row>
    <row r="82" spans="2:57">
      <c r="D82" s="568"/>
      <c r="E82" s="536"/>
      <c r="F82" s="536"/>
      <c r="G82" s="536"/>
      <c r="H82" s="536"/>
      <c r="I82" s="536"/>
      <c r="J82" s="520"/>
      <c r="K82" s="520"/>
      <c r="L82" s="520"/>
      <c r="M82" s="520"/>
      <c r="N82" s="520"/>
      <c r="O82" s="520"/>
      <c r="P82" s="520"/>
      <c r="Q82" s="520"/>
      <c r="R82" s="520"/>
      <c r="S82" s="520"/>
      <c r="T82" s="520"/>
      <c r="U82" s="520"/>
      <c r="V82" s="520"/>
      <c r="W82" s="520"/>
      <c r="X82" s="520"/>
      <c r="Y82" s="520"/>
      <c r="Z82" s="520"/>
      <c r="AA82" s="520"/>
      <c r="AB82" s="520"/>
      <c r="AC82" s="520"/>
      <c r="AD82" s="520"/>
      <c r="AE82" s="520"/>
      <c r="AF82" s="520"/>
      <c r="AG82" s="520"/>
      <c r="AH82" s="520"/>
      <c r="AI82" s="520"/>
      <c r="AJ82" s="520"/>
      <c r="AK82" s="520"/>
      <c r="AL82" s="520"/>
      <c r="AM82" s="520"/>
      <c r="AN82" s="520"/>
      <c r="AO82" s="520"/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</row>
    <row r="83" spans="2:57">
      <c r="B83" s="518" t="s">
        <v>913</v>
      </c>
      <c r="D83" s="568"/>
      <c r="E83" s="536"/>
      <c r="F83" s="570">
        <f>SUM(F73:F82)</f>
        <v>607537676803</v>
      </c>
      <c r="G83" s="559">
        <f>H83-F83</f>
        <v>302692430801</v>
      </c>
      <c r="H83" s="570">
        <f>SUM(H73:H82)</f>
        <v>910230107604</v>
      </c>
      <c r="I83" s="570"/>
      <c r="J83" s="520"/>
      <c r="K83" s="520"/>
      <c r="L83" s="520"/>
      <c r="M83" s="520"/>
      <c r="N83" s="520"/>
      <c r="O83" s="520"/>
      <c r="P83" s="520"/>
      <c r="Q83" s="520"/>
      <c r="R83" s="520"/>
      <c r="S83" s="520"/>
      <c r="T83" s="520"/>
      <c r="U83" s="520"/>
      <c r="V83" s="520"/>
      <c r="W83" s="520"/>
      <c r="X83" s="520"/>
      <c r="Y83" s="520"/>
      <c r="Z83" s="520"/>
      <c r="AA83" s="520"/>
      <c r="AB83" s="520"/>
      <c r="AC83" s="520"/>
      <c r="AD83" s="520"/>
      <c r="AE83" s="520"/>
      <c r="AF83" s="520"/>
      <c r="AG83" s="520"/>
      <c r="AH83" s="520"/>
      <c r="AI83" s="520"/>
      <c r="AJ83" s="520"/>
      <c r="AK83" s="520"/>
      <c r="AL83" s="520"/>
      <c r="AM83" s="520"/>
      <c r="AN83" s="520"/>
      <c r="AO83" s="520"/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</row>
    <row r="84" spans="2:57">
      <c r="D84" s="568"/>
      <c r="E84" s="536"/>
      <c r="F84" s="571"/>
      <c r="G84" s="571"/>
      <c r="H84" s="571"/>
      <c r="I84" s="571"/>
      <c r="J84" s="520"/>
      <c r="K84" s="520"/>
      <c r="L84" s="520"/>
      <c r="M84" s="520"/>
      <c r="N84" s="520"/>
      <c r="O84" s="520"/>
      <c r="P84" s="520"/>
      <c r="Q84" s="520"/>
      <c r="R84" s="520"/>
      <c r="S84" s="520"/>
      <c r="T84" s="520"/>
      <c r="U84" s="520"/>
      <c r="V84" s="520"/>
      <c r="W84" s="520"/>
      <c r="X84" s="520"/>
      <c r="Y84" s="520"/>
      <c r="Z84" s="520"/>
      <c r="AA84" s="520"/>
      <c r="AB84" s="520"/>
      <c r="AC84" s="520"/>
      <c r="AD84" s="520"/>
      <c r="AE84" s="520"/>
      <c r="AF84" s="520"/>
      <c r="AG84" s="520"/>
      <c r="AH84" s="520"/>
      <c r="AI84" s="520"/>
      <c r="AJ84" s="520"/>
      <c r="AK84" s="520"/>
      <c r="AL84" s="520"/>
      <c r="AM84" s="520"/>
      <c r="AN84" s="520"/>
      <c r="AO84" s="520"/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</row>
    <row r="85" spans="2:57">
      <c r="D85" s="568"/>
      <c r="E85" s="536"/>
      <c r="F85" s="571"/>
      <c r="G85" s="571"/>
      <c r="H85" s="571"/>
      <c r="I85" s="571"/>
      <c r="J85" s="520"/>
      <c r="K85" s="520"/>
      <c r="L85" s="520"/>
      <c r="M85" s="520"/>
      <c r="N85" s="520"/>
      <c r="O85" s="520"/>
      <c r="P85" s="520"/>
      <c r="Q85" s="520"/>
      <c r="R85" s="520"/>
      <c r="S85" s="520"/>
      <c r="T85" s="520"/>
      <c r="U85" s="520"/>
      <c r="V85" s="520"/>
      <c r="W85" s="520"/>
      <c r="X85" s="520"/>
      <c r="Y85" s="520"/>
      <c r="Z85" s="520"/>
      <c r="AA85" s="520"/>
      <c r="AB85" s="520"/>
      <c r="AC85" s="520"/>
      <c r="AD85" s="520"/>
      <c r="AE85" s="520"/>
      <c r="AF85" s="520"/>
      <c r="AG85" s="520"/>
      <c r="AH85" s="520"/>
      <c r="AI85" s="520"/>
      <c r="AJ85" s="520"/>
      <c r="AK85" s="520"/>
      <c r="AL85" s="520"/>
      <c r="AM85" s="520"/>
      <c r="AN85" s="520"/>
      <c r="AO85" s="520"/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</row>
    <row r="86" spans="2:57">
      <c r="B86" s="518" t="s">
        <v>914</v>
      </c>
      <c r="D86" s="569"/>
      <c r="E86" s="570"/>
      <c r="F86" s="572">
        <f>F53+F69+F83</f>
        <v>-5065477209.6400146</v>
      </c>
      <c r="G86" s="559" t="e">
        <f>H86-F86</f>
        <v>#REF!</v>
      </c>
      <c r="H86" s="572" t="e">
        <f>H53+H69+H83</f>
        <v>#REF!</v>
      </c>
      <c r="I86" s="572"/>
      <c r="J86" s="520"/>
      <c r="K86" s="520"/>
      <c r="L86" s="520"/>
      <c r="M86" s="520"/>
      <c r="N86" s="520"/>
      <c r="O86" s="520"/>
      <c r="P86" s="520"/>
      <c r="Q86" s="520"/>
      <c r="R86" s="520"/>
      <c r="S86" s="520"/>
      <c r="T86" s="520"/>
      <c r="U86" s="520"/>
      <c r="V86" s="520"/>
      <c r="W86" s="520"/>
      <c r="X86" s="520"/>
      <c r="Y86" s="520"/>
      <c r="Z86" s="520"/>
      <c r="AA86" s="520"/>
      <c r="AB86" s="520"/>
      <c r="AC86" s="520"/>
      <c r="AD86" s="520"/>
      <c r="AE86" s="520"/>
      <c r="AF86" s="520"/>
      <c r="AG86" s="520"/>
      <c r="AH86" s="520"/>
      <c r="AI86" s="520"/>
      <c r="AJ86" s="520"/>
      <c r="AK86" s="520"/>
      <c r="AL86" s="520"/>
      <c r="AM86" s="520"/>
      <c r="AN86" s="520"/>
      <c r="AO86" s="520"/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</row>
    <row r="87" spans="2:57">
      <c r="B87" s="518"/>
      <c r="D87" s="568"/>
      <c r="E87" s="536"/>
      <c r="J87" s="520"/>
      <c r="K87" s="520"/>
      <c r="L87" s="520"/>
      <c r="M87" s="520"/>
      <c r="N87" s="520"/>
      <c r="O87" s="520"/>
      <c r="P87" s="520"/>
      <c r="Q87" s="520"/>
      <c r="R87" s="520"/>
      <c r="S87" s="520"/>
      <c r="T87" s="520"/>
      <c r="U87" s="520"/>
      <c r="V87" s="520"/>
      <c r="W87" s="520"/>
      <c r="X87" s="520"/>
      <c r="Y87" s="520"/>
      <c r="Z87" s="520"/>
      <c r="AA87" s="520"/>
      <c r="AB87" s="520"/>
      <c r="AC87" s="520"/>
      <c r="AD87" s="520"/>
      <c r="AE87" s="520"/>
      <c r="AF87" s="520"/>
      <c r="AG87" s="520"/>
      <c r="AH87" s="520"/>
      <c r="AI87" s="520"/>
      <c r="AJ87" s="520"/>
      <c r="AK87" s="520"/>
      <c r="AL87" s="520"/>
      <c r="AM87" s="520"/>
      <c r="AN87" s="520"/>
      <c r="AO87" s="520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</row>
    <row r="88" spans="2:57" hidden="1">
      <c r="B88" s="518" t="s">
        <v>915</v>
      </c>
      <c r="D88" s="568"/>
      <c r="E88" s="536"/>
      <c r="F88" s="520"/>
      <c r="G88" s="520"/>
      <c r="H88" s="520"/>
      <c r="I88" s="520"/>
      <c r="J88" s="520"/>
      <c r="K88" s="520"/>
      <c r="L88" s="520"/>
      <c r="M88" s="520"/>
      <c r="N88" s="520"/>
      <c r="O88" s="520"/>
      <c r="P88" s="520"/>
      <c r="Q88" s="520"/>
      <c r="R88" s="520"/>
      <c r="S88" s="520"/>
      <c r="T88" s="520"/>
      <c r="U88" s="520"/>
      <c r="V88" s="520"/>
      <c r="W88" s="520"/>
      <c r="X88" s="520"/>
      <c r="Y88" s="520"/>
      <c r="Z88" s="520"/>
      <c r="AA88" s="520"/>
      <c r="AB88" s="520"/>
      <c r="AC88" s="520"/>
      <c r="AD88" s="520"/>
      <c r="AE88" s="520"/>
      <c r="AF88" s="520"/>
      <c r="AG88" s="520"/>
      <c r="AH88" s="520"/>
      <c r="AI88" s="520"/>
      <c r="AJ88" s="520"/>
      <c r="AK88" s="520"/>
      <c r="AL88" s="520"/>
      <c r="AM88" s="520"/>
      <c r="AN88" s="520"/>
      <c r="AO88" s="520"/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</row>
    <row r="89" spans="2:57" hidden="1">
      <c r="B89" s="518"/>
      <c r="D89" s="568"/>
      <c r="E89" s="536"/>
      <c r="J89" s="520"/>
      <c r="K89" s="520"/>
      <c r="L89" s="520"/>
      <c r="M89" s="520"/>
      <c r="N89" s="520"/>
      <c r="O89" s="520"/>
      <c r="P89" s="520"/>
      <c r="Q89" s="520"/>
      <c r="R89" s="520"/>
      <c r="S89" s="520"/>
      <c r="T89" s="520"/>
      <c r="U89" s="520"/>
      <c r="V89" s="520"/>
      <c r="W89" s="520"/>
      <c r="X89" s="520"/>
      <c r="Y89" s="520"/>
      <c r="Z89" s="520"/>
      <c r="AA89" s="520"/>
      <c r="AB89" s="520"/>
      <c r="AC89" s="520"/>
      <c r="AD89" s="520"/>
      <c r="AE89" s="520"/>
      <c r="AF89" s="520"/>
      <c r="AG89" s="520"/>
      <c r="AH89" s="520"/>
      <c r="AI89" s="520"/>
      <c r="AJ89" s="520"/>
      <c r="AK89" s="520"/>
      <c r="AL89" s="520"/>
      <c r="AM89" s="520"/>
      <c r="AN89" s="520"/>
      <c r="AO89" s="520"/>
      <c r="AP89" s="520"/>
      <c r="AQ89" s="520"/>
      <c r="AR89" s="520"/>
      <c r="AS89" s="520"/>
      <c r="AT89" s="520"/>
      <c r="AU89" s="520"/>
      <c r="AV89" s="520"/>
      <c r="AW89" s="520"/>
      <c r="AX89" s="520"/>
      <c r="AY89" s="520"/>
      <c r="AZ89" s="520"/>
      <c r="BA89" s="520"/>
      <c r="BB89" s="520"/>
      <c r="BC89" s="520"/>
      <c r="BD89" s="520"/>
      <c r="BE89" s="520"/>
    </row>
    <row r="90" spans="2:57">
      <c r="B90" s="518" t="s">
        <v>916</v>
      </c>
      <c r="D90" s="568"/>
      <c r="E90" s="536"/>
      <c r="F90" s="557"/>
      <c r="G90" s="559">
        <f>H90-F90</f>
        <v>0</v>
      </c>
      <c r="H90" s="559">
        <v>0</v>
      </c>
      <c r="I90" s="559"/>
      <c r="J90" s="520"/>
      <c r="K90" s="520"/>
      <c r="L90" s="520"/>
      <c r="M90" s="520"/>
      <c r="N90" s="520"/>
      <c r="O90" s="520"/>
      <c r="P90" s="520"/>
      <c r="Q90" s="520"/>
      <c r="R90" s="520"/>
      <c r="S90" s="520"/>
      <c r="T90" s="520"/>
      <c r="U90" s="520"/>
      <c r="V90" s="520"/>
      <c r="W90" s="520"/>
      <c r="X90" s="520"/>
      <c r="Y90" s="520"/>
      <c r="Z90" s="520"/>
      <c r="AA90" s="520"/>
      <c r="AB90" s="520"/>
      <c r="AC90" s="520"/>
      <c r="AD90" s="520"/>
      <c r="AE90" s="520"/>
      <c r="AF90" s="520"/>
      <c r="AG90" s="520"/>
      <c r="AH90" s="520"/>
      <c r="AI90" s="520"/>
      <c r="AJ90" s="520"/>
      <c r="AK90" s="520"/>
      <c r="AL90" s="520"/>
      <c r="AM90" s="520"/>
      <c r="AN90" s="520"/>
      <c r="AO90" s="520"/>
      <c r="AP90" s="520"/>
      <c r="AQ90" s="520"/>
      <c r="AR90" s="520"/>
      <c r="AS90" s="520"/>
      <c r="AT90" s="520"/>
      <c r="AU90" s="520"/>
      <c r="AV90" s="520"/>
      <c r="AW90" s="520"/>
      <c r="AX90" s="520"/>
      <c r="AY90" s="520"/>
      <c r="AZ90" s="520"/>
      <c r="BA90" s="520"/>
      <c r="BB90" s="520"/>
      <c r="BC90" s="520"/>
      <c r="BD90" s="520"/>
      <c r="BE90" s="520"/>
    </row>
    <row r="91" spans="2:57">
      <c r="B91" s="518"/>
      <c r="C91" s="518"/>
      <c r="D91" s="568"/>
      <c r="E91" s="536"/>
      <c r="F91" s="571"/>
      <c r="G91" s="571"/>
      <c r="H91" s="571"/>
      <c r="I91" s="571"/>
      <c r="J91" s="520"/>
      <c r="K91" s="520"/>
      <c r="L91" s="520"/>
      <c r="M91" s="520"/>
      <c r="N91" s="520"/>
      <c r="O91" s="520"/>
      <c r="P91" s="520"/>
      <c r="Q91" s="520"/>
      <c r="R91" s="520"/>
      <c r="S91" s="520"/>
      <c r="T91" s="520"/>
      <c r="U91" s="520"/>
      <c r="V91" s="520"/>
      <c r="W91" s="520"/>
      <c r="X91" s="520"/>
      <c r="Y91" s="520"/>
      <c r="Z91" s="520"/>
      <c r="AA91" s="520"/>
      <c r="AB91" s="520"/>
      <c r="AC91" s="520"/>
      <c r="AD91" s="520"/>
      <c r="AE91" s="520"/>
      <c r="AF91" s="520"/>
      <c r="AG91" s="520"/>
      <c r="AH91" s="520"/>
      <c r="AI91" s="520"/>
      <c r="AJ91" s="520"/>
      <c r="AK91" s="520"/>
      <c r="AL91" s="520"/>
      <c r="AM91" s="520"/>
      <c r="AN91" s="520"/>
      <c r="AO91" s="520"/>
      <c r="AP91" s="520"/>
      <c r="AQ91" s="520"/>
      <c r="AR91" s="520"/>
      <c r="AS91" s="520"/>
      <c r="AT91" s="520"/>
      <c r="AU91" s="520"/>
      <c r="AV91" s="520"/>
      <c r="AW91" s="520"/>
      <c r="AX91" s="520"/>
      <c r="AY91" s="520"/>
      <c r="AZ91" s="520"/>
      <c r="BA91" s="520"/>
      <c r="BB91" s="520"/>
      <c r="BC91" s="520"/>
      <c r="BD91" s="520"/>
      <c r="BE91" s="520"/>
    </row>
    <row r="92" spans="2:57">
      <c r="B92" s="518" t="s">
        <v>917</v>
      </c>
      <c r="C92" s="518"/>
      <c r="D92" s="569"/>
      <c r="E92" s="536"/>
      <c r="F92" s="572">
        <v>16207343071</v>
      </c>
      <c r="G92" s="559">
        <f>H92-F92</f>
        <v>24453915266</v>
      </c>
      <c r="H92" s="572">
        <f>J9</f>
        <v>40661258337</v>
      </c>
      <c r="I92" s="572"/>
      <c r="J92" s="520"/>
      <c r="K92" s="520"/>
      <c r="L92" s="520"/>
      <c r="M92" s="520"/>
      <c r="N92" s="520"/>
      <c r="O92" s="520"/>
      <c r="P92" s="520"/>
      <c r="Q92" s="520"/>
      <c r="R92" s="520"/>
      <c r="S92" s="520"/>
      <c r="T92" s="520"/>
      <c r="U92" s="520"/>
      <c r="V92" s="520"/>
      <c r="W92" s="520"/>
      <c r="X92" s="520"/>
      <c r="Y92" s="520"/>
      <c r="Z92" s="520"/>
      <c r="AA92" s="520"/>
      <c r="AB92" s="520"/>
      <c r="AC92" s="520"/>
      <c r="AD92" s="520"/>
      <c r="AE92" s="520"/>
      <c r="AF92" s="520"/>
      <c r="AG92" s="520"/>
      <c r="AH92" s="520"/>
      <c r="AI92" s="520"/>
      <c r="AJ92" s="520"/>
      <c r="AK92" s="520"/>
      <c r="AL92" s="520"/>
      <c r="AM92" s="520"/>
      <c r="AN92" s="520"/>
      <c r="AO92" s="520"/>
      <c r="AP92" s="520"/>
      <c r="AQ92" s="520"/>
      <c r="AR92" s="520"/>
      <c r="AS92" s="520"/>
      <c r="AT92" s="520"/>
      <c r="AU92" s="520"/>
      <c r="AV92" s="520"/>
      <c r="AW92" s="520"/>
      <c r="AX92" s="520"/>
      <c r="AY92" s="520"/>
      <c r="AZ92" s="520"/>
      <c r="BA92" s="520"/>
      <c r="BB92" s="520"/>
      <c r="BC92" s="520"/>
      <c r="BD92" s="520"/>
      <c r="BE92" s="520"/>
    </row>
    <row r="93" spans="2:57">
      <c r="B93" s="518"/>
      <c r="C93" s="518"/>
      <c r="D93" s="569"/>
      <c r="E93" s="536"/>
      <c r="F93" s="572"/>
      <c r="G93" s="572"/>
      <c r="H93" s="572"/>
      <c r="I93" s="572"/>
      <c r="J93" s="520"/>
      <c r="K93" s="520"/>
      <c r="L93" s="520"/>
      <c r="M93" s="520"/>
      <c r="N93" s="520"/>
      <c r="O93" s="520"/>
      <c r="P93" s="520"/>
      <c r="Q93" s="520"/>
      <c r="R93" s="520"/>
      <c r="S93" s="520"/>
      <c r="T93" s="520"/>
      <c r="U93" s="520"/>
      <c r="V93" s="520"/>
      <c r="W93" s="520"/>
      <c r="X93" s="520"/>
      <c r="Y93" s="520"/>
      <c r="Z93" s="520"/>
      <c r="AA93" s="520"/>
      <c r="AB93" s="520"/>
      <c r="AC93" s="520"/>
      <c r="AD93" s="520"/>
      <c r="AE93" s="520"/>
      <c r="AF93" s="520"/>
      <c r="AG93" s="520"/>
      <c r="AH93" s="520"/>
      <c r="AI93" s="520"/>
      <c r="AJ93" s="520"/>
      <c r="AK93" s="520"/>
      <c r="AL93" s="520"/>
      <c r="AM93" s="520"/>
      <c r="AN93" s="520"/>
      <c r="AO93" s="520"/>
      <c r="AP93" s="520"/>
      <c r="AQ93" s="520"/>
      <c r="AR93" s="520"/>
      <c r="AS93" s="520"/>
      <c r="AT93" s="520"/>
      <c r="AU93" s="520"/>
      <c r="AV93" s="520"/>
      <c r="AW93" s="520"/>
      <c r="AX93" s="520"/>
      <c r="AY93" s="520"/>
      <c r="AZ93" s="520"/>
      <c r="BA93" s="520"/>
      <c r="BB93" s="520"/>
      <c r="BC93" s="520"/>
      <c r="BD93" s="520"/>
      <c r="BE93" s="520"/>
    </row>
    <row r="94" spans="2:57">
      <c r="B94" s="518" t="s">
        <v>918</v>
      </c>
      <c r="D94" s="569"/>
      <c r="E94" s="570"/>
      <c r="F94" s="572">
        <f>SUM(F86:F93)</f>
        <v>11141865861.359985</v>
      </c>
      <c r="G94" s="559" t="e">
        <f>H94-F94</f>
        <v>#REF!</v>
      </c>
      <c r="H94" s="572" t="e">
        <f>SUM(H86:H93)</f>
        <v>#REF!</v>
      </c>
      <c r="I94" s="572"/>
      <c r="J94" s="520"/>
      <c r="K94" s="520"/>
      <c r="L94" s="520"/>
      <c r="M94" s="520"/>
      <c r="N94" s="520"/>
      <c r="O94" s="520"/>
      <c r="P94" s="520"/>
      <c r="Q94" s="520"/>
      <c r="R94" s="520"/>
      <c r="S94" s="520"/>
      <c r="T94" s="520"/>
      <c r="U94" s="520"/>
      <c r="V94" s="520"/>
      <c r="W94" s="520"/>
      <c r="X94" s="520"/>
      <c r="Y94" s="520"/>
      <c r="Z94" s="520"/>
      <c r="AA94" s="520"/>
      <c r="AB94" s="520"/>
      <c r="AC94" s="520"/>
      <c r="AD94" s="520"/>
      <c r="AE94" s="520"/>
      <c r="AF94" s="520"/>
      <c r="AG94" s="520"/>
      <c r="AH94" s="520"/>
      <c r="AI94" s="520"/>
      <c r="AJ94" s="520"/>
      <c r="AK94" s="520"/>
      <c r="AL94" s="520"/>
      <c r="AM94" s="520"/>
      <c r="AN94" s="520"/>
      <c r="AO94" s="520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</row>
    <row r="95" spans="2:57">
      <c r="D95" s="568"/>
      <c r="E95" s="536"/>
      <c r="F95" s="571"/>
      <c r="G95" s="571"/>
      <c r="H95" s="571"/>
      <c r="I95" s="571"/>
      <c r="J95" s="520"/>
      <c r="K95" s="520"/>
      <c r="L95" s="520"/>
      <c r="M95" s="520"/>
      <c r="N95" s="520"/>
      <c r="O95" s="520"/>
      <c r="P95" s="520"/>
      <c r="Q95" s="520"/>
      <c r="R95" s="520"/>
      <c r="S95" s="520"/>
      <c r="T95" s="520"/>
      <c r="U95" s="520"/>
      <c r="V95" s="520"/>
      <c r="W95" s="520"/>
      <c r="X95" s="520"/>
      <c r="Y95" s="520"/>
      <c r="Z95" s="520"/>
      <c r="AA95" s="520"/>
      <c r="AB95" s="520"/>
      <c r="AC95" s="520"/>
      <c r="AD95" s="520"/>
      <c r="AE95" s="520"/>
      <c r="AF95" s="520"/>
      <c r="AG95" s="520"/>
      <c r="AH95" s="520"/>
      <c r="AI95" s="520"/>
      <c r="AJ95" s="520"/>
      <c r="AK95" s="520"/>
      <c r="AL95" s="520"/>
      <c r="AM95" s="520"/>
      <c r="AN95" s="520"/>
      <c r="AO95" s="520"/>
      <c r="AP95" s="520"/>
      <c r="AQ95" s="520"/>
      <c r="AR95" s="520"/>
      <c r="AS95" s="520"/>
      <c r="AT95" s="520"/>
      <c r="AU95" s="520"/>
      <c r="AV95" s="520"/>
      <c r="AW95" s="520"/>
      <c r="AX95" s="520"/>
      <c r="BE95" s="520"/>
    </row>
    <row r="96" spans="2:57">
      <c r="B96" s="518"/>
      <c r="C96" s="518" t="s">
        <v>919</v>
      </c>
      <c r="D96" s="569"/>
      <c r="E96" s="570"/>
      <c r="F96" s="572">
        <v>11141865859</v>
      </c>
      <c r="G96" s="559">
        <f>H96-F96</f>
        <v>63967620236</v>
      </c>
      <c r="H96" s="572">
        <f>J8</f>
        <v>75109486095</v>
      </c>
      <c r="I96" s="572"/>
      <c r="J96" s="520"/>
      <c r="K96" s="520"/>
      <c r="L96" s="520"/>
      <c r="M96" s="520"/>
      <c r="N96" s="520"/>
      <c r="O96" s="520"/>
      <c r="P96" s="520"/>
      <c r="Q96" s="520"/>
      <c r="R96" s="520"/>
      <c r="S96" s="520"/>
      <c r="T96" s="520"/>
      <c r="U96" s="520"/>
      <c r="V96" s="520"/>
      <c r="W96" s="520"/>
      <c r="X96" s="520"/>
      <c r="Y96" s="520"/>
      <c r="Z96" s="520"/>
      <c r="AA96" s="520"/>
      <c r="AB96" s="520"/>
      <c r="AC96" s="520"/>
      <c r="AD96" s="520"/>
      <c r="AE96" s="520"/>
      <c r="AF96" s="520"/>
      <c r="AG96" s="520"/>
      <c r="AH96" s="520"/>
      <c r="AI96" s="520"/>
      <c r="AJ96" s="520"/>
      <c r="AK96" s="520"/>
      <c r="AL96" s="520"/>
      <c r="AM96" s="520"/>
      <c r="AN96" s="520"/>
      <c r="AO96" s="520"/>
      <c r="AP96" s="520"/>
      <c r="AQ96" s="520"/>
      <c r="AR96" s="520"/>
      <c r="AS96" s="520"/>
      <c r="AT96" s="520"/>
      <c r="AU96" s="520"/>
      <c r="AV96" s="520"/>
      <c r="AW96" s="520"/>
      <c r="AX96" s="520"/>
      <c r="BE96" s="520"/>
    </row>
    <row r="97" spans="2:57" ht="13.5" thickBot="1">
      <c r="B97" s="573"/>
      <c r="C97" s="573" t="s">
        <v>347</v>
      </c>
      <c r="D97" s="574"/>
      <c r="E97" s="575"/>
      <c r="F97" s="576">
        <f>F94-F96</f>
        <v>2.3599853515625</v>
      </c>
      <c r="G97" s="576" t="e">
        <f>G94-G96</f>
        <v>#REF!</v>
      </c>
      <c r="H97" s="577" t="e">
        <f>H94-H96</f>
        <v>#REF!</v>
      </c>
      <c r="I97" s="576"/>
      <c r="J97" s="578">
        <f>SUM(J11:J96)</f>
        <v>0</v>
      </c>
      <c r="K97" s="578">
        <f t="shared" ref="K97:BD97" si="30">SUM(K10:K96)</f>
        <v>0</v>
      </c>
      <c r="L97" s="578">
        <f t="shared" si="30"/>
        <v>0</v>
      </c>
      <c r="M97" s="578">
        <f t="shared" si="30"/>
        <v>0</v>
      </c>
      <c r="N97" s="578">
        <f t="shared" si="30"/>
        <v>0</v>
      </c>
      <c r="O97" s="578" t="e">
        <f t="shared" si="30"/>
        <v>#REF!</v>
      </c>
      <c r="P97" s="578">
        <f t="shared" si="30"/>
        <v>0</v>
      </c>
      <c r="Q97" s="578">
        <f t="shared" si="30"/>
        <v>0</v>
      </c>
      <c r="R97" s="578">
        <f t="shared" si="30"/>
        <v>0</v>
      </c>
      <c r="S97" s="578">
        <f t="shared" si="30"/>
        <v>0</v>
      </c>
      <c r="T97" s="578">
        <f t="shared" si="30"/>
        <v>0</v>
      </c>
      <c r="U97" s="578">
        <f t="shared" si="30"/>
        <v>0</v>
      </c>
      <c r="V97" s="578">
        <f t="shared" si="30"/>
        <v>2.2926025390625</v>
      </c>
      <c r="W97" s="578">
        <f t="shared" si="30"/>
        <v>0</v>
      </c>
      <c r="X97" s="578">
        <f t="shared" si="30"/>
        <v>-0.3500213623046875</v>
      </c>
      <c r="Y97" s="578">
        <f t="shared" si="30"/>
        <v>2.5000572204589844E-2</v>
      </c>
      <c r="Z97" s="578">
        <f t="shared" si="30"/>
        <v>0</v>
      </c>
      <c r="AA97" s="578">
        <f t="shared" si="30"/>
        <v>0</v>
      </c>
      <c r="AB97" s="578">
        <f t="shared" si="30"/>
        <v>0</v>
      </c>
      <c r="AC97" s="578">
        <f t="shared" si="30"/>
        <v>0</v>
      </c>
      <c r="AD97" s="578">
        <f t="shared" si="30"/>
        <v>1</v>
      </c>
      <c r="AE97" s="578">
        <f t="shared" si="30"/>
        <v>0</v>
      </c>
      <c r="AF97" s="578" t="e">
        <f t="shared" si="30"/>
        <v>#REF!</v>
      </c>
      <c r="AG97" s="578" t="e">
        <f t="shared" si="30"/>
        <v>#REF!</v>
      </c>
      <c r="AH97" s="578">
        <f t="shared" si="30"/>
        <v>0</v>
      </c>
      <c r="AI97" s="578">
        <f t="shared" si="30"/>
        <v>0</v>
      </c>
      <c r="AJ97" s="578">
        <f t="shared" si="30"/>
        <v>0</v>
      </c>
      <c r="AK97" s="578">
        <f t="shared" si="30"/>
        <v>0</v>
      </c>
      <c r="AL97" s="578">
        <f t="shared" si="30"/>
        <v>0</v>
      </c>
      <c r="AM97" s="578">
        <f t="shared" si="30"/>
        <v>0</v>
      </c>
      <c r="AN97" s="578">
        <f t="shared" si="30"/>
        <v>0</v>
      </c>
      <c r="AO97" s="578">
        <f t="shared" si="30"/>
        <v>0</v>
      </c>
      <c r="AP97" s="578">
        <f t="shared" si="30"/>
        <v>0</v>
      </c>
      <c r="AQ97" s="578">
        <f t="shared" si="30"/>
        <v>0</v>
      </c>
      <c r="AR97" s="578">
        <f t="shared" si="30"/>
        <v>0</v>
      </c>
      <c r="AS97" s="578">
        <f t="shared" si="30"/>
        <v>0</v>
      </c>
      <c r="AT97" s="578">
        <f t="shared" si="30"/>
        <v>3.83380126953125</v>
      </c>
      <c r="AU97" s="578">
        <f t="shared" si="30"/>
        <v>0</v>
      </c>
      <c r="AV97" s="578">
        <f t="shared" si="30"/>
        <v>0</v>
      </c>
      <c r="AW97" s="578">
        <f t="shared" si="30"/>
        <v>0</v>
      </c>
      <c r="AX97" s="578">
        <f t="shared" si="30"/>
        <v>0</v>
      </c>
      <c r="AY97" s="578">
        <f t="shared" si="30"/>
        <v>0.449951171875</v>
      </c>
      <c r="AZ97" s="578">
        <f t="shared" si="30"/>
        <v>0</v>
      </c>
      <c r="BA97" s="578">
        <f t="shared" si="30"/>
        <v>0.22500002384185791</v>
      </c>
      <c r="BB97" s="578">
        <f t="shared" si="30"/>
        <v>0.91478168964385986</v>
      </c>
      <c r="BC97" s="578">
        <f t="shared" si="30"/>
        <v>0.5047607421875</v>
      </c>
      <c r="BD97" s="578">
        <f t="shared" si="30"/>
        <v>-2.2983217239379883</v>
      </c>
      <c r="BE97" s="520"/>
    </row>
    <row r="98" spans="2:57">
      <c r="D98" s="568"/>
      <c r="E98" s="536"/>
      <c r="F98" s="571"/>
      <c r="G98" s="571"/>
      <c r="H98" s="571"/>
      <c r="I98" s="571"/>
      <c r="J98" s="520"/>
      <c r="K98" s="520"/>
      <c r="L98" s="520"/>
      <c r="M98" s="520"/>
      <c r="N98" s="520"/>
      <c r="O98" s="520"/>
      <c r="P98" s="520"/>
      <c r="Q98" s="520"/>
      <c r="R98" s="520"/>
      <c r="S98" s="520"/>
      <c r="T98" s="520"/>
      <c r="U98" s="520"/>
      <c r="V98" s="520"/>
      <c r="W98" s="520"/>
      <c r="X98" s="520"/>
      <c r="Y98" s="520"/>
      <c r="Z98" s="520"/>
      <c r="AA98" s="520"/>
      <c r="AB98" s="520"/>
      <c r="AC98" s="520"/>
      <c r="AD98" s="520"/>
      <c r="AE98" s="520"/>
      <c r="AF98" s="520"/>
      <c r="AG98" s="520"/>
      <c r="AH98" s="520"/>
      <c r="AI98" s="520"/>
      <c r="AJ98" s="520"/>
      <c r="AK98" s="520"/>
      <c r="AL98" s="520"/>
      <c r="AM98" s="520"/>
      <c r="AN98" s="520"/>
      <c r="AO98" s="520"/>
      <c r="AP98" s="520"/>
      <c r="AQ98" s="520"/>
      <c r="AR98" s="520"/>
      <c r="AS98" s="520"/>
      <c r="AT98" s="520"/>
      <c r="AU98" s="520"/>
      <c r="AV98" s="520"/>
      <c r="AW98" s="520"/>
      <c r="AX98" s="520"/>
      <c r="BE98" s="520"/>
    </row>
    <row r="99" spans="2:57" s="579" customFormat="1">
      <c r="E99" s="580"/>
      <c r="J99" s="58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3F44-DB83-41EE-ABBD-9B68808C4AF2}">
  <dimension ref="B3:AD106"/>
  <sheetViews>
    <sheetView tabSelected="1" topLeftCell="B24" workbookViewId="0">
      <selection activeCell="K47" sqref="K47"/>
    </sheetView>
  </sheetViews>
  <sheetFormatPr defaultColWidth="9.1796875" defaultRowHeight="12.5"/>
  <cols>
    <col min="1" max="4" width="9.1796875" style="589"/>
    <col min="5" max="5" width="20.54296875" style="589" bestFit="1" customWidth="1"/>
    <col min="6" max="6" width="17.7265625" style="589" bestFit="1" customWidth="1"/>
    <col min="7" max="10" width="14.81640625" style="589" customWidth="1"/>
    <col min="11" max="11" width="20.54296875" style="589" bestFit="1" customWidth="1"/>
    <col min="12" max="12" width="14.81640625" style="589" customWidth="1"/>
    <col min="13" max="13" width="16.81640625" style="589" bestFit="1" customWidth="1"/>
    <col min="14" max="14" width="9.1796875" style="589"/>
    <col min="15" max="15" width="18.7265625" style="589" bestFit="1" customWidth="1"/>
    <col min="16" max="16384" width="9.1796875" style="589"/>
  </cols>
  <sheetData>
    <row r="3" spans="2:29" s="519" customFormat="1" ht="13">
      <c r="I3" s="521"/>
    </row>
    <row r="4" spans="2:29" s="519" customFormat="1" ht="13">
      <c r="I4" s="521"/>
    </row>
    <row r="5" spans="2:29" s="519" customFormat="1" ht="13">
      <c r="E5" s="582" t="s">
        <v>640</v>
      </c>
      <c r="F5" s="582" t="s">
        <v>688</v>
      </c>
      <c r="G5" s="582" t="s">
        <v>740</v>
      </c>
      <c r="H5" s="582" t="s">
        <v>961</v>
      </c>
      <c r="I5" s="582" t="s">
        <v>609</v>
      </c>
      <c r="J5" s="582" t="s">
        <v>461</v>
      </c>
      <c r="K5" s="582" t="s">
        <v>11</v>
      </c>
      <c r="L5" s="582" t="s">
        <v>223</v>
      </c>
      <c r="M5" s="582" t="s">
        <v>926</v>
      </c>
    </row>
    <row r="6" spans="2:29" s="519" customFormat="1" ht="13">
      <c r="I6" s="521"/>
    </row>
    <row r="7" spans="2:29" s="584" customFormat="1" ht="13">
      <c r="B7" s="583" t="s">
        <v>927</v>
      </c>
      <c r="I7" s="585"/>
    </row>
    <row r="8" spans="2:29" s="519" customFormat="1" ht="13">
      <c r="E8" s="586" t="s">
        <v>640</v>
      </c>
      <c r="F8" s="586" t="s">
        <v>688</v>
      </c>
      <c r="G8" s="586" t="s">
        <v>740</v>
      </c>
      <c r="H8" s="586" t="s">
        <v>961</v>
      </c>
      <c r="I8" s="586" t="s">
        <v>609</v>
      </c>
      <c r="J8" s="586" t="s">
        <v>461</v>
      </c>
      <c r="K8" s="586" t="s">
        <v>11</v>
      </c>
      <c r="L8" s="586" t="s">
        <v>223</v>
      </c>
      <c r="M8" s="586" t="s">
        <v>926</v>
      </c>
    </row>
    <row r="9" spans="2:29" s="519" customFormat="1" ht="13">
      <c r="C9" s="519" t="s">
        <v>219</v>
      </c>
      <c r="E9" s="520">
        <v>59494718718.894775</v>
      </c>
      <c r="F9" s="520">
        <v>48970968174.607498</v>
      </c>
      <c r="G9" s="520">
        <v>0</v>
      </c>
      <c r="H9" s="520">
        <v>0</v>
      </c>
      <c r="I9" s="520">
        <v>44382748313.413124</v>
      </c>
      <c r="J9" s="520">
        <v>0</v>
      </c>
      <c r="K9" s="520">
        <f>SUM(E9:J9)</f>
        <v>152848435206.91541</v>
      </c>
      <c r="L9" s="520">
        <v>0</v>
      </c>
      <c r="M9" s="520">
        <f>SUM(K9:L9)</f>
        <v>152848435206.91541</v>
      </c>
      <c r="O9" s="595"/>
      <c r="P9" s="595"/>
      <c r="Q9" s="595"/>
      <c r="R9" s="595"/>
      <c r="S9" s="595"/>
      <c r="T9" s="595"/>
      <c r="U9" s="595"/>
      <c r="V9" s="595"/>
      <c r="W9" s="595"/>
      <c r="X9" s="595"/>
      <c r="Y9" s="595"/>
      <c r="Z9" s="595"/>
      <c r="AA9" s="595"/>
      <c r="AB9" s="595"/>
      <c r="AC9" s="595"/>
    </row>
    <row r="10" spans="2:29" s="519" customFormat="1" ht="13">
      <c r="C10" s="519" t="s">
        <v>928</v>
      </c>
      <c r="E10" s="521">
        <v>0</v>
      </c>
      <c r="F10" s="521">
        <v>2883155094</v>
      </c>
      <c r="G10" s="521">
        <v>0</v>
      </c>
      <c r="H10" s="521">
        <v>0</v>
      </c>
      <c r="I10" s="521">
        <v>2813013954</v>
      </c>
      <c r="J10" s="521">
        <v>0</v>
      </c>
      <c r="K10" s="521">
        <f t="shared" ref="K10:K12" si="0">SUM(E10:J10)</f>
        <v>5696169048</v>
      </c>
      <c r="L10" s="521">
        <v>0</v>
      </c>
      <c r="M10" s="521">
        <f t="shared" ref="M10:M12" si="1">SUM(K10:L10)</f>
        <v>5696169048</v>
      </c>
      <c r="O10" s="595"/>
      <c r="P10" s="595"/>
      <c r="Q10" s="595"/>
      <c r="R10" s="595"/>
      <c r="S10" s="595"/>
      <c r="T10" s="595"/>
      <c r="U10" s="595"/>
      <c r="V10" s="595"/>
      <c r="W10" s="595"/>
      <c r="X10" s="595"/>
      <c r="Y10" s="595"/>
    </row>
    <row r="11" spans="2:29" s="519" customFormat="1" ht="13">
      <c r="C11" s="519" t="s">
        <v>929</v>
      </c>
      <c r="E11" s="521">
        <v>0</v>
      </c>
      <c r="F11" s="521">
        <v>-5028226875</v>
      </c>
      <c r="G11" s="521">
        <v>0</v>
      </c>
      <c r="H11" s="521">
        <v>0</v>
      </c>
      <c r="I11" s="521">
        <v>0</v>
      </c>
      <c r="J11" s="521">
        <v>0</v>
      </c>
      <c r="K11" s="521">
        <f t="shared" si="0"/>
        <v>-5028226875</v>
      </c>
      <c r="L11" s="521">
        <v>0</v>
      </c>
      <c r="M11" s="521">
        <f t="shared" si="1"/>
        <v>-5028226875</v>
      </c>
      <c r="O11" s="595"/>
      <c r="P11" s="595"/>
      <c r="Q11" s="595"/>
      <c r="R11" s="595"/>
      <c r="S11" s="595"/>
      <c r="T11" s="595"/>
      <c r="U11" s="595"/>
      <c r="V11" s="595"/>
      <c r="W11" s="595"/>
      <c r="X11" s="595"/>
      <c r="Y11" s="595"/>
    </row>
    <row r="12" spans="2:29" s="519" customFormat="1" ht="13">
      <c r="C12" s="519" t="s">
        <v>930</v>
      </c>
      <c r="E12" s="587">
        <v>-3796710247.5749998</v>
      </c>
      <c r="F12" s="587">
        <v>0</v>
      </c>
      <c r="G12" s="587">
        <v>0</v>
      </c>
      <c r="H12" s="587">
        <v>0</v>
      </c>
      <c r="I12" s="587">
        <v>0</v>
      </c>
      <c r="J12" s="587">
        <v>0</v>
      </c>
      <c r="K12" s="587">
        <f t="shared" si="0"/>
        <v>-3796710247.5749998</v>
      </c>
      <c r="L12" s="587">
        <v>0</v>
      </c>
      <c r="M12" s="587">
        <f t="shared" si="1"/>
        <v>-3796710247.5749998</v>
      </c>
      <c r="O12" s="595"/>
      <c r="P12" s="595"/>
      <c r="Q12" s="595"/>
      <c r="R12" s="595"/>
      <c r="S12" s="595"/>
      <c r="T12" s="595"/>
      <c r="U12" s="595"/>
      <c r="V12" s="595"/>
      <c r="W12" s="595"/>
      <c r="X12" s="595"/>
      <c r="Y12" s="595"/>
    </row>
    <row r="13" spans="2:29" s="519" customFormat="1" ht="13">
      <c r="C13" s="519" t="s">
        <v>224</v>
      </c>
      <c r="E13" s="520">
        <f>SUM(E9:E12)</f>
        <v>55698008471.319778</v>
      </c>
      <c r="F13" s="520">
        <f t="shared" ref="F13:M13" si="2">SUM(F9:F12)</f>
        <v>46825896393.607498</v>
      </c>
      <c r="G13" s="520">
        <f t="shared" si="2"/>
        <v>0</v>
      </c>
      <c r="H13" s="520">
        <f t="shared" si="2"/>
        <v>0</v>
      </c>
      <c r="I13" s="520">
        <f t="shared" si="2"/>
        <v>47195762267.413124</v>
      </c>
      <c r="J13" s="520">
        <f t="shared" si="2"/>
        <v>0</v>
      </c>
      <c r="K13" s="520">
        <f t="shared" si="2"/>
        <v>149719667132.34039</v>
      </c>
      <c r="L13" s="520">
        <f t="shared" si="2"/>
        <v>0</v>
      </c>
      <c r="M13" s="520">
        <f t="shared" si="2"/>
        <v>149719667132.34039</v>
      </c>
    </row>
    <row r="14" spans="2:29" s="519" customFormat="1" ht="13">
      <c r="C14" s="519" t="s">
        <v>931</v>
      </c>
      <c r="E14" s="567"/>
      <c r="F14" s="567"/>
      <c r="G14" s="567"/>
      <c r="H14" s="567"/>
      <c r="I14" s="567"/>
      <c r="J14" s="567"/>
      <c r="K14" s="567"/>
      <c r="L14" s="567"/>
      <c r="M14" s="567"/>
    </row>
    <row r="15" spans="2:29" s="519" customFormat="1" ht="13">
      <c r="C15" s="588" t="s">
        <v>347</v>
      </c>
      <c r="D15" s="588"/>
      <c r="E15" s="520"/>
      <c r="I15" s="521"/>
      <c r="J15" s="521"/>
      <c r="K15" s="521"/>
      <c r="L15" s="521"/>
      <c r="M15" s="521"/>
    </row>
    <row r="16" spans="2:29" s="519" customFormat="1" ht="13">
      <c r="E16" s="520"/>
      <c r="H16" s="560"/>
      <c r="I16" s="521"/>
    </row>
    <row r="17" spans="2:25">
      <c r="F17" s="590"/>
    </row>
    <row r="18" spans="2:25" s="584" customFormat="1" ht="13">
      <c r="B18" s="583" t="s">
        <v>45</v>
      </c>
      <c r="I18" s="585"/>
    </row>
    <row r="20" spans="2:25" ht="13">
      <c r="C20" s="519"/>
      <c r="D20" s="519"/>
      <c r="E20" s="586" t="s">
        <v>640</v>
      </c>
      <c r="F20" s="586" t="s">
        <v>688</v>
      </c>
      <c r="G20" s="586" t="s">
        <v>740</v>
      </c>
      <c r="H20" s="586" t="s">
        <v>961</v>
      </c>
      <c r="I20" s="586" t="s">
        <v>609</v>
      </c>
      <c r="J20" s="586" t="s">
        <v>461</v>
      </c>
      <c r="K20" s="586" t="s">
        <v>11</v>
      </c>
      <c r="L20" s="586" t="s">
        <v>223</v>
      </c>
      <c r="M20" s="586" t="s">
        <v>926</v>
      </c>
      <c r="N20" s="519"/>
    </row>
    <row r="21" spans="2:25" ht="13">
      <c r="C21" s="519" t="s">
        <v>932</v>
      </c>
      <c r="D21" s="519"/>
      <c r="E21" s="520">
        <v>277523469.67275006</v>
      </c>
      <c r="F21" s="520">
        <v>35363492591.174995</v>
      </c>
      <c r="G21" s="520">
        <v>0</v>
      </c>
      <c r="H21" s="520">
        <v>0</v>
      </c>
      <c r="I21" s="520">
        <v>23017213.800000001</v>
      </c>
      <c r="J21" s="520">
        <v>0</v>
      </c>
      <c r="K21" s="520">
        <v>35664033274.647751</v>
      </c>
      <c r="L21" s="520">
        <v>0</v>
      </c>
      <c r="M21" s="520">
        <v>35664033274.647751</v>
      </c>
      <c r="N21" s="519"/>
      <c r="O21" s="597"/>
      <c r="P21" s="597"/>
      <c r="Q21" s="597"/>
      <c r="R21" s="597"/>
      <c r="S21" s="597"/>
      <c r="T21" s="597"/>
      <c r="U21" s="597"/>
      <c r="V21" s="597"/>
      <c r="W21" s="597"/>
      <c r="X21" s="597"/>
      <c r="Y21" s="597"/>
    </row>
    <row r="22" spans="2:25" ht="13">
      <c r="C22" s="519" t="s">
        <v>928</v>
      </c>
      <c r="D22" s="519"/>
      <c r="E22" s="521">
        <v>127162431.89999999</v>
      </c>
      <c r="F22" s="521">
        <v>36117468913.049995</v>
      </c>
      <c r="G22" s="521">
        <v>181298250</v>
      </c>
      <c r="H22" s="521">
        <v>0</v>
      </c>
      <c r="I22" s="521">
        <v>0</v>
      </c>
      <c r="J22" s="521">
        <v>0</v>
      </c>
      <c r="K22" s="521">
        <v>36425929594.949997</v>
      </c>
      <c r="L22" s="521">
        <v>0</v>
      </c>
      <c r="M22" s="521">
        <v>36425929594.949997</v>
      </c>
      <c r="N22" s="519"/>
      <c r="O22" s="597"/>
      <c r="P22" s="597"/>
      <c r="Q22" s="597"/>
      <c r="R22" s="597"/>
      <c r="S22" s="597"/>
      <c r="T22" s="597"/>
      <c r="U22" s="597"/>
      <c r="V22" s="597"/>
      <c r="W22" s="597"/>
      <c r="X22" s="597"/>
    </row>
    <row r="23" spans="2:25" ht="13">
      <c r="C23" s="519" t="s">
        <v>933</v>
      </c>
      <c r="D23" s="519"/>
      <c r="E23" s="521">
        <v>0</v>
      </c>
      <c r="F23" s="521">
        <v>-133536375</v>
      </c>
      <c r="G23" s="521">
        <v>0</v>
      </c>
      <c r="H23" s="521">
        <v>0</v>
      </c>
      <c r="I23" s="521">
        <v>0</v>
      </c>
      <c r="J23" s="521">
        <v>0</v>
      </c>
      <c r="K23" s="521">
        <v>-133536375</v>
      </c>
      <c r="L23" s="521">
        <v>0</v>
      </c>
      <c r="M23" s="521">
        <v>-133536375</v>
      </c>
      <c r="N23" s="519"/>
      <c r="O23" s="597"/>
      <c r="P23" s="597"/>
      <c r="Q23" s="597"/>
      <c r="R23" s="597"/>
      <c r="S23" s="597"/>
      <c r="T23" s="597"/>
      <c r="U23" s="597"/>
      <c r="V23" s="597"/>
      <c r="W23" s="597"/>
      <c r="X23" s="597"/>
    </row>
    <row r="24" spans="2:25" ht="13">
      <c r="C24" s="519" t="s">
        <v>934</v>
      </c>
      <c r="D24" s="519"/>
      <c r="E24" s="521">
        <v>-126032481.20925002</v>
      </c>
      <c r="F24" s="521">
        <v>-17532780684.299999</v>
      </c>
      <c r="G24" s="521">
        <v>0</v>
      </c>
      <c r="H24" s="521">
        <v>0</v>
      </c>
      <c r="I24" s="521">
        <v>-11155331.218499999</v>
      </c>
      <c r="J24" s="521">
        <v>0</v>
      </c>
      <c r="K24" s="521">
        <v>-17669968496.727749</v>
      </c>
      <c r="L24" s="521">
        <v>0</v>
      </c>
      <c r="M24" s="521">
        <v>-17669968496.727749</v>
      </c>
      <c r="N24" s="519"/>
      <c r="O24" s="597"/>
      <c r="P24" s="597"/>
      <c r="Q24" s="597"/>
      <c r="R24" s="597"/>
      <c r="S24" s="597"/>
      <c r="T24" s="597"/>
      <c r="U24" s="597"/>
      <c r="V24" s="597"/>
      <c r="W24" s="597"/>
      <c r="X24" s="597"/>
    </row>
    <row r="25" spans="2:25" ht="13">
      <c r="C25" s="519" t="s">
        <v>935</v>
      </c>
      <c r="D25" s="519"/>
      <c r="E25" s="587">
        <v>0</v>
      </c>
      <c r="F25" s="587">
        <v>-32453747017.514847</v>
      </c>
      <c r="G25" s="587">
        <v>0</v>
      </c>
      <c r="H25" s="587">
        <v>0</v>
      </c>
      <c r="I25" s="587">
        <v>0</v>
      </c>
      <c r="J25" s="587">
        <v>0</v>
      </c>
      <c r="K25" s="587">
        <v>-32453747017.514847</v>
      </c>
      <c r="L25" s="587">
        <v>0</v>
      </c>
      <c r="M25" s="587">
        <v>-32453747017.514847</v>
      </c>
      <c r="N25" s="519"/>
      <c r="O25" s="597"/>
      <c r="P25" s="597"/>
      <c r="Q25" s="597"/>
      <c r="R25" s="597"/>
      <c r="S25" s="597"/>
      <c r="T25" s="597"/>
      <c r="U25" s="597"/>
      <c r="V25" s="597"/>
      <c r="W25" s="597"/>
      <c r="X25" s="597"/>
    </row>
    <row r="26" spans="2:25" ht="13">
      <c r="C26" s="519" t="s">
        <v>224</v>
      </c>
      <c r="D26" s="519"/>
      <c r="E26" s="520">
        <f t="shared" ref="E26:M26" si="3">SUM(E21:E25)</f>
        <v>278653420.3635</v>
      </c>
      <c r="F26" s="520">
        <f t="shared" si="3"/>
        <v>21360897427.410141</v>
      </c>
      <c r="G26" s="520">
        <f t="shared" si="3"/>
        <v>181298250</v>
      </c>
      <c r="H26" s="520">
        <f t="shared" si="3"/>
        <v>0</v>
      </c>
      <c r="I26" s="520">
        <f t="shared" si="3"/>
        <v>11861882.581500001</v>
      </c>
      <c r="J26" s="520">
        <f t="shared" si="3"/>
        <v>0</v>
      </c>
      <c r="K26" s="520">
        <f t="shared" si="3"/>
        <v>21832710980.355148</v>
      </c>
      <c r="L26" s="520">
        <f t="shared" si="3"/>
        <v>0</v>
      </c>
      <c r="M26" s="520">
        <f t="shared" si="3"/>
        <v>21832710980.355148</v>
      </c>
      <c r="N26" s="519"/>
    </row>
    <row r="27" spans="2:25" ht="13">
      <c r="C27" s="519" t="s">
        <v>931</v>
      </c>
      <c r="D27" s="519"/>
      <c r="E27" s="567">
        <f>'Consol SoFP 23 &amp; 22'!H44</f>
        <v>278653421</v>
      </c>
      <c r="F27" s="567">
        <f>'Consol SoFP 23 &amp; 22'!K44</f>
        <v>21360897428</v>
      </c>
      <c r="G27" s="567">
        <f>'Consol SoFP 23 &amp; 22'!N44</f>
        <v>181298250</v>
      </c>
      <c r="H27" s="567">
        <f>'Consol SoFP 23 &amp; 22'!Q44</f>
        <v>0</v>
      </c>
      <c r="I27" s="567">
        <f>'Consol SoFP 23 &amp; 22'!T44</f>
        <v>11861883</v>
      </c>
      <c r="J27" s="567"/>
      <c r="K27" s="567">
        <f>'Consol SoFP 23 &amp; 22'!AB44</f>
        <v>21832710982</v>
      </c>
      <c r="L27" s="567"/>
      <c r="M27" s="567">
        <f>'Consol SoFP 23 &amp; 22'!AE44</f>
        <v>21832710982</v>
      </c>
      <c r="N27" s="519"/>
    </row>
    <row r="28" spans="2:25" ht="13">
      <c r="C28" s="588" t="s">
        <v>347</v>
      </c>
      <c r="D28" s="588"/>
      <c r="E28" s="520">
        <f>E26-E27</f>
        <v>-0.63650000095367432</v>
      </c>
      <c r="F28" s="520">
        <f t="shared" ref="F28:M28" si="4">F26-F27</f>
        <v>-0.5898590087890625</v>
      </c>
      <c r="G28" s="520">
        <f t="shared" si="4"/>
        <v>0</v>
      </c>
      <c r="H28" s="520">
        <f t="shared" si="4"/>
        <v>0</v>
      </c>
      <c r="I28" s="520">
        <f t="shared" si="4"/>
        <v>-0.41849999874830246</v>
      </c>
      <c r="J28" s="520">
        <f t="shared" si="4"/>
        <v>0</v>
      </c>
      <c r="K28" s="520">
        <f t="shared" si="4"/>
        <v>-1.6448516845703125</v>
      </c>
      <c r="L28" s="520">
        <f t="shared" si="4"/>
        <v>0</v>
      </c>
      <c r="M28" s="520">
        <f t="shared" si="4"/>
        <v>-1.6448516845703125</v>
      </c>
      <c r="N28" s="519"/>
    </row>
    <row r="30" spans="2:25" ht="13">
      <c r="C30" s="519" t="s">
        <v>936</v>
      </c>
      <c r="E30" s="521"/>
      <c r="F30" s="521"/>
      <c r="G30" s="521"/>
      <c r="H30" s="521"/>
      <c r="I30" s="521"/>
      <c r="J30" s="521"/>
      <c r="K30" s="521"/>
      <c r="L30" s="521"/>
      <c r="M30" s="521"/>
    </row>
    <row r="31" spans="2:25" ht="13">
      <c r="C31" s="519" t="s">
        <v>937</v>
      </c>
      <c r="E31" s="521">
        <v>76762431.899999991</v>
      </c>
      <c r="F31" s="521">
        <v>35581968913.049995</v>
      </c>
      <c r="G31" s="521">
        <v>0</v>
      </c>
      <c r="H31" s="521">
        <v>0</v>
      </c>
      <c r="I31" s="521">
        <v>0</v>
      </c>
      <c r="J31" s="521">
        <v>0</v>
      </c>
      <c r="K31" s="521">
        <v>35658731344.949997</v>
      </c>
      <c r="L31" s="521">
        <v>0</v>
      </c>
      <c r="M31" s="521">
        <f>SUM(K31:L31)</f>
        <v>35658731344.949997</v>
      </c>
      <c r="O31" s="597"/>
      <c r="P31" s="597"/>
      <c r="Q31" s="597"/>
      <c r="R31" s="597"/>
      <c r="S31" s="597"/>
      <c r="T31" s="597"/>
      <c r="U31" s="597"/>
      <c r="V31" s="597"/>
      <c r="W31" s="597"/>
      <c r="X31" s="597"/>
      <c r="Y31" s="597"/>
    </row>
    <row r="32" spans="2:25" ht="13">
      <c r="C32" s="519" t="s">
        <v>938</v>
      </c>
      <c r="E32" s="521">
        <v>50400000</v>
      </c>
      <c r="F32" s="521">
        <v>535500000</v>
      </c>
      <c r="G32" s="521">
        <v>181298250</v>
      </c>
      <c r="H32" s="521">
        <v>0</v>
      </c>
      <c r="I32" s="521">
        <v>0</v>
      </c>
      <c r="J32" s="521">
        <v>0</v>
      </c>
      <c r="K32" s="521">
        <v>767198250</v>
      </c>
      <c r="L32" s="521">
        <v>0</v>
      </c>
      <c r="M32" s="521">
        <f>SUM(K32:L32)</f>
        <v>767198250</v>
      </c>
      <c r="O32" s="597"/>
      <c r="P32" s="597"/>
      <c r="Q32" s="597"/>
      <c r="R32" s="597"/>
      <c r="S32" s="597"/>
      <c r="T32" s="597"/>
      <c r="U32" s="597"/>
      <c r="V32" s="597"/>
      <c r="W32" s="597"/>
      <c r="X32" s="597"/>
    </row>
    <row r="33" spans="2:25" ht="13">
      <c r="C33" s="519" t="s">
        <v>939</v>
      </c>
      <c r="E33" s="591"/>
      <c r="F33" s="591"/>
      <c r="G33" s="591"/>
      <c r="H33" s="591"/>
      <c r="I33" s="591"/>
      <c r="J33" s="591"/>
      <c r="K33" s="591">
        <f>SUM(E33:J33)</f>
        <v>0</v>
      </c>
      <c r="L33" s="591"/>
      <c r="M33" s="591">
        <f>SUM(E33:L33)</f>
        <v>0</v>
      </c>
    </row>
    <row r="34" spans="2:25" ht="13">
      <c r="C34" s="519" t="s">
        <v>940</v>
      </c>
      <c r="D34" s="519"/>
      <c r="E34" s="520">
        <f>SUM(E31:E33)</f>
        <v>127162431.89999999</v>
      </c>
      <c r="F34" s="520">
        <f>SUM(F31:F33)</f>
        <v>36117468913.049995</v>
      </c>
      <c r="G34" s="520">
        <f>SUM(G31:G33)</f>
        <v>181298250</v>
      </c>
      <c r="H34" s="520">
        <f t="shared" ref="H34:M34" si="5">SUM(H31:H33)</f>
        <v>0</v>
      </c>
      <c r="I34" s="520">
        <f t="shared" si="5"/>
        <v>0</v>
      </c>
      <c r="J34" s="520">
        <f t="shared" si="5"/>
        <v>0</v>
      </c>
      <c r="K34" s="520">
        <f t="shared" si="5"/>
        <v>36425929594.949997</v>
      </c>
      <c r="L34" s="520">
        <f t="shared" si="5"/>
        <v>0</v>
      </c>
      <c r="M34" s="520">
        <f t="shared" si="5"/>
        <v>36425929594.949997</v>
      </c>
      <c r="N34" s="519"/>
    </row>
    <row r="35" spans="2:25" ht="13">
      <c r="C35" s="519" t="s">
        <v>111</v>
      </c>
      <c r="D35" s="519"/>
      <c r="E35" s="567">
        <f>E22-E34</f>
        <v>0</v>
      </c>
      <c r="F35" s="567">
        <f t="shared" ref="F35:M35" si="6">F22-F34</f>
        <v>0</v>
      </c>
      <c r="G35" s="567">
        <f t="shared" si="6"/>
        <v>0</v>
      </c>
      <c r="H35" s="567">
        <f t="shared" si="6"/>
        <v>0</v>
      </c>
      <c r="I35" s="567">
        <f t="shared" si="6"/>
        <v>0</v>
      </c>
      <c r="J35" s="567">
        <f t="shared" si="6"/>
        <v>0</v>
      </c>
      <c r="K35" s="567">
        <f t="shared" si="6"/>
        <v>0</v>
      </c>
      <c r="L35" s="567">
        <f t="shared" si="6"/>
        <v>0</v>
      </c>
      <c r="M35" s="567">
        <f t="shared" si="6"/>
        <v>0</v>
      </c>
      <c r="N35" s="519"/>
    </row>
    <row r="37" spans="2:25" s="584" customFormat="1" ht="13">
      <c r="B37" s="583" t="s">
        <v>941</v>
      </c>
      <c r="I37" s="585"/>
    </row>
    <row r="38" spans="2:25" ht="13">
      <c r="B38" s="185" t="s">
        <v>942</v>
      </c>
    </row>
    <row r="39" spans="2:25" ht="13">
      <c r="C39" s="519"/>
      <c r="D39" s="519"/>
      <c r="E39" s="586" t="s">
        <v>640</v>
      </c>
      <c r="F39" s="586" t="s">
        <v>688</v>
      </c>
      <c r="G39" s="586" t="s">
        <v>740</v>
      </c>
      <c r="H39" s="586" t="s">
        <v>961</v>
      </c>
      <c r="I39" s="586" t="s">
        <v>609</v>
      </c>
      <c r="J39" s="586" t="s">
        <v>461</v>
      </c>
      <c r="K39" s="586" t="s">
        <v>11</v>
      </c>
      <c r="L39" s="586" t="s">
        <v>223</v>
      </c>
      <c r="M39" s="586" t="s">
        <v>926</v>
      </c>
      <c r="N39" s="519"/>
    </row>
    <row r="40" spans="2:25" ht="13">
      <c r="C40" s="519" t="s">
        <v>932</v>
      </c>
      <c r="D40" s="519"/>
      <c r="E40" s="520">
        <v>0</v>
      </c>
      <c r="F40" s="520">
        <v>140145541229.92499</v>
      </c>
      <c r="G40" s="520">
        <v>0</v>
      </c>
      <c r="H40" s="520">
        <v>0</v>
      </c>
      <c r="I40" s="520">
        <v>0</v>
      </c>
      <c r="J40" s="520">
        <v>0</v>
      </c>
      <c r="K40" s="520">
        <v>140145541229.92499</v>
      </c>
      <c r="L40" s="520">
        <v>0</v>
      </c>
      <c r="M40" s="520">
        <v>140145541229.92499</v>
      </c>
      <c r="N40" s="519"/>
      <c r="O40" s="596"/>
      <c r="P40" s="596"/>
      <c r="Q40" s="596"/>
      <c r="R40" s="596"/>
      <c r="S40" s="596"/>
      <c r="T40" s="596"/>
      <c r="U40" s="596"/>
      <c r="V40" s="596"/>
      <c r="W40" s="596"/>
      <c r="X40" s="596"/>
      <c r="Y40" s="596"/>
    </row>
    <row r="41" spans="2:25" ht="13">
      <c r="C41" s="519" t="s">
        <v>928</v>
      </c>
      <c r="D41" s="519"/>
      <c r="E41" s="521">
        <v>0</v>
      </c>
      <c r="F41" s="521">
        <v>93011946372.449997</v>
      </c>
      <c r="G41" s="521">
        <v>0</v>
      </c>
      <c r="H41" s="521">
        <v>0</v>
      </c>
      <c r="I41" s="521">
        <v>0</v>
      </c>
      <c r="J41" s="521">
        <v>0</v>
      </c>
      <c r="K41" s="521">
        <v>93011946372.449997</v>
      </c>
      <c r="L41" s="521">
        <v>0</v>
      </c>
      <c r="M41" s="521">
        <v>93011946372.449997</v>
      </c>
      <c r="N41" s="519"/>
      <c r="O41" s="596"/>
      <c r="P41" s="596"/>
      <c r="Q41" s="596"/>
      <c r="R41" s="596"/>
      <c r="S41" s="596"/>
      <c r="T41" s="596"/>
      <c r="U41" s="596"/>
      <c r="V41" s="596"/>
      <c r="W41" s="596"/>
      <c r="X41" s="596"/>
    </row>
    <row r="42" spans="2:25" ht="13">
      <c r="C42" s="519" t="s">
        <v>933</v>
      </c>
      <c r="D42" s="519"/>
      <c r="E42" s="521">
        <v>0</v>
      </c>
      <c r="F42" s="521">
        <v>-49691894071.049995</v>
      </c>
      <c r="G42" s="521">
        <v>0</v>
      </c>
      <c r="H42" s="521">
        <v>0</v>
      </c>
      <c r="I42" s="521">
        <v>0</v>
      </c>
      <c r="J42" s="521">
        <v>0</v>
      </c>
      <c r="K42" s="521">
        <v>-49691894071.049995</v>
      </c>
      <c r="L42" s="521">
        <v>0</v>
      </c>
      <c r="M42" s="521">
        <v>-49691894071.049995</v>
      </c>
      <c r="N42" s="519"/>
      <c r="O42" s="596"/>
      <c r="P42" s="596"/>
      <c r="Q42" s="596"/>
      <c r="R42" s="596"/>
      <c r="S42" s="596"/>
      <c r="T42" s="596"/>
      <c r="U42" s="596"/>
      <c r="V42" s="596"/>
      <c r="W42" s="596"/>
      <c r="X42" s="596"/>
    </row>
    <row r="43" spans="2:25" ht="13">
      <c r="C43" s="519" t="s">
        <v>934</v>
      </c>
      <c r="D43" s="519"/>
      <c r="E43" s="521">
        <v>0</v>
      </c>
      <c r="F43" s="521">
        <v>-83296105212.599991</v>
      </c>
      <c r="G43" s="521">
        <v>0</v>
      </c>
      <c r="H43" s="521">
        <v>0</v>
      </c>
      <c r="I43" s="521">
        <v>0</v>
      </c>
      <c r="J43" s="521">
        <v>0</v>
      </c>
      <c r="K43" s="521">
        <v>-83296105212.599991</v>
      </c>
      <c r="L43" s="521">
        <v>0</v>
      </c>
      <c r="M43" s="521">
        <v>-83296105212.599991</v>
      </c>
      <c r="N43" s="519"/>
      <c r="O43" s="596"/>
      <c r="P43" s="596"/>
      <c r="Q43" s="596"/>
      <c r="R43" s="596"/>
      <c r="S43" s="596"/>
      <c r="T43" s="596"/>
      <c r="U43" s="596"/>
      <c r="V43" s="596"/>
      <c r="W43" s="596"/>
      <c r="X43" s="596"/>
    </row>
    <row r="44" spans="2:25" ht="13">
      <c r="C44" s="519" t="s">
        <v>935</v>
      </c>
      <c r="D44" s="519"/>
      <c r="E44" s="587">
        <v>0</v>
      </c>
      <c r="F44" s="587">
        <v>-88325573940.449997</v>
      </c>
      <c r="G44" s="587">
        <v>0</v>
      </c>
      <c r="H44" s="587">
        <v>0</v>
      </c>
      <c r="I44" s="587">
        <v>0</v>
      </c>
      <c r="J44" s="587">
        <v>0</v>
      </c>
      <c r="K44" s="587">
        <v>-88325573940.449997</v>
      </c>
      <c r="L44" s="587">
        <v>0</v>
      </c>
      <c r="M44" s="587">
        <v>-88325573940.449997</v>
      </c>
      <c r="N44" s="519"/>
      <c r="O44" s="596"/>
      <c r="P44" s="596"/>
      <c r="Q44" s="596"/>
      <c r="R44" s="596"/>
      <c r="S44" s="596"/>
      <c r="T44" s="596"/>
      <c r="U44" s="596"/>
      <c r="V44" s="596"/>
      <c r="W44" s="596"/>
      <c r="X44" s="596"/>
    </row>
    <row r="45" spans="2:25" ht="13">
      <c r="C45" s="519" t="s">
        <v>224</v>
      </c>
      <c r="D45" s="519"/>
      <c r="E45" s="520">
        <f>SUM(E40:E44)</f>
        <v>0</v>
      </c>
      <c r="F45" s="520">
        <f t="shared" ref="E45:M45" si="7">SUM(F40:F44)</f>
        <v>11843914378.275024</v>
      </c>
      <c r="G45" s="520">
        <f t="shared" si="7"/>
        <v>0</v>
      </c>
      <c r="H45" s="520">
        <f t="shared" si="7"/>
        <v>0</v>
      </c>
      <c r="I45" s="520">
        <f t="shared" si="7"/>
        <v>0</v>
      </c>
      <c r="J45" s="520">
        <f t="shared" si="7"/>
        <v>0</v>
      </c>
      <c r="K45" s="520">
        <f t="shared" si="7"/>
        <v>11843914378.275024</v>
      </c>
      <c r="L45" s="520">
        <f t="shared" si="7"/>
        <v>0</v>
      </c>
      <c r="M45" s="520">
        <f t="shared" si="7"/>
        <v>11843914378.275024</v>
      </c>
      <c r="N45" s="519"/>
    </row>
    <row r="46" spans="2:25" ht="13">
      <c r="C46" s="519" t="s">
        <v>931</v>
      </c>
      <c r="D46" s="519"/>
      <c r="E46" s="567">
        <v>0</v>
      </c>
      <c r="F46" s="567">
        <f>'Consol SoFP 23 &amp; 22'!K46</f>
        <v>11843914378</v>
      </c>
      <c r="G46" s="567">
        <v>0</v>
      </c>
      <c r="H46" s="567"/>
      <c r="I46" s="567">
        <v>0</v>
      </c>
      <c r="J46" s="567"/>
      <c r="K46" s="567">
        <f>'Consol SoFP 23 &amp; 22'!AE46</f>
        <v>11843914378</v>
      </c>
      <c r="L46" s="567"/>
      <c r="M46" s="567">
        <f>'Consol SoFP 23 &amp; 22'!AE46</f>
        <v>11843914378</v>
      </c>
      <c r="N46" s="519"/>
    </row>
    <row r="47" spans="2:25" ht="13">
      <c r="C47" s="588" t="s">
        <v>347</v>
      </c>
      <c r="D47" s="588"/>
      <c r="E47" s="520">
        <f>E45-E46</f>
        <v>0</v>
      </c>
      <c r="F47" s="520">
        <f t="shared" ref="F47:M47" si="8">F45-F46</f>
        <v>0.2750244140625</v>
      </c>
      <c r="G47" s="520">
        <f t="shared" si="8"/>
        <v>0</v>
      </c>
      <c r="H47" s="520">
        <f t="shared" si="8"/>
        <v>0</v>
      </c>
      <c r="I47" s="520">
        <f t="shared" si="8"/>
        <v>0</v>
      </c>
      <c r="J47" s="520">
        <f t="shared" si="8"/>
        <v>0</v>
      </c>
      <c r="K47" s="520">
        <f t="shared" si="8"/>
        <v>0.2750244140625</v>
      </c>
      <c r="L47" s="520">
        <f t="shared" si="8"/>
        <v>0</v>
      </c>
      <c r="M47" s="520">
        <f t="shared" si="8"/>
        <v>0.2750244140625</v>
      </c>
      <c r="N47" s="519"/>
    </row>
    <row r="49" spans="2:25" ht="13">
      <c r="B49" s="185" t="s">
        <v>852</v>
      </c>
    </row>
    <row r="50" spans="2:25" ht="13">
      <c r="C50" s="519"/>
      <c r="D50" s="519"/>
      <c r="E50" s="586" t="s">
        <v>640</v>
      </c>
      <c r="F50" s="586" t="s">
        <v>688</v>
      </c>
      <c r="G50" s="586" t="s">
        <v>740</v>
      </c>
      <c r="H50" s="586" t="s">
        <v>961</v>
      </c>
      <c r="I50" s="586" t="s">
        <v>609</v>
      </c>
      <c r="J50" s="586" t="s">
        <v>461</v>
      </c>
      <c r="K50" s="586" t="s">
        <v>11</v>
      </c>
      <c r="L50" s="586" t="s">
        <v>223</v>
      </c>
      <c r="M50" s="586" t="s">
        <v>926</v>
      </c>
      <c r="N50" s="519"/>
    </row>
    <row r="51" spans="2:25" ht="13">
      <c r="C51" s="519" t="s">
        <v>219</v>
      </c>
      <c r="D51" s="519"/>
      <c r="E51" s="520">
        <v>0</v>
      </c>
      <c r="F51" s="520">
        <v>125095664545.425</v>
      </c>
      <c r="G51" s="520">
        <v>0</v>
      </c>
      <c r="H51" s="520">
        <v>0</v>
      </c>
      <c r="I51" s="520">
        <v>0</v>
      </c>
      <c r="J51" s="520">
        <v>0</v>
      </c>
      <c r="K51" s="520">
        <v>125095664545.425</v>
      </c>
      <c r="L51" s="520">
        <v>0</v>
      </c>
      <c r="M51" s="520">
        <v>125095664545.425</v>
      </c>
      <c r="N51" s="519"/>
      <c r="O51" s="596"/>
      <c r="P51" s="596"/>
      <c r="Q51" s="596"/>
      <c r="R51" s="596"/>
      <c r="S51" s="596"/>
      <c r="T51" s="596"/>
      <c r="U51" s="596"/>
      <c r="V51" s="596"/>
      <c r="W51" s="596"/>
      <c r="X51" s="596"/>
      <c r="Y51" s="596"/>
    </row>
    <row r="52" spans="2:25" ht="13">
      <c r="C52" s="519" t="s">
        <v>943</v>
      </c>
      <c r="D52" s="519"/>
      <c r="E52" s="521">
        <v>0</v>
      </c>
      <c r="F52" s="521">
        <v>93011946373.165939</v>
      </c>
      <c r="G52" s="521">
        <v>0</v>
      </c>
      <c r="H52" s="521">
        <v>0</v>
      </c>
      <c r="I52" s="521">
        <v>0</v>
      </c>
      <c r="J52" s="521">
        <v>0</v>
      </c>
      <c r="K52" s="521">
        <v>93011946373.165939</v>
      </c>
      <c r="L52" s="521">
        <v>0</v>
      </c>
      <c r="M52" s="521">
        <v>93011946373.165939</v>
      </c>
      <c r="N52" s="519"/>
      <c r="O52" s="596"/>
      <c r="P52" s="596"/>
      <c r="Q52" s="596"/>
      <c r="R52" s="596"/>
      <c r="S52" s="596"/>
      <c r="T52" s="596"/>
      <c r="U52" s="596"/>
      <c r="V52" s="596"/>
      <c r="W52" s="596"/>
      <c r="X52" s="596"/>
    </row>
    <row r="53" spans="2:25" ht="13">
      <c r="C53" s="519" t="s">
        <v>944</v>
      </c>
      <c r="D53" s="519"/>
      <c r="E53" s="521">
        <v>0</v>
      </c>
      <c r="F53" s="521">
        <v>13001777996.817863</v>
      </c>
      <c r="G53" s="521">
        <v>0</v>
      </c>
      <c r="H53" s="521">
        <v>0</v>
      </c>
      <c r="I53" s="521">
        <v>0</v>
      </c>
      <c r="J53" s="521">
        <v>0</v>
      </c>
      <c r="K53" s="521">
        <v>13001777996.817863</v>
      </c>
      <c r="L53" s="521">
        <v>0</v>
      </c>
      <c r="M53" s="521">
        <v>13001777996.817863</v>
      </c>
      <c r="N53" s="519"/>
      <c r="O53" s="596"/>
      <c r="P53" s="596"/>
      <c r="Q53" s="596"/>
      <c r="R53" s="596"/>
      <c r="S53" s="596"/>
      <c r="T53" s="596"/>
      <c r="U53" s="596"/>
      <c r="V53" s="596"/>
      <c r="W53" s="596"/>
      <c r="X53" s="596"/>
    </row>
    <row r="54" spans="2:25" ht="13">
      <c r="C54" s="519" t="s">
        <v>945</v>
      </c>
      <c r="D54" s="519"/>
      <c r="E54" s="521">
        <v>0</v>
      </c>
      <c r="F54" s="521">
        <v>-84089112726.149994</v>
      </c>
      <c r="G54" s="521">
        <v>0</v>
      </c>
      <c r="H54" s="521">
        <v>0</v>
      </c>
      <c r="I54" s="521">
        <v>0</v>
      </c>
      <c r="J54" s="521">
        <v>0</v>
      </c>
      <c r="K54" s="521">
        <v>-84089112726.149994</v>
      </c>
      <c r="L54" s="521">
        <v>0</v>
      </c>
      <c r="M54" s="521">
        <v>-84089112726.149994</v>
      </c>
      <c r="N54" s="519"/>
      <c r="O54" s="596"/>
      <c r="P54" s="596"/>
      <c r="Q54" s="596"/>
      <c r="R54" s="596"/>
      <c r="S54" s="596"/>
      <c r="T54" s="596"/>
      <c r="U54" s="596"/>
      <c r="V54" s="596"/>
      <c r="W54" s="596"/>
      <c r="X54" s="596"/>
    </row>
    <row r="55" spans="2:25" ht="13">
      <c r="C55" s="519" t="s">
        <v>946</v>
      </c>
      <c r="D55" s="519"/>
      <c r="E55" s="587">
        <v>0</v>
      </c>
      <c r="F55" s="587">
        <v>-57354743376</v>
      </c>
      <c r="G55" s="587">
        <v>0</v>
      </c>
      <c r="H55" s="587">
        <v>0</v>
      </c>
      <c r="I55" s="587">
        <v>0</v>
      </c>
      <c r="J55" s="587">
        <v>0</v>
      </c>
      <c r="K55" s="587">
        <v>-57354743376</v>
      </c>
      <c r="L55" s="587">
        <v>0</v>
      </c>
      <c r="M55" s="587">
        <v>-57354743376</v>
      </c>
      <c r="N55" s="519"/>
      <c r="O55" s="596"/>
      <c r="P55" s="596"/>
      <c r="Q55" s="596"/>
      <c r="R55" s="596"/>
      <c r="S55" s="596"/>
      <c r="T55" s="596"/>
      <c r="U55" s="596"/>
      <c r="V55" s="596"/>
      <c r="W55" s="596"/>
      <c r="X55" s="596"/>
    </row>
    <row r="56" spans="2:25" ht="13">
      <c r="C56" s="519" t="s">
        <v>224</v>
      </c>
      <c r="D56" s="519"/>
      <c r="E56" s="520">
        <f t="shared" ref="E56:M56" si="9">SUM(E51:E55)</f>
        <v>0</v>
      </c>
      <c r="F56" s="520">
        <f t="shared" si="9"/>
        <v>89665532813.25882</v>
      </c>
      <c r="G56" s="520">
        <f t="shared" si="9"/>
        <v>0</v>
      </c>
      <c r="H56" s="520">
        <f t="shared" si="9"/>
        <v>0</v>
      </c>
      <c r="I56" s="520">
        <f t="shared" si="9"/>
        <v>0</v>
      </c>
      <c r="J56" s="520">
        <f t="shared" si="9"/>
        <v>0</v>
      </c>
      <c r="K56" s="520">
        <f t="shared" si="9"/>
        <v>89665532813.25882</v>
      </c>
      <c r="L56" s="520">
        <f t="shared" si="9"/>
        <v>0</v>
      </c>
      <c r="M56" s="520">
        <f t="shared" si="9"/>
        <v>89665532813.25882</v>
      </c>
      <c r="N56" s="519"/>
    </row>
    <row r="57" spans="2:25" ht="13">
      <c r="C57" s="519" t="s">
        <v>931</v>
      </c>
      <c r="D57" s="519"/>
      <c r="E57" s="567">
        <v>0</v>
      </c>
      <c r="F57" s="567">
        <f>-('Consol SoFP 23 &amp; 22'!K81+'Consol SoFP 23 &amp; 22'!K75)</f>
        <v>89665532815</v>
      </c>
      <c r="G57" s="567">
        <v>0</v>
      </c>
      <c r="H57" s="567"/>
      <c r="I57" s="567">
        <v>0</v>
      </c>
      <c r="J57" s="567"/>
      <c r="K57" s="567">
        <f>-'Consol SoFP 23 &amp; 22'!K81-'Consol SoFP 23 &amp; 22'!K75</f>
        <v>89665532815</v>
      </c>
      <c r="L57" s="567"/>
      <c r="M57" s="567">
        <f>-'Consol SoFP 23 &amp; 22'!AE75-'Consol SoFP 23 &amp; 22'!AE81</f>
        <v>89665532815</v>
      </c>
      <c r="N57" s="519"/>
    </row>
    <row r="58" spans="2:25" ht="13">
      <c r="C58" s="588" t="s">
        <v>347</v>
      </c>
      <c r="D58" s="588"/>
      <c r="E58" s="520">
        <f>E56-E57</f>
        <v>0</v>
      </c>
      <c r="F58" s="520">
        <f t="shared" ref="F58:M58" si="10">F56-F57</f>
        <v>-1.741180419921875</v>
      </c>
      <c r="G58" s="520">
        <f t="shared" si="10"/>
        <v>0</v>
      </c>
      <c r="H58" s="520">
        <f t="shared" si="10"/>
        <v>0</v>
      </c>
      <c r="I58" s="520">
        <f t="shared" si="10"/>
        <v>0</v>
      </c>
      <c r="J58" s="520">
        <f t="shared" si="10"/>
        <v>0</v>
      </c>
      <c r="K58" s="520">
        <f t="shared" si="10"/>
        <v>-1.741180419921875</v>
      </c>
      <c r="L58" s="520">
        <f t="shared" si="10"/>
        <v>0</v>
      </c>
      <c r="M58" s="520">
        <f t="shared" si="10"/>
        <v>-1.741180419921875</v>
      </c>
      <c r="N58" s="519"/>
    </row>
    <row r="59" spans="2:25">
      <c r="F59" s="633">
        <f>F53/F51</f>
        <v>0.10393468106240109</v>
      </c>
    </row>
    <row r="60" spans="2:25" s="584" customFormat="1" ht="13">
      <c r="B60" s="583" t="s">
        <v>46</v>
      </c>
      <c r="I60" s="585"/>
    </row>
    <row r="61" spans="2:25" ht="13">
      <c r="B61" s="185"/>
    </row>
    <row r="62" spans="2:25" ht="13">
      <c r="C62" s="519"/>
      <c r="D62" s="519"/>
      <c r="E62" s="586" t="s">
        <v>640</v>
      </c>
      <c r="F62" s="586" t="s">
        <v>688</v>
      </c>
      <c r="G62" s="586" t="s">
        <v>740</v>
      </c>
      <c r="H62" s="586" t="s">
        <v>961</v>
      </c>
      <c r="I62" s="586" t="s">
        <v>609</v>
      </c>
      <c r="J62" s="586" t="s">
        <v>461</v>
      </c>
      <c r="K62" s="586" t="s">
        <v>11</v>
      </c>
      <c r="L62" s="586" t="s">
        <v>223</v>
      </c>
      <c r="M62" s="586" t="s">
        <v>926</v>
      </c>
      <c r="N62" s="519"/>
    </row>
    <row r="63" spans="2:25" ht="13">
      <c r="C63" s="519" t="s">
        <v>932</v>
      </c>
      <c r="D63" s="519"/>
      <c r="E63" s="520">
        <v>27816908986.05442</v>
      </c>
      <c r="F63" s="520">
        <v>15671398499.972914</v>
      </c>
      <c r="G63" s="520">
        <v>0</v>
      </c>
      <c r="H63" s="520">
        <v>0</v>
      </c>
      <c r="I63" s="520">
        <v>0</v>
      </c>
      <c r="J63" s="520">
        <v>0</v>
      </c>
      <c r="K63" s="520">
        <v>43488307486.027328</v>
      </c>
      <c r="L63" s="520">
        <v>0</v>
      </c>
      <c r="M63" s="520">
        <v>43488307486.027328</v>
      </c>
      <c r="N63" s="519"/>
      <c r="O63" s="597"/>
      <c r="P63" s="597"/>
      <c r="Q63" s="597"/>
      <c r="R63" s="597"/>
      <c r="S63" s="597"/>
      <c r="T63" s="597"/>
      <c r="U63" s="597"/>
      <c r="V63" s="597"/>
      <c r="W63" s="597"/>
      <c r="X63" s="597"/>
    </row>
    <row r="64" spans="2:25" ht="13">
      <c r="C64" s="519" t="s">
        <v>928</v>
      </c>
      <c r="D64" s="519"/>
      <c r="E64" s="521">
        <v>0</v>
      </c>
      <c r="F64" s="521">
        <v>0</v>
      </c>
      <c r="G64" s="521">
        <v>0</v>
      </c>
      <c r="H64" s="521">
        <v>0</v>
      </c>
      <c r="I64" s="521">
        <v>0</v>
      </c>
      <c r="J64" s="521">
        <v>0</v>
      </c>
      <c r="K64" s="521">
        <v>0</v>
      </c>
      <c r="L64" s="521">
        <v>0</v>
      </c>
      <c r="M64" s="521">
        <v>0</v>
      </c>
      <c r="N64" s="519"/>
      <c r="O64" s="597"/>
      <c r="P64" s="597"/>
      <c r="Q64" s="597"/>
      <c r="R64" s="597"/>
      <c r="S64" s="597"/>
      <c r="T64" s="597"/>
      <c r="U64" s="597"/>
      <c r="V64" s="597"/>
      <c r="W64" s="597"/>
    </row>
    <row r="65" spans="2:30" ht="13">
      <c r="C65" s="519" t="s">
        <v>933</v>
      </c>
      <c r="D65" s="519"/>
      <c r="E65" s="521">
        <v>0</v>
      </c>
      <c r="F65" s="521">
        <v>0</v>
      </c>
      <c r="G65" s="521">
        <v>0</v>
      </c>
      <c r="H65" s="521">
        <v>0</v>
      </c>
      <c r="I65" s="521">
        <v>0</v>
      </c>
      <c r="J65" s="521">
        <v>0</v>
      </c>
      <c r="K65" s="521">
        <v>0</v>
      </c>
      <c r="L65" s="521">
        <v>0</v>
      </c>
      <c r="M65" s="521">
        <v>0</v>
      </c>
      <c r="N65" s="519"/>
      <c r="O65" s="597"/>
      <c r="P65" s="597"/>
      <c r="Q65" s="597"/>
      <c r="R65" s="597"/>
      <c r="S65" s="597"/>
      <c r="T65" s="597"/>
      <c r="U65" s="597"/>
      <c r="V65" s="597"/>
      <c r="W65" s="597"/>
    </row>
    <row r="66" spans="2:30" ht="13">
      <c r="C66" s="519" t="s">
        <v>934</v>
      </c>
      <c r="D66" s="519"/>
      <c r="E66" s="521">
        <v>-6937353471.8249998</v>
      </c>
      <c r="F66" s="521">
        <v>-3917849625.9000001</v>
      </c>
      <c r="G66" s="521">
        <v>0</v>
      </c>
      <c r="H66" s="521">
        <v>0</v>
      </c>
      <c r="I66" s="521">
        <v>0</v>
      </c>
      <c r="J66" s="521">
        <v>0</v>
      </c>
      <c r="K66" s="521">
        <v>-10855203097.725</v>
      </c>
      <c r="L66" s="521">
        <v>0</v>
      </c>
      <c r="M66" s="521">
        <v>-10855203097.725</v>
      </c>
      <c r="N66" s="519"/>
      <c r="O66" s="597"/>
      <c r="P66" s="597"/>
      <c r="Q66" s="597"/>
      <c r="R66" s="597"/>
      <c r="S66" s="597"/>
      <c r="T66" s="597"/>
      <c r="U66" s="597"/>
      <c r="V66" s="597"/>
      <c r="W66" s="597"/>
    </row>
    <row r="67" spans="2:30" ht="13">
      <c r="C67" s="519" t="s">
        <v>935</v>
      </c>
      <c r="D67" s="519"/>
      <c r="E67" s="587">
        <v>-7747016325.3000002</v>
      </c>
      <c r="F67" s="587">
        <v>0</v>
      </c>
      <c r="G67" s="587">
        <v>0</v>
      </c>
      <c r="H67" s="587">
        <v>0</v>
      </c>
      <c r="I67" s="587">
        <v>0</v>
      </c>
      <c r="J67" s="587">
        <v>0</v>
      </c>
      <c r="K67" s="587">
        <v>-7747016325.3000002</v>
      </c>
      <c r="L67" s="587">
        <v>0</v>
      </c>
      <c r="M67" s="587">
        <v>-7747016325.3000002</v>
      </c>
      <c r="N67" s="519"/>
      <c r="O67" s="597"/>
      <c r="P67" s="597"/>
      <c r="Q67" s="597"/>
      <c r="R67" s="597"/>
      <c r="S67" s="597"/>
      <c r="T67" s="597"/>
      <c r="U67" s="597"/>
      <c r="V67" s="597"/>
      <c r="W67" s="597"/>
    </row>
    <row r="68" spans="2:30" ht="13">
      <c r="C68" s="519" t="s">
        <v>224</v>
      </c>
      <c r="D68" s="519"/>
      <c r="E68" s="520">
        <f t="shared" ref="E68:M68" si="11">SUM(E63:E67)</f>
        <v>13132539188.92942</v>
      </c>
      <c r="F68" s="520">
        <f t="shared" si="11"/>
        <v>11753548874.072914</v>
      </c>
      <c r="G68" s="520">
        <f t="shared" si="11"/>
        <v>0</v>
      </c>
      <c r="H68" s="520">
        <f t="shared" si="11"/>
        <v>0</v>
      </c>
      <c r="I68" s="520">
        <f t="shared" si="11"/>
        <v>0</v>
      </c>
      <c r="J68" s="520">
        <f t="shared" si="11"/>
        <v>0</v>
      </c>
      <c r="K68" s="520">
        <f t="shared" si="11"/>
        <v>24886088063.002331</v>
      </c>
      <c r="L68" s="520">
        <f t="shared" si="11"/>
        <v>0</v>
      </c>
      <c r="M68" s="520">
        <f t="shared" si="11"/>
        <v>24886088063.002331</v>
      </c>
      <c r="N68" s="519"/>
    </row>
    <row r="69" spans="2:30" ht="13">
      <c r="C69" s="519" t="s">
        <v>931</v>
      </c>
      <c r="D69" s="519"/>
      <c r="E69" s="567">
        <f>'Consol SoFP 23 &amp; 22'!H45</f>
        <v>13132539190</v>
      </c>
      <c r="F69" s="567">
        <f>'Consol SoFP 23 &amp; 22'!K45</f>
        <v>11753548874</v>
      </c>
      <c r="G69" s="567">
        <f>'Consol SoFP 23 &amp; 22'!N45</f>
        <v>0</v>
      </c>
      <c r="H69" s="567">
        <f>'Consol SoFP 23 &amp; 22'!Q45</f>
        <v>0</v>
      </c>
      <c r="I69" s="567">
        <f>'Consol SoFP 23 &amp; 22'!T45</f>
        <v>0</v>
      </c>
      <c r="J69" s="567">
        <f>'Consol SoFP 23 &amp; 22'!W45</f>
        <v>0</v>
      </c>
      <c r="K69" s="567">
        <f>'Consol SoFP 23 &amp; 22'!AE45</f>
        <v>24886088064</v>
      </c>
      <c r="L69" s="567"/>
      <c r="M69" s="567">
        <f>K69</f>
        <v>24886088064</v>
      </c>
      <c r="N69" s="519"/>
    </row>
    <row r="70" spans="2:30" ht="13">
      <c r="C70" s="588" t="s">
        <v>347</v>
      </c>
      <c r="D70" s="588"/>
      <c r="E70" s="520">
        <f>E68-E69</f>
        <v>-1.0705795288085938</v>
      </c>
      <c r="F70" s="520">
        <f t="shared" ref="F70:M70" si="12">F68-F69</f>
        <v>7.291412353515625E-2</v>
      </c>
      <c r="G70" s="520">
        <f t="shared" si="12"/>
        <v>0</v>
      </c>
      <c r="H70" s="520">
        <f t="shared" si="12"/>
        <v>0</v>
      </c>
      <c r="I70" s="520">
        <f t="shared" si="12"/>
        <v>0</v>
      </c>
      <c r="J70" s="520">
        <f t="shared" si="12"/>
        <v>0</v>
      </c>
      <c r="K70" s="520">
        <f t="shared" si="12"/>
        <v>-0.99766921997070313</v>
      </c>
      <c r="L70" s="520">
        <f t="shared" si="12"/>
        <v>0</v>
      </c>
      <c r="M70" s="520">
        <f t="shared" si="12"/>
        <v>-0.99766921997070313</v>
      </c>
      <c r="N70" s="519"/>
    </row>
    <row r="72" spans="2:30" s="584" customFormat="1" ht="13">
      <c r="B72" s="583" t="s">
        <v>89</v>
      </c>
      <c r="I72" s="585"/>
    </row>
    <row r="73" spans="2:30" ht="13">
      <c r="B73" s="185"/>
    </row>
    <row r="74" spans="2:30" ht="13">
      <c r="C74" s="519"/>
      <c r="D74" s="519"/>
      <c r="E74" s="586" t="s">
        <v>640</v>
      </c>
      <c r="F74" s="586" t="s">
        <v>688</v>
      </c>
      <c r="G74" s="586" t="s">
        <v>740</v>
      </c>
      <c r="H74" s="586" t="s">
        <v>961</v>
      </c>
      <c r="I74" s="586" t="s">
        <v>609</v>
      </c>
      <c r="J74" s="586" t="s">
        <v>461</v>
      </c>
      <c r="K74" s="586" t="s">
        <v>11</v>
      </c>
      <c r="L74" s="586" t="s">
        <v>223</v>
      </c>
      <c r="M74" s="586" t="s">
        <v>926</v>
      </c>
      <c r="N74" s="519"/>
    </row>
    <row r="75" spans="2:30" ht="13">
      <c r="C75" s="519" t="s">
        <v>219</v>
      </c>
      <c r="D75" s="519"/>
      <c r="E75" s="520">
        <v>-357853579197.97498</v>
      </c>
      <c r="F75" s="520">
        <v>0</v>
      </c>
      <c r="G75" s="520">
        <v>0</v>
      </c>
      <c r="H75" s="520">
        <v>0</v>
      </c>
      <c r="I75" s="520">
        <v>0</v>
      </c>
      <c r="J75" s="520">
        <v>0</v>
      </c>
      <c r="K75" s="520">
        <v>-357853579197.97498</v>
      </c>
      <c r="L75" s="520">
        <v>0</v>
      </c>
      <c r="M75" s="520">
        <v>-357853579197.97498</v>
      </c>
      <c r="N75" s="519"/>
      <c r="O75" s="597"/>
      <c r="P75" s="597"/>
      <c r="Q75" s="597"/>
      <c r="R75" s="597"/>
      <c r="S75" s="597"/>
      <c r="T75" s="597"/>
      <c r="U75" s="597"/>
      <c r="V75" s="597"/>
      <c r="W75" s="597"/>
      <c r="X75" s="597"/>
      <c r="Y75" s="597"/>
      <c r="Z75" s="597">
        <f t="shared" ref="Z75" si="13">P75*1.575</f>
        <v>0</v>
      </c>
      <c r="AA75" s="597">
        <f t="shared" ref="AA75" si="14">Q75*1.575</f>
        <v>0</v>
      </c>
      <c r="AB75" s="597">
        <f t="shared" ref="AB75" si="15">R75*1.575</f>
        <v>0</v>
      </c>
      <c r="AC75" s="597">
        <f t="shared" ref="AC75" si="16">S75*1.575</f>
        <v>0</v>
      </c>
      <c r="AD75" s="597">
        <f t="shared" ref="AD75" si="17">T75*1.575</f>
        <v>0</v>
      </c>
    </row>
    <row r="76" spans="2:30" ht="13">
      <c r="C76" s="519" t="s">
        <v>947</v>
      </c>
      <c r="D76" s="519"/>
      <c r="E76" s="521">
        <v>-989702895645.44995</v>
      </c>
      <c r="F76" s="521">
        <v>0</v>
      </c>
      <c r="G76" s="521">
        <v>0</v>
      </c>
      <c r="H76" s="521">
        <v>0</v>
      </c>
      <c r="I76" s="521">
        <v>0</v>
      </c>
      <c r="J76" s="521">
        <v>0</v>
      </c>
      <c r="K76" s="521">
        <v>-989702895645.44995</v>
      </c>
      <c r="L76" s="521">
        <v>0</v>
      </c>
      <c r="M76" s="521">
        <v>-989702895645.44995</v>
      </c>
      <c r="N76" s="519"/>
      <c r="O76" s="597"/>
      <c r="P76" s="597"/>
      <c r="Q76" s="597"/>
      <c r="R76" s="597"/>
      <c r="S76" s="597"/>
      <c r="T76" s="597"/>
      <c r="U76" s="597"/>
      <c r="V76" s="597"/>
      <c r="W76" s="597"/>
    </row>
    <row r="77" spans="2:30" ht="13">
      <c r="C77" s="519" t="s">
        <v>948</v>
      </c>
      <c r="D77" s="519"/>
      <c r="E77" s="521">
        <v>344280825000</v>
      </c>
      <c r="F77" s="521">
        <v>0</v>
      </c>
      <c r="G77" s="521">
        <v>0</v>
      </c>
      <c r="H77" s="521">
        <v>0</v>
      </c>
      <c r="I77" s="521">
        <v>0</v>
      </c>
      <c r="J77" s="521">
        <v>0</v>
      </c>
      <c r="K77" s="521">
        <v>344280825000</v>
      </c>
      <c r="L77" s="521">
        <v>0</v>
      </c>
      <c r="M77" s="521">
        <v>344280825000</v>
      </c>
      <c r="N77" s="519"/>
      <c r="O77" s="597"/>
      <c r="P77" s="597"/>
      <c r="Q77" s="597"/>
      <c r="R77" s="597"/>
      <c r="S77" s="597"/>
      <c r="T77" s="597"/>
      <c r="U77" s="597"/>
      <c r="V77" s="597"/>
      <c r="W77" s="597"/>
    </row>
    <row r="78" spans="2:30" ht="13">
      <c r="C78" s="519"/>
      <c r="D78" s="519"/>
      <c r="E78" s="587"/>
      <c r="F78" s="587">
        <v>0</v>
      </c>
      <c r="G78" s="587">
        <v>0</v>
      </c>
      <c r="H78" s="587">
        <v>0</v>
      </c>
      <c r="I78" s="587">
        <v>0</v>
      </c>
      <c r="J78" s="587">
        <v>0</v>
      </c>
      <c r="K78" s="587">
        <f>SUM(E78:J78)</f>
        <v>0</v>
      </c>
      <c r="L78" s="587"/>
      <c r="M78" s="587">
        <f t="shared" ref="M78" si="18">SUM(K78:L78)</f>
        <v>0</v>
      </c>
      <c r="N78" s="519"/>
    </row>
    <row r="79" spans="2:30" ht="13">
      <c r="C79" s="519" t="s">
        <v>224</v>
      </c>
      <c r="D79" s="519"/>
      <c r="E79" s="520">
        <f t="shared" ref="E79:M79" si="19">SUM(E75:E78)</f>
        <v>-1003275649843.4248</v>
      </c>
      <c r="F79" s="520">
        <f t="shared" si="19"/>
        <v>0</v>
      </c>
      <c r="G79" s="520">
        <f t="shared" si="19"/>
        <v>0</v>
      </c>
      <c r="H79" s="520">
        <f t="shared" si="19"/>
        <v>0</v>
      </c>
      <c r="I79" s="520">
        <f t="shared" si="19"/>
        <v>0</v>
      </c>
      <c r="J79" s="520">
        <f t="shared" si="19"/>
        <v>0</v>
      </c>
      <c r="K79" s="520">
        <f t="shared" si="19"/>
        <v>-1003275649843.4248</v>
      </c>
      <c r="L79" s="520">
        <f t="shared" si="19"/>
        <v>0</v>
      </c>
      <c r="M79" s="520">
        <f t="shared" si="19"/>
        <v>-1003275649843.4248</v>
      </c>
      <c r="N79" s="519"/>
    </row>
    <row r="80" spans="2:30" ht="13">
      <c r="C80" s="519" t="s">
        <v>931</v>
      </c>
      <c r="D80" s="519"/>
      <c r="E80" s="567">
        <f>'Consol SoFP 23 &amp; 22'!AE94</f>
        <v>-1003275649843</v>
      </c>
      <c r="F80" s="567">
        <v>0</v>
      </c>
      <c r="G80" s="567">
        <v>0</v>
      </c>
      <c r="H80" s="567"/>
      <c r="I80" s="567">
        <v>0</v>
      </c>
      <c r="J80" s="567"/>
      <c r="K80" s="567">
        <f>'Consol SoFP 23 &amp; 22'!AE94</f>
        <v>-1003275649843</v>
      </c>
      <c r="L80" s="567"/>
      <c r="M80" s="567">
        <f>K80</f>
        <v>-1003275649843</v>
      </c>
      <c r="N80" s="519"/>
    </row>
    <row r="81" spans="2:24" ht="13">
      <c r="C81" s="588" t="s">
        <v>347</v>
      </c>
      <c r="D81" s="588"/>
      <c r="E81" s="520">
        <f>E79-E80</f>
        <v>-0.4248046875</v>
      </c>
      <c r="F81" s="520">
        <f t="shared" ref="F81:M81" si="20">F79-F80</f>
        <v>0</v>
      </c>
      <c r="G81" s="520">
        <f t="shared" si="20"/>
        <v>0</v>
      </c>
      <c r="H81" s="520">
        <f t="shared" si="20"/>
        <v>0</v>
      </c>
      <c r="I81" s="520">
        <f t="shared" si="20"/>
        <v>0</v>
      </c>
      <c r="J81" s="520">
        <f t="shared" si="20"/>
        <v>0</v>
      </c>
      <c r="K81" s="520">
        <f t="shared" si="20"/>
        <v>-0.4248046875</v>
      </c>
      <c r="L81" s="520">
        <f t="shared" si="20"/>
        <v>0</v>
      </c>
      <c r="M81" s="520">
        <f t="shared" si="20"/>
        <v>-0.4248046875</v>
      </c>
      <c r="N81" s="519"/>
    </row>
    <row r="82" spans="2:24">
      <c r="E82" s="590"/>
      <c r="F82" s="590"/>
    </row>
    <row r="83" spans="2:24" s="584" customFormat="1" ht="13">
      <c r="B83" s="583" t="s">
        <v>949</v>
      </c>
      <c r="I83" s="585"/>
    </row>
    <row r="84" spans="2:24" ht="13">
      <c r="B84" s="185"/>
    </row>
    <row r="85" spans="2:24" ht="13">
      <c r="C85" s="519"/>
      <c r="D85" s="519"/>
      <c r="E85" s="586" t="s">
        <v>640</v>
      </c>
      <c r="F85" s="586" t="s">
        <v>688</v>
      </c>
      <c r="G85" s="586" t="s">
        <v>740</v>
      </c>
      <c r="H85" s="586" t="s">
        <v>961</v>
      </c>
      <c r="I85" s="586" t="s">
        <v>609</v>
      </c>
      <c r="J85" s="586" t="s">
        <v>461</v>
      </c>
      <c r="K85" s="586" t="s">
        <v>11</v>
      </c>
      <c r="L85" s="586" t="s">
        <v>223</v>
      </c>
      <c r="M85" s="586" t="s">
        <v>926</v>
      </c>
      <c r="N85" s="519"/>
    </row>
    <row r="86" spans="2:24" ht="13">
      <c r="C86" s="519" t="s">
        <v>219</v>
      </c>
      <c r="D86" s="519"/>
      <c r="E86" s="520">
        <v>-1421174560.05</v>
      </c>
      <c r="F86" s="520">
        <v>-3497072321.9249997</v>
      </c>
      <c r="G86" s="520">
        <v>0</v>
      </c>
      <c r="H86" s="520">
        <v>0</v>
      </c>
      <c r="I86" s="520">
        <v>0</v>
      </c>
      <c r="J86" s="520">
        <v>0</v>
      </c>
      <c r="K86" s="520">
        <v>-4918246881.9749994</v>
      </c>
      <c r="L86" s="520">
        <v>0</v>
      </c>
      <c r="M86" s="520">
        <v>-4918246881.9749994</v>
      </c>
      <c r="N86" s="519"/>
      <c r="O86" s="597"/>
      <c r="P86" s="597"/>
      <c r="Q86" s="597"/>
      <c r="R86" s="597"/>
      <c r="S86" s="597"/>
      <c r="T86" s="597"/>
      <c r="U86" s="597"/>
      <c r="V86" s="597"/>
      <c r="W86" s="597"/>
      <c r="X86" s="597"/>
    </row>
    <row r="87" spans="2:24" ht="13">
      <c r="C87" s="519" t="s">
        <v>950</v>
      </c>
      <c r="D87" s="519"/>
      <c r="E87" s="521">
        <v>112745275.64999999</v>
      </c>
      <c r="F87" s="521">
        <v>1408006405.575</v>
      </c>
      <c r="G87" s="521">
        <v>0</v>
      </c>
      <c r="H87" s="521">
        <v>0</v>
      </c>
      <c r="I87" s="521">
        <v>0</v>
      </c>
      <c r="J87" s="521">
        <v>0</v>
      </c>
      <c r="K87" s="521">
        <v>1520751681.2249999</v>
      </c>
      <c r="L87" s="521">
        <v>0</v>
      </c>
      <c r="M87" s="521">
        <v>1520751681.2249999</v>
      </c>
      <c r="N87" s="519"/>
      <c r="O87" s="597"/>
      <c r="P87" s="597"/>
      <c r="Q87" s="597"/>
      <c r="R87" s="597"/>
      <c r="S87" s="597"/>
      <c r="T87" s="597"/>
      <c r="U87" s="597"/>
      <c r="V87" s="597"/>
      <c r="W87" s="597"/>
    </row>
    <row r="88" spans="2:24" ht="13">
      <c r="C88" s="519" t="s">
        <v>951</v>
      </c>
      <c r="D88" s="519"/>
      <c r="E88" s="521">
        <v>-614703573.22500002</v>
      </c>
      <c r="F88" s="521">
        <v>-841103516.92499995</v>
      </c>
      <c r="G88" s="521">
        <v>0</v>
      </c>
      <c r="H88" s="521">
        <v>0</v>
      </c>
      <c r="I88" s="521">
        <v>0</v>
      </c>
      <c r="J88" s="521">
        <v>0</v>
      </c>
      <c r="K88" s="521">
        <v>-1455807090.1499999</v>
      </c>
      <c r="L88" s="521">
        <v>0</v>
      </c>
      <c r="M88" s="521">
        <v>-1455807090.1499999</v>
      </c>
      <c r="N88" s="519"/>
      <c r="O88" s="597"/>
      <c r="P88" s="597"/>
      <c r="Q88" s="597"/>
      <c r="R88" s="597"/>
      <c r="S88" s="597"/>
      <c r="T88" s="597"/>
      <c r="U88" s="597"/>
      <c r="V88" s="597"/>
      <c r="W88" s="597"/>
    </row>
    <row r="89" spans="2:24" ht="13">
      <c r="C89" s="519" t="s">
        <v>952</v>
      </c>
      <c r="D89" s="519"/>
      <c r="E89" s="587">
        <v>0</v>
      </c>
      <c r="F89" s="587">
        <v>0</v>
      </c>
      <c r="G89" s="587">
        <v>0</v>
      </c>
      <c r="H89" s="587">
        <v>0</v>
      </c>
      <c r="I89" s="587">
        <v>0</v>
      </c>
      <c r="J89" s="587">
        <v>0</v>
      </c>
      <c r="K89" s="587">
        <v>0</v>
      </c>
      <c r="L89" s="587">
        <v>0</v>
      </c>
      <c r="M89" s="587">
        <v>0</v>
      </c>
      <c r="N89" s="519"/>
      <c r="O89" s="597"/>
      <c r="P89" s="597"/>
      <c r="Q89" s="597"/>
      <c r="R89" s="597"/>
      <c r="S89" s="597"/>
      <c r="T89" s="597"/>
      <c r="U89" s="597"/>
      <c r="V89" s="597"/>
      <c r="W89" s="597"/>
    </row>
    <row r="90" spans="2:24" ht="13">
      <c r="C90" s="519" t="s">
        <v>224</v>
      </c>
      <c r="D90" s="519"/>
      <c r="E90" s="520">
        <f>SUM(E86:E88)</f>
        <v>-1923132857.625</v>
      </c>
      <c r="F90" s="520">
        <f t="shared" ref="F90:M90" si="21">SUM(F86:F89)</f>
        <v>-2930169433.2749996</v>
      </c>
      <c r="G90" s="520">
        <f t="shared" si="21"/>
        <v>0</v>
      </c>
      <c r="H90" s="520">
        <f t="shared" si="21"/>
        <v>0</v>
      </c>
      <c r="I90" s="520">
        <f t="shared" si="21"/>
        <v>0</v>
      </c>
      <c r="J90" s="520">
        <f t="shared" si="21"/>
        <v>0</v>
      </c>
      <c r="K90" s="520">
        <f t="shared" si="21"/>
        <v>-4853302290.8999996</v>
      </c>
      <c r="L90" s="520">
        <f t="shared" si="21"/>
        <v>0</v>
      </c>
      <c r="M90" s="520">
        <f t="shared" si="21"/>
        <v>-4853302290.8999996</v>
      </c>
      <c r="N90" s="519"/>
    </row>
    <row r="91" spans="2:24" ht="13">
      <c r="C91" s="519" t="s">
        <v>953</v>
      </c>
      <c r="D91" s="519"/>
      <c r="E91" s="567">
        <f>'Consol SoFP 23 &amp; 22'!H82</f>
        <v>-1923132857.625</v>
      </c>
      <c r="F91" s="567">
        <f>'Consol SoFP 23 &amp; 22'!K82</f>
        <v>-2930169433.2750001</v>
      </c>
      <c r="G91" s="567">
        <v>0</v>
      </c>
      <c r="H91" s="567"/>
      <c r="I91" s="567">
        <v>0</v>
      </c>
      <c r="J91" s="567"/>
      <c r="K91" s="567">
        <f>'Consol SoFP 23 &amp; 22'!AB82</f>
        <v>-4853302290.8999996</v>
      </c>
      <c r="L91" s="567"/>
      <c r="M91" s="567">
        <f>K91</f>
        <v>-4853302290.8999996</v>
      </c>
      <c r="N91" s="519"/>
    </row>
    <row r="92" spans="2:24" ht="13">
      <c r="C92" s="588" t="s">
        <v>347</v>
      </c>
      <c r="D92" s="588"/>
      <c r="E92" s="520">
        <f t="shared" ref="E92:M92" si="22">E90-E91</f>
        <v>0</v>
      </c>
      <c r="F92" s="520">
        <f t="shared" si="22"/>
        <v>0</v>
      </c>
      <c r="G92" s="520">
        <f t="shared" si="22"/>
        <v>0</v>
      </c>
      <c r="H92" s="520">
        <f t="shared" si="22"/>
        <v>0</v>
      </c>
      <c r="I92" s="520">
        <f t="shared" si="22"/>
        <v>0</v>
      </c>
      <c r="J92" s="520">
        <f t="shared" si="22"/>
        <v>0</v>
      </c>
      <c r="K92" s="520">
        <f t="shared" si="22"/>
        <v>0</v>
      </c>
      <c r="L92" s="520">
        <f t="shared" si="22"/>
        <v>0</v>
      </c>
      <c r="M92" s="520">
        <f t="shared" si="22"/>
        <v>0</v>
      </c>
      <c r="N92" s="519"/>
    </row>
    <row r="93" spans="2:24">
      <c r="E93" s="590"/>
      <c r="F93" s="590"/>
    </row>
    <row r="94" spans="2:24" s="584" customFormat="1" ht="13">
      <c r="B94" s="583" t="s">
        <v>101</v>
      </c>
      <c r="I94" s="585"/>
    </row>
    <row r="95" spans="2:24" ht="13">
      <c r="B95" s="185"/>
    </row>
    <row r="96" spans="2:24" ht="13">
      <c r="C96" s="519"/>
      <c r="D96" s="519"/>
      <c r="E96" s="586" t="s">
        <v>640</v>
      </c>
      <c r="F96" s="586" t="s">
        <v>688</v>
      </c>
      <c r="G96" s="586" t="s">
        <v>740</v>
      </c>
      <c r="H96" s="586" t="s">
        <v>961</v>
      </c>
      <c r="I96" s="586" t="s">
        <v>609</v>
      </c>
      <c r="J96" s="586" t="s">
        <v>461</v>
      </c>
      <c r="K96" s="586" t="s">
        <v>11</v>
      </c>
      <c r="L96" s="586" t="s">
        <v>223</v>
      </c>
      <c r="M96" s="586" t="s">
        <v>926</v>
      </c>
      <c r="N96" s="519"/>
    </row>
    <row r="97" spans="3:24" ht="13">
      <c r="C97" s="519" t="s">
        <v>219</v>
      </c>
      <c r="D97" s="519"/>
      <c r="E97" s="520">
        <v>0</v>
      </c>
      <c r="F97" s="520">
        <f>'Capital Proforma Control'!D126</f>
        <v>-4673245190.136096</v>
      </c>
      <c r="G97" s="520">
        <f>'Capital Proforma Control'!D127</f>
        <v>132086846.88675007</v>
      </c>
      <c r="H97" s="520">
        <f>'Capital Proforma Control'!D128</f>
        <v>-7093092958.3222504</v>
      </c>
      <c r="I97" s="520">
        <f>'Capital Proforma Control'!D129</f>
        <v>9540531405.9421673</v>
      </c>
      <c r="J97" s="520">
        <v>0</v>
      </c>
      <c r="K97" s="520">
        <f>SUM(E97:J97)</f>
        <v>-2093719895.6294289</v>
      </c>
      <c r="L97" s="520">
        <v>0</v>
      </c>
      <c r="M97" s="520">
        <f>SUM(K97:L97)</f>
        <v>-2093719895.6294289</v>
      </c>
      <c r="N97" s="519"/>
      <c r="O97" s="597"/>
      <c r="P97" s="597"/>
      <c r="Q97" s="597"/>
      <c r="R97" s="597"/>
      <c r="S97" s="597"/>
      <c r="T97" s="597"/>
      <c r="U97" s="597"/>
      <c r="V97" s="597"/>
      <c r="W97" s="597"/>
      <c r="X97" s="597"/>
    </row>
    <row r="98" spans="3:24" ht="13">
      <c r="C98" s="519" t="s">
        <v>420</v>
      </c>
      <c r="D98" s="519"/>
      <c r="E98" s="520"/>
      <c r="F98" s="520">
        <f>'Capital Proforma Control'!F126</f>
        <v>-141887461.3348504</v>
      </c>
      <c r="G98" s="520"/>
      <c r="H98" s="520">
        <f>'Capital Proforma Control'!F128</f>
        <v>-903656250</v>
      </c>
      <c r="I98" s="520"/>
      <c r="J98" s="520"/>
      <c r="K98" s="520">
        <f t="shared" ref="K98:K102" si="23">SUM(E98:J98)</f>
        <v>-1045543711.3348504</v>
      </c>
      <c r="L98" s="520"/>
      <c r="M98" s="520">
        <f t="shared" ref="M98:M101" si="24">SUM(K98:L98)</f>
        <v>-1045543711.3348504</v>
      </c>
      <c r="N98" s="519"/>
      <c r="O98" s="597"/>
      <c r="P98" s="597"/>
      <c r="Q98" s="597"/>
      <c r="R98" s="597"/>
      <c r="S98" s="597"/>
      <c r="T98" s="597"/>
      <c r="U98" s="597"/>
      <c r="V98" s="597"/>
      <c r="W98" s="597"/>
      <c r="X98" s="597"/>
    </row>
    <row r="99" spans="3:24" ht="13">
      <c r="C99" s="519" t="s">
        <v>221</v>
      </c>
      <c r="D99" s="519"/>
      <c r="E99" s="520"/>
      <c r="F99" s="520">
        <f>'Capital Proforma Control'!H126</f>
        <v>19905540186.826546</v>
      </c>
      <c r="G99" s="520">
        <f>'Capital Proforma Control'!H127</f>
        <v>-1365663994.8900001</v>
      </c>
      <c r="H99" s="520">
        <f>'Capital Proforma Control'!H128</f>
        <v>-516867217.31999999</v>
      </c>
      <c r="I99" s="520">
        <f>'Capital Proforma Control'!H129</f>
        <v>40380952787.657722</v>
      </c>
      <c r="J99" s="520"/>
      <c r="K99" s="520">
        <f t="shared" si="23"/>
        <v>58403961762.274269</v>
      </c>
      <c r="L99" s="520"/>
      <c r="M99" s="520">
        <f t="shared" si="24"/>
        <v>58403961762.274269</v>
      </c>
      <c r="N99" s="519"/>
      <c r="O99" s="597"/>
      <c r="P99" s="597"/>
      <c r="Q99" s="597"/>
      <c r="R99" s="597"/>
      <c r="S99" s="597"/>
      <c r="T99" s="597"/>
      <c r="U99" s="597"/>
      <c r="V99" s="597"/>
      <c r="W99" s="597"/>
      <c r="X99" s="597"/>
    </row>
    <row r="100" spans="3:24" ht="13">
      <c r="C100" s="519" t="s">
        <v>419</v>
      </c>
      <c r="D100" s="519"/>
      <c r="E100" s="521">
        <v>0</v>
      </c>
      <c r="F100" s="521">
        <f>'Capital Proforma Control'!J126</f>
        <v>-27756416.058525</v>
      </c>
      <c r="G100" s="521"/>
      <c r="H100" s="521">
        <v>0</v>
      </c>
      <c r="I100" s="521">
        <v>0</v>
      </c>
      <c r="J100" s="521">
        <v>0</v>
      </c>
      <c r="K100" s="520">
        <f t="shared" si="23"/>
        <v>-27756416.058525</v>
      </c>
      <c r="L100" s="521">
        <v>0</v>
      </c>
      <c r="M100" s="520">
        <f t="shared" si="24"/>
        <v>-27756416.058525</v>
      </c>
      <c r="N100" s="519"/>
      <c r="O100" s="597"/>
      <c r="P100" s="597"/>
      <c r="Q100" s="597"/>
      <c r="R100" s="597"/>
      <c r="S100" s="597"/>
      <c r="T100" s="597"/>
      <c r="U100" s="597"/>
      <c r="V100" s="597"/>
      <c r="W100" s="597"/>
    </row>
    <row r="101" spans="3:24" ht="13">
      <c r="C101" s="519" t="s">
        <v>209</v>
      </c>
      <c r="D101" s="519"/>
      <c r="E101" s="521">
        <v>0</v>
      </c>
      <c r="F101" s="521">
        <f>'Capital Proforma Control'!L126</f>
        <v>-231177233.115675</v>
      </c>
      <c r="G101" s="521">
        <v>0</v>
      </c>
      <c r="H101" s="521">
        <v>0</v>
      </c>
      <c r="I101" s="521">
        <v>0</v>
      </c>
      <c r="J101" s="521">
        <v>0</v>
      </c>
      <c r="K101" s="521">
        <f t="shared" si="23"/>
        <v>-231177233.115675</v>
      </c>
      <c r="L101" s="521">
        <v>0</v>
      </c>
      <c r="M101" s="520">
        <f t="shared" si="24"/>
        <v>-231177233.115675</v>
      </c>
      <c r="N101" s="519"/>
      <c r="O101" s="597"/>
      <c r="P101" s="597"/>
      <c r="Q101" s="597"/>
      <c r="R101" s="597"/>
      <c r="S101" s="597"/>
      <c r="T101" s="597"/>
      <c r="U101" s="597"/>
      <c r="V101" s="597"/>
      <c r="W101" s="597"/>
    </row>
    <row r="102" spans="3:24" ht="13">
      <c r="C102" s="519"/>
      <c r="D102" s="519"/>
      <c r="E102" s="587">
        <v>0</v>
      </c>
      <c r="F102" s="587">
        <v>0</v>
      </c>
      <c r="G102" s="587">
        <v>0</v>
      </c>
      <c r="H102" s="587">
        <v>0</v>
      </c>
      <c r="I102" s="587">
        <v>0</v>
      </c>
      <c r="J102" s="587">
        <v>0</v>
      </c>
      <c r="K102" s="587">
        <f t="shared" si="23"/>
        <v>0</v>
      </c>
      <c r="L102" s="587">
        <v>0</v>
      </c>
      <c r="M102" s="587">
        <v>0</v>
      </c>
      <c r="N102" s="519"/>
      <c r="O102" s="597"/>
      <c r="P102" s="597"/>
      <c r="Q102" s="597"/>
      <c r="R102" s="597"/>
      <c r="S102" s="597"/>
      <c r="T102" s="597"/>
      <c r="U102" s="597"/>
      <c r="V102" s="597"/>
      <c r="W102" s="597"/>
    </row>
    <row r="103" spans="3:24" ht="13">
      <c r="C103" s="519" t="s">
        <v>224</v>
      </c>
      <c r="D103" s="519"/>
      <c r="E103" s="520">
        <f>SUM(E97:E101)</f>
        <v>0</v>
      </c>
      <c r="F103" s="520">
        <f t="shared" ref="F103:M103" si="25">SUM(F97:F102)</f>
        <v>14831473886.181398</v>
      </c>
      <c r="G103" s="520">
        <f t="shared" si="25"/>
        <v>-1233577148.0032501</v>
      </c>
      <c r="H103" s="520">
        <f t="shared" si="25"/>
        <v>-8513616425.6422501</v>
      </c>
      <c r="I103" s="520">
        <f t="shared" si="25"/>
        <v>49921484193.599892</v>
      </c>
      <c r="J103" s="520">
        <f t="shared" si="25"/>
        <v>0</v>
      </c>
      <c r="K103" s="520">
        <f t="shared" si="25"/>
        <v>55005764506.135788</v>
      </c>
      <c r="L103" s="520">
        <f t="shared" si="25"/>
        <v>0</v>
      </c>
      <c r="M103" s="520">
        <f t="shared" si="25"/>
        <v>55005764506.135788</v>
      </c>
      <c r="N103" s="519"/>
    </row>
    <row r="104" spans="3:24" ht="13">
      <c r="C104" s="519" t="s">
        <v>953</v>
      </c>
      <c r="D104" s="519"/>
      <c r="E104" s="567"/>
      <c r="F104" s="567"/>
      <c r="G104" s="567"/>
      <c r="H104" s="567"/>
      <c r="I104" s="567"/>
      <c r="J104" s="567"/>
      <c r="K104" s="567">
        <f>-'SoCE Consol '!L52</f>
        <v>55005764506.30999</v>
      </c>
      <c r="L104" s="567"/>
      <c r="M104" s="567">
        <f>K104</f>
        <v>55005764506.30999</v>
      </c>
      <c r="N104" s="519"/>
    </row>
    <row r="105" spans="3:24" ht="13">
      <c r="C105" s="588" t="s">
        <v>347</v>
      </c>
      <c r="D105" s="588"/>
      <c r="E105" s="520"/>
      <c r="F105" s="520"/>
      <c r="G105" s="520"/>
      <c r="H105" s="520"/>
      <c r="I105" s="520"/>
      <c r="J105" s="520"/>
      <c r="K105" s="520">
        <f t="shared" ref="K105:M105" si="26">K103-K104</f>
        <v>-0.17420196533203125</v>
      </c>
      <c r="L105" s="520">
        <f t="shared" si="26"/>
        <v>0</v>
      </c>
      <c r="M105" s="520">
        <f t="shared" si="26"/>
        <v>-0.17420196533203125</v>
      </c>
      <c r="N105" s="519"/>
    </row>
    <row r="106" spans="3:24">
      <c r="E106" s="590"/>
      <c r="F106" s="59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D6E4-2E42-4493-9AF8-7F9ED3693F0F}">
  <dimension ref="A1:W172"/>
  <sheetViews>
    <sheetView workbookViewId="0">
      <pane xSplit="2" ySplit="8" topLeftCell="C113" activePane="bottomRight" state="frozen"/>
      <selection pane="topRight" activeCell="C1" sqref="C1"/>
      <selection pane="bottomLeft" activeCell="A9" sqref="A9"/>
      <selection pane="bottomRight" activeCell="D139" sqref="D139"/>
    </sheetView>
  </sheetViews>
  <sheetFormatPr defaultColWidth="8.7265625" defaultRowHeight="11.5" outlineLevelRow="1" outlineLevelCol="1"/>
  <cols>
    <col min="1" max="1" width="11.7265625" style="287" customWidth="1"/>
    <col min="2" max="2" width="65.453125" style="287" customWidth="1"/>
    <col min="3" max="3" width="8.453125" style="287" bestFit="1" customWidth="1"/>
    <col min="4" max="5" width="16.81640625" style="287" customWidth="1"/>
    <col min="6" max="9" width="16.81640625" style="287" customWidth="1" outlineLevel="1"/>
    <col min="10" max="10" width="2" style="287" customWidth="1"/>
    <col min="11" max="11" width="16" style="287" bestFit="1" customWidth="1"/>
    <col min="12" max="12" width="21.453125" style="287" customWidth="1"/>
    <col min="13" max="14" width="18.1796875" style="287" bestFit="1" customWidth="1"/>
    <col min="15" max="15" width="15.1796875" style="287" bestFit="1" customWidth="1"/>
    <col min="16" max="16" width="16.453125" style="287" bestFit="1" customWidth="1"/>
    <col min="17" max="17" width="1.26953125" style="287" customWidth="1"/>
    <col min="18" max="19" width="15.1796875" style="287" bestFit="1" customWidth="1"/>
    <col min="20" max="20" width="13.1796875" style="287" bestFit="1" customWidth="1"/>
    <col min="21" max="21" width="11.54296875" style="287" bestFit="1" customWidth="1"/>
    <col min="22" max="22" width="1.26953125" style="287" customWidth="1"/>
    <col min="23" max="23" width="14.1796875" style="287" bestFit="1" customWidth="1"/>
    <col min="24" max="16384" width="8.7265625" style="287"/>
  </cols>
  <sheetData>
    <row r="1" spans="1:23">
      <c r="A1" s="284" t="s">
        <v>542</v>
      </c>
      <c r="B1" s="285"/>
      <c r="C1" s="286"/>
      <c r="D1" s="285"/>
      <c r="E1" s="285"/>
      <c r="F1" s="285"/>
      <c r="G1" s="285"/>
      <c r="H1" s="285"/>
      <c r="I1" s="285"/>
    </row>
    <row r="2" spans="1:23">
      <c r="A2" s="284" t="s">
        <v>346</v>
      </c>
      <c r="B2" s="285"/>
      <c r="C2" s="288"/>
      <c r="D2" s="285"/>
      <c r="E2" s="285"/>
      <c r="F2" s="285"/>
      <c r="G2" s="285"/>
      <c r="H2" s="285"/>
      <c r="I2" s="285"/>
    </row>
    <row r="3" spans="1:23">
      <c r="A3" s="289"/>
      <c r="B3" s="285"/>
      <c r="C3" s="290"/>
      <c r="D3" s="291">
        <f>D42+E94</f>
        <v>-1221528398.0032501</v>
      </c>
      <c r="E3" s="507">
        <f>D3/51%</f>
        <v>-2395153721.5750003</v>
      </c>
      <c r="F3" s="285"/>
      <c r="G3" s="285"/>
      <c r="H3" s="285"/>
      <c r="I3" s="285"/>
    </row>
    <row r="4" spans="1:23">
      <c r="A4" s="289"/>
      <c r="B4" s="285"/>
      <c r="C4" s="290"/>
      <c r="D4" s="285"/>
      <c r="E4" s="291"/>
      <c r="F4" s="507"/>
      <c r="G4" s="285"/>
      <c r="H4" s="285"/>
      <c r="I4" s="285"/>
    </row>
    <row r="5" spans="1:23">
      <c r="A5" s="289"/>
      <c r="B5" s="285"/>
      <c r="C5" s="290"/>
      <c r="D5" s="285"/>
      <c r="E5" s="285"/>
      <c r="F5" s="285"/>
      <c r="G5" s="285"/>
      <c r="H5" s="285"/>
      <c r="I5" s="285"/>
    </row>
    <row r="6" spans="1:23">
      <c r="B6" s="292" t="s">
        <v>347</v>
      </c>
      <c r="C6" s="293">
        <v>0</v>
      </c>
      <c r="D6" s="294">
        <f t="shared" ref="D6:I6" si="0">D144</f>
        <v>186608192247.93176</v>
      </c>
      <c r="E6" s="294">
        <f t="shared" si="0"/>
        <v>-186608192247.93176</v>
      </c>
      <c r="F6" s="294">
        <f t="shared" si="0"/>
        <v>186608192247.93176</v>
      </c>
      <c r="G6" s="294">
        <f t="shared" si="0"/>
        <v>-186608192247.93176</v>
      </c>
      <c r="H6" s="294">
        <f t="shared" si="0"/>
        <v>0</v>
      </c>
      <c r="I6" s="294">
        <f t="shared" si="0"/>
        <v>0</v>
      </c>
    </row>
    <row r="7" spans="1:23" ht="15" customHeight="1">
      <c r="A7" s="666" t="s">
        <v>231</v>
      </c>
      <c r="B7" s="668" t="s">
        <v>4</v>
      </c>
      <c r="C7" s="668" t="s">
        <v>348</v>
      </c>
      <c r="D7" s="666" t="s">
        <v>349</v>
      </c>
      <c r="E7" s="667"/>
      <c r="F7" s="666" t="s">
        <v>350</v>
      </c>
      <c r="G7" s="667"/>
      <c r="H7" s="666" t="s">
        <v>351</v>
      </c>
      <c r="I7" s="667"/>
      <c r="J7" s="296"/>
    </row>
    <row r="8" spans="1:23">
      <c r="A8" s="666"/>
      <c r="B8" s="668"/>
      <c r="C8" s="668"/>
      <c r="D8" s="295" t="s">
        <v>235</v>
      </c>
      <c r="E8" s="295" t="s">
        <v>236</v>
      </c>
      <c r="F8" s="295" t="s">
        <v>235</v>
      </c>
      <c r="G8" s="295" t="s">
        <v>236</v>
      </c>
      <c r="H8" s="295" t="s">
        <v>235</v>
      </c>
      <c r="I8" s="295" t="s">
        <v>236</v>
      </c>
      <c r="J8" s="296"/>
      <c r="L8" s="287" t="s">
        <v>352</v>
      </c>
      <c r="M8" s="287">
        <v>2023</v>
      </c>
      <c r="O8" s="287" t="s">
        <v>353</v>
      </c>
      <c r="P8" s="287" t="s">
        <v>101</v>
      </c>
      <c r="R8" s="287" t="s">
        <v>354</v>
      </c>
      <c r="S8" s="287" t="s">
        <v>221</v>
      </c>
      <c r="T8" s="287" t="s">
        <v>355</v>
      </c>
      <c r="U8" s="287" t="s">
        <v>356</v>
      </c>
      <c r="W8" s="287" t="s">
        <v>357</v>
      </c>
    </row>
    <row r="9" spans="1:23" ht="12.75" customHeight="1">
      <c r="A9" s="297"/>
      <c r="B9" s="298"/>
      <c r="C9" s="299"/>
      <c r="D9" s="300"/>
      <c r="E9" s="300"/>
      <c r="F9" s="300"/>
      <c r="G9" s="300"/>
      <c r="H9" s="300"/>
      <c r="I9" s="300"/>
      <c r="L9" s="287" t="s">
        <v>688</v>
      </c>
      <c r="M9" s="301">
        <v>3.3000000000000002E-2</v>
      </c>
      <c r="O9" s="302">
        <f>SUM(D13,D17,E23,E27,D30,D34)</f>
        <v>4673245190.1360941</v>
      </c>
      <c r="P9" s="302">
        <f>-O9</f>
        <v>-4673245190.1360941</v>
      </c>
      <c r="R9" s="302">
        <f>E14+D21+E22+E18</f>
        <v>-17116812545.956202</v>
      </c>
      <c r="S9" s="302">
        <f>F26</f>
        <v>12608457897.355648</v>
      </c>
      <c r="T9" s="302">
        <f>E35</f>
        <v>-57332943.687842295</v>
      </c>
      <c r="U9" s="302">
        <f>E31</f>
        <v>-107557597.84770001</v>
      </c>
      <c r="W9" s="302">
        <f>P9-SUM(R9:U9)</f>
        <v>0</v>
      </c>
    </row>
    <row r="10" spans="1:23" ht="12.75" customHeight="1">
      <c r="A10" s="303" t="s">
        <v>358</v>
      </c>
      <c r="B10" s="304"/>
      <c r="C10" s="304"/>
      <c r="D10" s="305"/>
      <c r="E10" s="305"/>
      <c r="F10" s="305"/>
      <c r="G10" s="305"/>
      <c r="H10" s="305"/>
      <c r="I10" s="305"/>
      <c r="J10" s="306"/>
      <c r="L10" s="287" t="s">
        <v>740</v>
      </c>
      <c r="M10" s="307">
        <f>'NCI Detail &amp; Movement'!F11</f>
        <v>0.51</v>
      </c>
      <c r="O10" s="302">
        <f>F38+E43</f>
        <v>-132086846.88675007</v>
      </c>
      <c r="P10" s="302">
        <f>-O10</f>
        <v>132086846.88675007</v>
      </c>
      <c r="R10" s="302">
        <f>E39</f>
        <v>-12048750</v>
      </c>
      <c r="S10" s="302">
        <f>D42</f>
        <v>144135596.88675007</v>
      </c>
      <c r="W10" s="302">
        <f>P10-SUM(R10:U10)</f>
        <v>0</v>
      </c>
    </row>
    <row r="11" spans="1:23" ht="12.75" customHeight="1">
      <c r="A11" s="308"/>
      <c r="B11" s="309" t="s">
        <v>577</v>
      </c>
      <c r="C11" s="310"/>
      <c r="D11" s="311"/>
      <c r="E11" s="311"/>
      <c r="F11" s="312"/>
      <c r="G11" s="311"/>
      <c r="H11" s="311"/>
      <c r="I11" s="311"/>
      <c r="L11" s="287" t="s">
        <v>465</v>
      </c>
      <c r="M11" s="307">
        <v>0.51</v>
      </c>
      <c r="O11" s="302">
        <f>F46+F50+F54+F58</f>
        <v>7093092958.3222504</v>
      </c>
      <c r="P11" s="302">
        <f>-O11</f>
        <v>-7093092958.3222504</v>
      </c>
      <c r="R11" s="302">
        <f>E47+E51+E55</f>
        <v>-7386115482.0022507</v>
      </c>
      <c r="S11" s="302">
        <f>E59</f>
        <v>293022523.68000001</v>
      </c>
      <c r="W11" s="302">
        <f>P11-SUM(R11:U11)</f>
        <v>0</v>
      </c>
    </row>
    <row r="12" spans="1:23" ht="12.75" customHeight="1">
      <c r="A12" s="313"/>
      <c r="B12" s="314" t="s">
        <v>691</v>
      </c>
      <c r="C12" s="310"/>
      <c r="D12" s="311"/>
      <c r="E12" s="311"/>
      <c r="F12" s="315">
        <f>IF(C12="BS",D12,0)</f>
        <v>0</v>
      </c>
      <c r="G12" s="300">
        <f>IF(C12="BS",E12,0)</f>
        <v>0</v>
      </c>
      <c r="H12" s="311">
        <f>IF(C12="PL",D12,0)</f>
        <v>0</v>
      </c>
      <c r="I12" s="311">
        <f>IF(C12="PL",E12,0)</f>
        <v>0</v>
      </c>
      <c r="L12" s="287" t="s">
        <v>611</v>
      </c>
      <c r="M12" s="307">
        <f>'NCI Detail &amp; Movement'!J11</f>
        <v>0.51</v>
      </c>
      <c r="O12" s="302">
        <f>SUM(D62,D67,E72)</f>
        <v>-9540531405.9421673</v>
      </c>
      <c r="P12" s="302">
        <f>SUM(E63,E68,D71)</f>
        <v>9540531405.9421673</v>
      </c>
      <c r="R12" s="302">
        <f>E68+E63</f>
        <v>-10563847886.280001</v>
      </c>
      <c r="S12" s="302">
        <f>D71</f>
        <v>20104379292.222168</v>
      </c>
    </row>
    <row r="13" spans="1:23" ht="12.75" customHeight="1">
      <c r="A13" s="313" t="s">
        <v>692</v>
      </c>
      <c r="B13" s="316" t="s">
        <v>359</v>
      </c>
      <c r="C13" s="310"/>
      <c r="D13" s="311">
        <f>-'Consol SoFP 23 &amp; 22'!AM93*M9</f>
        <v>7170348754.8000002</v>
      </c>
      <c r="E13" s="311"/>
      <c r="F13" s="315">
        <f>D13</f>
        <v>7170348754.8000002</v>
      </c>
      <c r="G13" s="317">
        <f>IF(C13="BS",E13,0)</f>
        <v>0</v>
      </c>
      <c r="H13" s="311">
        <f>IF(C13="PL",D13,0)</f>
        <v>0</v>
      </c>
      <c r="I13" s="311">
        <f>IF(C13="PL",E13,0)</f>
        <v>0</v>
      </c>
      <c r="M13" s="307"/>
      <c r="O13" s="302"/>
      <c r="P13" s="302"/>
      <c r="R13" s="302"/>
      <c r="S13" s="302"/>
      <c r="W13" s="302"/>
    </row>
    <row r="14" spans="1:23" ht="12.75" customHeight="1">
      <c r="A14" s="313" t="s">
        <v>692</v>
      </c>
      <c r="B14" s="316" t="s">
        <v>691</v>
      </c>
      <c r="C14" s="318"/>
      <c r="D14" s="317"/>
      <c r="E14" s="317">
        <f>-D13</f>
        <v>-7170348754.8000002</v>
      </c>
      <c r="F14" s="315"/>
      <c r="G14" s="317">
        <f>E14</f>
        <v>-7170348754.8000002</v>
      </c>
      <c r="H14" s="317"/>
      <c r="I14" s="317"/>
    </row>
    <row r="15" spans="1:23" ht="12.75" customHeight="1">
      <c r="A15" s="313"/>
      <c r="B15" s="316"/>
      <c r="C15" s="318"/>
      <c r="D15" s="317"/>
      <c r="E15" s="317"/>
      <c r="F15" s="315"/>
      <c r="G15" s="317"/>
      <c r="H15" s="317"/>
      <c r="I15" s="317"/>
      <c r="L15" s="287" t="s">
        <v>475</v>
      </c>
      <c r="O15" s="302">
        <f>SUM(O9:O13)</f>
        <v>2093719895.629427</v>
      </c>
      <c r="P15" s="302">
        <f>SUM(P9:P13)</f>
        <v>-2093719895.629427</v>
      </c>
      <c r="R15" s="302">
        <f>SUM(R9:R13)</f>
        <v>-35078824664.238449</v>
      </c>
      <c r="S15" s="302">
        <f>SUM(S9:S13)</f>
        <v>33149995310.144566</v>
      </c>
      <c r="T15" s="302">
        <f>SUM(T9:T13)</f>
        <v>-57332943.687842295</v>
      </c>
      <c r="U15" s="302">
        <f>SUM(U9:U13)</f>
        <v>-107557597.84770001</v>
      </c>
    </row>
    <row r="16" spans="1:23" ht="12.75" customHeight="1">
      <c r="A16" s="313"/>
      <c r="B16" s="314" t="s">
        <v>691</v>
      </c>
      <c r="C16" s="310"/>
      <c r="D16" s="311"/>
      <c r="E16" s="311"/>
      <c r="F16" s="315">
        <f>IF(C16="BS",D16,0)</f>
        <v>0</v>
      </c>
      <c r="G16" s="300">
        <f>IF(C16="BS",E16,0)</f>
        <v>0</v>
      </c>
      <c r="H16" s="311">
        <f>IF(C16="PL",D16,0)</f>
        <v>0</v>
      </c>
      <c r="I16" s="311">
        <f>IF(C16="PL",E16,0)</f>
        <v>0</v>
      </c>
    </row>
    <row r="17" spans="1:23" ht="12.75" customHeight="1">
      <c r="A17" s="313" t="s">
        <v>693</v>
      </c>
      <c r="B17" s="316" t="s">
        <v>359</v>
      </c>
      <c r="C17" s="310"/>
      <c r="D17" s="311">
        <f>-'Capital Proforma Control'!D20*3.3%</f>
        <v>14192720189.49015</v>
      </c>
      <c r="E17" s="311"/>
      <c r="F17" s="315">
        <f>D17</f>
        <v>14192720189.49015</v>
      </c>
      <c r="G17" s="317">
        <f>IF(C17="BS",E17,0)</f>
        <v>0</v>
      </c>
      <c r="H17" s="311">
        <f>IF(C17="PL",D17,0)</f>
        <v>0</v>
      </c>
      <c r="I17" s="311">
        <f>IF(C17="PL",E17,0)</f>
        <v>0</v>
      </c>
    </row>
    <row r="18" spans="1:23" ht="12.75" customHeight="1">
      <c r="A18" s="313" t="s">
        <v>693</v>
      </c>
      <c r="B18" s="316" t="s">
        <v>694</v>
      </c>
      <c r="C18" s="318"/>
      <c r="D18" s="317"/>
      <c r="E18" s="317">
        <f>-D17</f>
        <v>-14192720189.49015</v>
      </c>
      <c r="F18" s="315"/>
      <c r="G18" s="317">
        <f>E18</f>
        <v>-14192720189.49015</v>
      </c>
      <c r="H18" s="317"/>
      <c r="I18" s="317"/>
    </row>
    <row r="19" spans="1:23" ht="12.75" customHeight="1">
      <c r="A19" s="313"/>
      <c r="B19" s="316"/>
      <c r="C19" s="318"/>
      <c r="D19" s="317"/>
      <c r="E19" s="317"/>
      <c r="F19" s="315"/>
      <c r="G19" s="317"/>
      <c r="H19" s="317"/>
      <c r="I19" s="317"/>
    </row>
    <row r="20" spans="1:23" ht="12.75" customHeight="1">
      <c r="A20" s="313"/>
      <c r="B20" s="314" t="s">
        <v>695</v>
      </c>
      <c r="C20" s="318"/>
      <c r="D20" s="317"/>
      <c r="E20" s="317"/>
      <c r="F20" s="315"/>
      <c r="G20" s="317"/>
      <c r="H20" s="317"/>
      <c r="I20" s="317"/>
      <c r="W20" s="302">
        <f>P15-SUM(R15:U15)</f>
        <v>0</v>
      </c>
    </row>
    <row r="21" spans="1:23" ht="12.75" customHeight="1">
      <c r="A21" s="313" t="s">
        <v>693</v>
      </c>
      <c r="B21" s="316" t="s">
        <v>696</v>
      </c>
      <c r="C21" s="318"/>
      <c r="D21" s="317">
        <f>'Consol SoFP 23 &amp; 22'!AM101*M9</f>
        <v>4288734141.7189498</v>
      </c>
      <c r="E21" s="317"/>
      <c r="F21" s="315">
        <f>D21</f>
        <v>4288734141.7189498</v>
      </c>
      <c r="G21" s="317"/>
      <c r="H21" s="317"/>
      <c r="I21" s="317"/>
    </row>
    <row r="22" spans="1:23" ht="12.75" customHeight="1">
      <c r="A22" s="313" t="s">
        <v>693</v>
      </c>
      <c r="B22" s="316" t="s">
        <v>697</v>
      </c>
      <c r="C22" s="318"/>
      <c r="D22" s="317"/>
      <c r="E22" s="317">
        <f>'Consol SoFP 23 &amp; 22'!AM97*M9</f>
        <v>-42477743.385000005</v>
      </c>
      <c r="F22" s="315"/>
      <c r="G22" s="317">
        <f>E22</f>
        <v>-42477743.385000005</v>
      </c>
      <c r="H22" s="317"/>
      <c r="I22" s="317"/>
    </row>
    <row r="23" spans="1:23" ht="12.75" customHeight="1">
      <c r="A23" s="313" t="s">
        <v>693</v>
      </c>
      <c r="B23" s="316" t="s">
        <v>698</v>
      </c>
      <c r="C23" s="318"/>
      <c r="D23" s="317"/>
      <c r="E23" s="317">
        <f>-SUM(D21:E22)</f>
        <v>-4246256398.3339496</v>
      </c>
      <c r="F23" s="315"/>
      <c r="G23" s="317">
        <f>E23</f>
        <v>-4246256398.3339496</v>
      </c>
      <c r="H23" s="317"/>
      <c r="I23" s="317"/>
      <c r="K23" s="319"/>
    </row>
    <row r="24" spans="1:23" ht="12.75" customHeight="1">
      <c r="A24" s="313"/>
      <c r="B24" s="316"/>
      <c r="C24" s="318"/>
      <c r="D24" s="317"/>
      <c r="E24" s="317"/>
      <c r="F24" s="315"/>
      <c r="G24" s="317"/>
      <c r="H24" s="317"/>
      <c r="I24" s="317"/>
    </row>
    <row r="25" spans="1:23" ht="12" customHeight="1">
      <c r="A25" s="313"/>
      <c r="B25" s="314" t="s">
        <v>699</v>
      </c>
      <c r="C25" s="318"/>
      <c r="D25" s="317"/>
      <c r="E25" s="317"/>
      <c r="F25" s="315"/>
      <c r="G25" s="317"/>
      <c r="H25" s="317"/>
      <c r="I25" s="317"/>
    </row>
    <row r="26" spans="1:23" ht="12" customHeight="1">
      <c r="A26" s="313" t="s">
        <v>700</v>
      </c>
      <c r="B26" s="316" t="s">
        <v>701</v>
      </c>
      <c r="C26" s="318"/>
      <c r="D26" s="317">
        <f>'Consol SoFP 23 &amp; 22'!AM102*3.3%</f>
        <v>12608457897.355648</v>
      </c>
      <c r="E26" s="317"/>
      <c r="F26" s="315">
        <f>D26</f>
        <v>12608457897.355648</v>
      </c>
      <c r="G26" s="317"/>
      <c r="H26" s="317"/>
      <c r="I26" s="317"/>
    </row>
    <row r="27" spans="1:23" ht="12" customHeight="1">
      <c r="A27" s="313" t="s">
        <v>700</v>
      </c>
      <c r="B27" s="316" t="s">
        <v>698</v>
      </c>
      <c r="C27" s="318"/>
      <c r="D27" s="317"/>
      <c r="E27" s="317">
        <f>-D26</f>
        <v>-12608457897.355648</v>
      </c>
      <c r="F27" s="315"/>
      <c r="G27" s="317">
        <f>E27</f>
        <v>-12608457897.355648</v>
      </c>
      <c r="H27" s="317"/>
      <c r="I27" s="317"/>
    </row>
    <row r="28" spans="1:23" ht="12" customHeight="1">
      <c r="A28" s="313"/>
      <c r="B28" s="316"/>
      <c r="C28" s="318"/>
      <c r="D28" s="317"/>
      <c r="E28" s="317"/>
      <c r="F28" s="315"/>
      <c r="G28" s="317"/>
      <c r="H28" s="317"/>
      <c r="I28" s="317"/>
    </row>
    <row r="29" spans="1:23" ht="12" customHeight="1">
      <c r="A29" s="313"/>
      <c r="B29" s="314" t="s">
        <v>360</v>
      </c>
      <c r="C29" s="318"/>
      <c r="D29" s="317"/>
      <c r="E29" s="317"/>
      <c r="F29" s="315"/>
      <c r="G29" s="317"/>
      <c r="H29" s="317"/>
      <c r="I29" s="317"/>
    </row>
    <row r="30" spans="1:23" ht="12" customHeight="1">
      <c r="A30" s="313" t="s">
        <v>702</v>
      </c>
      <c r="B30" s="316" t="s">
        <v>698</v>
      </c>
      <c r="C30" s="318"/>
      <c r="D30" s="317">
        <f>-E31</f>
        <v>107557597.84770001</v>
      </c>
      <c r="E30" s="317"/>
      <c r="F30" s="315">
        <f>D30</f>
        <v>107557597.84770001</v>
      </c>
      <c r="G30" s="317"/>
      <c r="H30" s="317"/>
      <c r="I30" s="317"/>
    </row>
    <row r="31" spans="1:23" ht="12" customHeight="1">
      <c r="A31" s="313" t="s">
        <v>702</v>
      </c>
      <c r="B31" s="316" t="s">
        <v>361</v>
      </c>
      <c r="C31" s="318"/>
      <c r="D31" s="317"/>
      <c r="E31" s="317">
        <f>'Consol SoFP 23 &amp; 22'!AM98*3.3%</f>
        <v>-107557597.84770001</v>
      </c>
      <c r="F31" s="315"/>
      <c r="G31" s="317">
        <f>E31</f>
        <v>-107557597.84770001</v>
      </c>
      <c r="H31" s="317"/>
      <c r="I31" s="317"/>
    </row>
    <row r="32" spans="1:23" ht="12.75" customHeight="1">
      <c r="A32" s="313"/>
      <c r="B32" s="316"/>
      <c r="C32" s="318"/>
      <c r="D32" s="317"/>
      <c r="E32" s="317"/>
      <c r="F32" s="315"/>
      <c r="G32" s="317"/>
      <c r="H32" s="317"/>
      <c r="I32" s="317"/>
    </row>
    <row r="33" spans="1:11" ht="12" customHeight="1">
      <c r="A33" s="313"/>
      <c r="B33" s="314" t="s">
        <v>362</v>
      </c>
      <c r="C33" s="318"/>
      <c r="D33" s="317"/>
      <c r="E33" s="317"/>
      <c r="F33" s="315"/>
      <c r="G33" s="317"/>
      <c r="H33" s="317"/>
      <c r="I33" s="317"/>
    </row>
    <row r="34" spans="1:11" ht="12" customHeight="1">
      <c r="A34" s="313" t="s">
        <v>703</v>
      </c>
      <c r="B34" s="316" t="s">
        <v>698</v>
      </c>
      <c r="C34" s="318"/>
      <c r="D34" s="317">
        <f>-E35</f>
        <v>57332943.687842295</v>
      </c>
      <c r="E34" s="317"/>
      <c r="F34" s="315">
        <f>D34</f>
        <v>57332943.687842295</v>
      </c>
      <c r="G34" s="317"/>
      <c r="H34" s="317"/>
      <c r="I34" s="317"/>
    </row>
    <row r="35" spans="1:11" ht="12" customHeight="1">
      <c r="A35" s="313" t="s">
        <v>703</v>
      </c>
      <c r="B35" s="316" t="s">
        <v>222</v>
      </c>
      <c r="C35" s="318"/>
      <c r="D35" s="317"/>
      <c r="E35" s="317">
        <f>'Consol SoFP 23 &amp; 22'!AM105*3.3%</f>
        <v>-57332943.687842295</v>
      </c>
      <c r="F35" s="315"/>
      <c r="G35" s="317">
        <f>E35</f>
        <v>-57332943.687842295</v>
      </c>
      <c r="H35" s="317"/>
      <c r="I35" s="317"/>
    </row>
    <row r="36" spans="1:11" ht="12" customHeight="1">
      <c r="A36" s="313"/>
      <c r="B36" s="316"/>
      <c r="C36" s="318"/>
      <c r="D36" s="317"/>
      <c r="E36" s="317"/>
      <c r="F36" s="315"/>
      <c r="G36" s="317"/>
      <c r="H36" s="317"/>
      <c r="I36" s="317"/>
    </row>
    <row r="37" spans="1:11" ht="12.75" customHeight="1">
      <c r="A37" s="313"/>
      <c r="B37" s="314" t="s">
        <v>742</v>
      </c>
      <c r="C37" s="310"/>
      <c r="D37" s="311"/>
      <c r="E37" s="311"/>
      <c r="F37" s="315">
        <f>IF(C37="BS",D37,0)</f>
        <v>0</v>
      </c>
      <c r="G37" s="300">
        <f>IF(C37="BS",E37,0)</f>
        <v>0</v>
      </c>
      <c r="H37" s="311">
        <f>IF(C37="PL",D37,0)</f>
        <v>0</v>
      </c>
      <c r="I37" s="311">
        <f>IF(C37="PL",E37,0)</f>
        <v>0</v>
      </c>
    </row>
    <row r="38" spans="1:11" ht="12.75" customHeight="1">
      <c r="A38" s="313" t="s">
        <v>743</v>
      </c>
      <c r="B38" s="316" t="s">
        <v>359</v>
      </c>
      <c r="C38" s="310"/>
      <c r="D38" s="311">
        <f>-'Consol SoFP 23 &amp; 22'!AP93*M10</f>
        <v>12048750</v>
      </c>
      <c r="E38" s="311"/>
      <c r="F38" s="315">
        <f>D38</f>
        <v>12048750</v>
      </c>
      <c r="G38" s="317">
        <f>IF(C38="BS",E38,0)</f>
        <v>0</v>
      </c>
      <c r="H38" s="311">
        <f>IF(C38="PL",D38,0)</f>
        <v>0</v>
      </c>
      <c r="I38" s="311">
        <f>IF(C38="PL",E38,0)</f>
        <v>0</v>
      </c>
    </row>
    <row r="39" spans="1:11" ht="12.75" customHeight="1">
      <c r="A39" s="313" t="s">
        <v>743</v>
      </c>
      <c r="B39" s="316" t="s">
        <v>742</v>
      </c>
      <c r="C39" s="318"/>
      <c r="D39" s="317"/>
      <c r="E39" s="317">
        <f>-D38</f>
        <v>-12048750</v>
      </c>
      <c r="F39" s="315"/>
      <c r="G39" s="317">
        <f>E39</f>
        <v>-12048750</v>
      </c>
      <c r="H39" s="317"/>
      <c r="I39" s="317"/>
    </row>
    <row r="40" spans="1:11" ht="12.75" customHeight="1">
      <c r="A40" s="313"/>
      <c r="B40" s="316"/>
      <c r="C40" s="318"/>
      <c r="D40" s="317"/>
      <c r="E40" s="317"/>
      <c r="F40" s="315"/>
      <c r="G40" s="317"/>
      <c r="H40" s="317"/>
      <c r="I40" s="317"/>
    </row>
    <row r="41" spans="1:11" ht="12" customHeight="1">
      <c r="A41" s="313"/>
      <c r="B41" s="314" t="s">
        <v>744</v>
      </c>
      <c r="C41" s="318"/>
      <c r="D41" s="317"/>
      <c r="E41" s="317"/>
      <c r="F41" s="315"/>
      <c r="G41" s="317"/>
      <c r="H41" s="317"/>
      <c r="I41" s="317"/>
    </row>
    <row r="42" spans="1:11" ht="12" customHeight="1">
      <c r="A42" s="313" t="s">
        <v>745</v>
      </c>
      <c r="B42" s="316" t="s">
        <v>746</v>
      </c>
      <c r="C42" s="318"/>
      <c r="D42" s="317">
        <f>'Consol SoFP 23 &amp; 22'!AP102*51%</f>
        <v>144135596.88675007</v>
      </c>
      <c r="E42" s="317"/>
      <c r="F42" s="315">
        <f>D42</f>
        <v>144135596.88675007</v>
      </c>
      <c r="G42" s="317"/>
      <c r="H42" s="317"/>
      <c r="I42" s="317"/>
    </row>
    <row r="43" spans="1:11" ht="12" customHeight="1">
      <c r="A43" s="313" t="s">
        <v>745</v>
      </c>
      <c r="B43" s="316" t="s">
        <v>747</v>
      </c>
      <c r="C43" s="318"/>
      <c r="D43" s="317"/>
      <c r="E43" s="317">
        <f>-D42</f>
        <v>-144135596.88675007</v>
      </c>
      <c r="F43" s="315"/>
      <c r="G43" s="317">
        <f>E43</f>
        <v>-144135596.88675007</v>
      </c>
      <c r="H43" s="317"/>
      <c r="I43" s="317"/>
    </row>
    <row r="44" spans="1:11" ht="12.75" customHeight="1">
      <c r="A44" s="313"/>
      <c r="B44" s="316"/>
      <c r="C44" s="318"/>
      <c r="D44" s="317"/>
      <c r="E44" s="317"/>
      <c r="F44" s="315"/>
      <c r="G44" s="317"/>
      <c r="H44" s="317"/>
      <c r="I44" s="317"/>
    </row>
    <row r="45" spans="1:11" ht="12.75" customHeight="1">
      <c r="A45" s="313"/>
      <c r="B45" s="314" t="s">
        <v>764</v>
      </c>
      <c r="C45" s="310"/>
      <c r="D45" s="311"/>
      <c r="E45" s="311"/>
      <c r="F45" s="315">
        <f>IF(C45="BS",D45,0)</f>
        <v>0</v>
      </c>
      <c r="G45" s="300">
        <f>IF(C45="BS",E45,0)</f>
        <v>0</v>
      </c>
      <c r="H45" s="311">
        <f>IF(C45="PL",D45,0)</f>
        <v>0</v>
      </c>
      <c r="I45" s="311">
        <f>IF(C45="PL",E45,0)</f>
        <v>0</v>
      </c>
    </row>
    <row r="46" spans="1:11" ht="12.75" customHeight="1">
      <c r="A46" s="313" t="s">
        <v>765</v>
      </c>
      <c r="B46" s="316" t="s">
        <v>359</v>
      </c>
      <c r="C46" s="310"/>
      <c r="D46" s="311">
        <f>-'Consol SoFP 23 &amp; 22'!AS93*51%</f>
        <v>502031250</v>
      </c>
      <c r="E46" s="311"/>
      <c r="F46" s="315">
        <f>D46</f>
        <v>502031250</v>
      </c>
      <c r="G46" s="317">
        <f>IF(C46="BS",E46,0)</f>
        <v>0</v>
      </c>
      <c r="H46" s="311">
        <f>IF(C46="PL",D46,0)</f>
        <v>0</v>
      </c>
      <c r="I46" s="311">
        <f>IF(C46="PL",E46,0)</f>
        <v>0</v>
      </c>
    </row>
    <row r="47" spans="1:11" ht="12.75" customHeight="1">
      <c r="A47" s="313" t="s">
        <v>765</v>
      </c>
      <c r="B47" s="316" t="s">
        <v>764</v>
      </c>
      <c r="C47" s="318"/>
      <c r="D47" s="317"/>
      <c r="E47" s="317">
        <f>-D46</f>
        <v>-502031250</v>
      </c>
      <c r="F47" s="315"/>
      <c r="G47" s="317">
        <f>E47</f>
        <v>-502031250</v>
      </c>
      <c r="H47" s="317"/>
      <c r="I47" s="317"/>
    </row>
    <row r="48" spans="1:11" ht="12.75" customHeight="1">
      <c r="A48" s="313"/>
      <c r="B48" s="316"/>
      <c r="C48" s="318"/>
      <c r="D48" s="317"/>
      <c r="E48" s="317"/>
      <c r="F48" s="315"/>
      <c r="G48" s="317"/>
      <c r="H48" s="317"/>
      <c r="I48" s="317"/>
      <c r="K48" s="320">
        <v>-1593750000</v>
      </c>
    </row>
    <row r="49" spans="1:12" ht="12.75" customHeight="1">
      <c r="A49" s="313"/>
      <c r="B49" s="314" t="s">
        <v>766</v>
      </c>
      <c r="C49" s="310"/>
      <c r="D49" s="311"/>
      <c r="E49" s="311"/>
      <c r="F49" s="315">
        <f>IF(C49="BS",D49,0)</f>
        <v>0</v>
      </c>
      <c r="G49" s="300">
        <f>IF(C49="BS",E49,0)</f>
        <v>0</v>
      </c>
      <c r="H49" s="311">
        <f>IF(C49="PL",D49,0)</f>
        <v>0</v>
      </c>
      <c r="I49" s="311">
        <f>IF(C49="PL",E49,0)</f>
        <v>0</v>
      </c>
      <c r="L49" s="302">
        <f>E47+E51</f>
        <v>-1606500000</v>
      </c>
    </row>
    <row r="50" spans="1:12" ht="12.75" customHeight="1">
      <c r="A50" s="313" t="s">
        <v>767</v>
      </c>
      <c r="B50" s="316" t="s">
        <v>359</v>
      </c>
      <c r="C50" s="310"/>
      <c r="D50" s="311">
        <f>-E51</f>
        <v>1104468750</v>
      </c>
      <c r="E50" s="311"/>
      <c r="F50" s="315">
        <f>D50</f>
        <v>1104468750</v>
      </c>
      <c r="G50" s="317">
        <f>IF(C50="BS",E50,0)</f>
        <v>0</v>
      </c>
      <c r="H50" s="311">
        <f>IF(C50="PL",D50,0)</f>
        <v>0</v>
      </c>
      <c r="I50" s="311">
        <f>IF(C50="PL",E50,0)</f>
        <v>0</v>
      </c>
    </row>
    <row r="51" spans="1:12" ht="12.75" customHeight="1">
      <c r="A51" s="313" t="s">
        <v>767</v>
      </c>
      <c r="B51" s="316" t="s">
        <v>90</v>
      </c>
      <c r="C51" s="318"/>
      <c r="D51" s="317"/>
      <c r="E51" s="317">
        <f>'Consol SoFP 23 &amp; 22'!AS95*51%</f>
        <v>-1104468750</v>
      </c>
      <c r="F51" s="315"/>
      <c r="G51" s="317">
        <f>E51</f>
        <v>-1104468750</v>
      </c>
      <c r="H51" s="317"/>
      <c r="I51" s="317"/>
    </row>
    <row r="52" spans="1:12" ht="12.75" customHeight="1">
      <c r="A52" s="313"/>
      <c r="B52" s="316"/>
      <c r="C52" s="318"/>
      <c r="D52" s="317"/>
      <c r="E52" s="317"/>
      <c r="F52" s="315"/>
      <c r="G52" s="317"/>
      <c r="H52" s="317"/>
      <c r="I52" s="317"/>
    </row>
    <row r="53" spans="1:12" ht="12.75" customHeight="1">
      <c r="A53" s="313"/>
      <c r="B53" s="314" t="s">
        <v>768</v>
      </c>
      <c r="C53" s="318"/>
      <c r="D53" s="317"/>
      <c r="E53" s="317"/>
      <c r="F53" s="315"/>
      <c r="G53" s="317"/>
      <c r="H53" s="317"/>
      <c r="I53" s="317"/>
    </row>
    <row r="54" spans="1:12" ht="12.75" customHeight="1">
      <c r="A54" s="313" t="s">
        <v>769</v>
      </c>
      <c r="B54" s="316" t="s">
        <v>770</v>
      </c>
      <c r="C54" s="318"/>
      <c r="D54" s="317">
        <f>-'Consol SoFP 23 &amp; 22'!AS101*51%</f>
        <v>5779615482.0022507</v>
      </c>
      <c r="E54" s="317"/>
      <c r="F54" s="315">
        <f>D54</f>
        <v>5779615482.0022507</v>
      </c>
      <c r="G54" s="317"/>
      <c r="H54" s="317"/>
      <c r="I54" s="317"/>
    </row>
    <row r="55" spans="1:12" ht="12.75" customHeight="1">
      <c r="A55" s="313" t="s">
        <v>769</v>
      </c>
      <c r="B55" s="316" t="s">
        <v>771</v>
      </c>
      <c r="C55" s="318"/>
      <c r="D55" s="317"/>
      <c r="E55" s="317">
        <f>-D54</f>
        <v>-5779615482.0022507</v>
      </c>
      <c r="F55" s="315"/>
      <c r="G55" s="317">
        <f>E55</f>
        <v>-5779615482.0022507</v>
      </c>
      <c r="H55" s="317"/>
      <c r="I55" s="317"/>
    </row>
    <row r="56" spans="1:12" ht="12.75" customHeight="1">
      <c r="A56" s="313"/>
      <c r="B56" s="316"/>
      <c r="C56" s="318"/>
      <c r="D56" s="317"/>
      <c r="E56" s="317"/>
      <c r="F56" s="315"/>
      <c r="G56" s="317"/>
      <c r="H56" s="317"/>
      <c r="I56" s="317"/>
    </row>
    <row r="57" spans="1:12" ht="12" customHeight="1">
      <c r="A57" s="313"/>
      <c r="B57" s="314" t="s">
        <v>772</v>
      </c>
      <c r="C57" s="318"/>
      <c r="D57" s="317"/>
      <c r="E57" s="317"/>
      <c r="F57" s="315"/>
      <c r="G57" s="317"/>
      <c r="H57" s="317"/>
      <c r="I57" s="317"/>
    </row>
    <row r="58" spans="1:12" ht="12" customHeight="1">
      <c r="A58" s="313" t="s">
        <v>773</v>
      </c>
      <c r="B58" s="316" t="s">
        <v>770</v>
      </c>
      <c r="C58" s="318"/>
      <c r="D58" s="317">
        <f>'Consol SoFP 23 &amp; 22'!AS102*-51%</f>
        <v>-293022523.68000001</v>
      </c>
      <c r="E58" s="317"/>
      <c r="F58" s="315">
        <f>D58</f>
        <v>-293022523.68000001</v>
      </c>
      <c r="G58" s="317"/>
      <c r="H58" s="317"/>
      <c r="I58" s="317"/>
    </row>
    <row r="59" spans="1:12" ht="12" customHeight="1">
      <c r="A59" s="313" t="s">
        <v>773</v>
      </c>
      <c r="B59" s="316" t="s">
        <v>774</v>
      </c>
      <c r="C59" s="318"/>
      <c r="D59" s="317"/>
      <c r="E59" s="317">
        <f>-D58</f>
        <v>293022523.68000001</v>
      </c>
      <c r="F59" s="315"/>
      <c r="G59" s="317">
        <f>E59</f>
        <v>293022523.68000001</v>
      </c>
      <c r="H59" s="317"/>
      <c r="I59" s="317"/>
    </row>
    <row r="60" spans="1:12" ht="12.75" customHeight="1">
      <c r="A60" s="313"/>
      <c r="B60" s="316"/>
      <c r="C60" s="318"/>
      <c r="D60" s="317"/>
      <c r="E60" s="317"/>
      <c r="F60" s="315"/>
      <c r="G60" s="317"/>
      <c r="H60" s="317"/>
      <c r="I60" s="317"/>
    </row>
    <row r="61" spans="1:12" ht="12.75" customHeight="1">
      <c r="A61" s="313"/>
      <c r="B61" s="314" t="s">
        <v>612</v>
      </c>
      <c r="C61" s="310"/>
      <c r="D61" s="311"/>
      <c r="E61" s="311"/>
      <c r="F61" s="315">
        <f>IF(C61="BS",D61,0)</f>
        <v>0</v>
      </c>
      <c r="G61" s="300">
        <f>IF(C61="BS",E61,0)</f>
        <v>0</v>
      </c>
      <c r="H61" s="311">
        <f>IF(C61="PL",D61,0)</f>
        <v>0</v>
      </c>
      <c r="I61" s="311">
        <f>IF(C61="PL",E61,0)</f>
        <v>0</v>
      </c>
    </row>
    <row r="62" spans="1:12" ht="12.75" customHeight="1">
      <c r="A62" s="313" t="s">
        <v>613</v>
      </c>
      <c r="B62" s="316" t="s">
        <v>359</v>
      </c>
      <c r="C62" s="310"/>
      <c r="D62" s="311">
        <f>-'Capital Proforma Control'!J27</f>
        <v>240975000</v>
      </c>
      <c r="E62" s="311"/>
      <c r="F62" s="315">
        <f>D62</f>
        <v>240975000</v>
      </c>
      <c r="G62" s="317">
        <f>IF(C62="BS",E62,0)</f>
        <v>0</v>
      </c>
      <c r="H62" s="311">
        <f>IF(C62="PL",D62,0)</f>
        <v>0</v>
      </c>
      <c r="I62" s="311">
        <f>IF(C62="PL",E62,0)</f>
        <v>0</v>
      </c>
    </row>
    <row r="63" spans="1:12" ht="12.75" customHeight="1">
      <c r="A63" s="313" t="s">
        <v>613</v>
      </c>
      <c r="B63" s="316" t="s">
        <v>614</v>
      </c>
      <c r="C63" s="318"/>
      <c r="D63" s="317"/>
      <c r="E63" s="317">
        <f>-D62</f>
        <v>-240975000</v>
      </c>
      <c r="F63" s="315"/>
      <c r="G63" s="317">
        <f>E63</f>
        <v>-240975000</v>
      </c>
      <c r="H63" s="317"/>
      <c r="I63" s="317"/>
    </row>
    <row r="64" spans="1:12" ht="12.75" customHeight="1">
      <c r="A64" s="313"/>
      <c r="B64" s="316"/>
      <c r="C64" s="318"/>
      <c r="D64" s="317"/>
      <c r="E64" s="317"/>
      <c r="F64" s="315"/>
      <c r="G64" s="317"/>
      <c r="H64" s="317"/>
      <c r="I64" s="317"/>
      <c r="K64" s="320"/>
    </row>
    <row r="65" spans="1:14" ht="12" customHeight="1">
      <c r="A65" s="313"/>
      <c r="B65" s="316"/>
      <c r="C65" s="318"/>
      <c r="D65" s="317"/>
      <c r="E65" s="317"/>
      <c r="F65" s="315"/>
      <c r="G65" s="317"/>
      <c r="H65" s="317"/>
      <c r="I65" s="317"/>
    </row>
    <row r="66" spans="1:14" ht="12.75" customHeight="1">
      <c r="A66" s="313"/>
      <c r="B66" s="314" t="s">
        <v>615</v>
      </c>
      <c r="C66" s="318"/>
      <c r="D66" s="317"/>
      <c r="E66" s="317"/>
      <c r="F66" s="315"/>
      <c r="G66" s="317"/>
      <c r="H66" s="317"/>
      <c r="I66" s="317"/>
    </row>
    <row r="67" spans="1:14" ht="12.75" customHeight="1">
      <c r="A67" s="313" t="s">
        <v>616</v>
      </c>
      <c r="B67" s="316" t="s">
        <v>617</v>
      </c>
      <c r="C67" s="318"/>
      <c r="D67" s="317">
        <f>-E68</f>
        <v>10322872886.280001</v>
      </c>
      <c r="E67" s="317"/>
      <c r="F67" s="315">
        <f>D67</f>
        <v>10322872886.280001</v>
      </c>
      <c r="G67" s="317"/>
      <c r="H67" s="317"/>
      <c r="I67" s="317"/>
    </row>
    <row r="68" spans="1:14" ht="12.75" customHeight="1">
      <c r="A68" s="313" t="s">
        <v>616</v>
      </c>
      <c r="B68" s="316" t="s">
        <v>618</v>
      </c>
      <c r="C68" s="318"/>
      <c r="D68" s="317"/>
      <c r="E68" s="317">
        <f>'Capital Proforma Control'!J28</f>
        <v>-10322872886.280001</v>
      </c>
      <c r="F68" s="315"/>
      <c r="G68" s="317">
        <f>E68</f>
        <v>-10322872886.280001</v>
      </c>
      <c r="H68" s="317"/>
      <c r="I68" s="317"/>
    </row>
    <row r="69" spans="1:14" ht="12.75" customHeight="1">
      <c r="A69" s="313"/>
      <c r="B69" s="316"/>
      <c r="C69" s="318"/>
      <c r="D69" s="317"/>
      <c r="E69" s="317"/>
      <c r="F69" s="315"/>
      <c r="G69" s="317"/>
      <c r="H69" s="317"/>
      <c r="I69" s="317"/>
    </row>
    <row r="70" spans="1:14" ht="12" customHeight="1">
      <c r="A70" s="313"/>
      <c r="B70" s="314" t="s">
        <v>619</v>
      </c>
      <c r="C70" s="318"/>
      <c r="D70" s="317"/>
      <c r="E70" s="317"/>
      <c r="F70" s="315"/>
      <c r="G70" s="317"/>
      <c r="H70" s="317"/>
      <c r="I70" s="317"/>
    </row>
    <row r="71" spans="1:14" ht="12" customHeight="1">
      <c r="A71" s="313" t="s">
        <v>620</v>
      </c>
      <c r="B71" s="316" t="s">
        <v>621</v>
      </c>
      <c r="C71" s="318"/>
      <c r="D71" s="317">
        <f>'Capital Proforma Control'!J29</f>
        <v>20104379292.222168</v>
      </c>
      <c r="E71" s="317"/>
      <c r="F71" s="315">
        <f>D71</f>
        <v>20104379292.222168</v>
      </c>
      <c r="G71" s="317"/>
      <c r="H71" s="317"/>
      <c r="I71" s="317"/>
    </row>
    <row r="72" spans="1:14" ht="12" customHeight="1">
      <c r="A72" s="313" t="s">
        <v>620</v>
      </c>
      <c r="B72" s="316" t="s">
        <v>617</v>
      </c>
      <c r="C72" s="318"/>
      <c r="D72" s="317"/>
      <c r="E72" s="317">
        <f>-D71</f>
        <v>-20104379292.222168</v>
      </c>
      <c r="F72" s="315"/>
      <c r="G72" s="317">
        <f>E72</f>
        <v>-20104379292.222168</v>
      </c>
      <c r="H72" s="317"/>
      <c r="I72" s="317"/>
    </row>
    <row r="73" spans="1:14" ht="12" customHeight="1">
      <c r="A73" s="313"/>
      <c r="B73" s="316"/>
      <c r="C73" s="318"/>
      <c r="D73" s="317"/>
      <c r="E73" s="317"/>
      <c r="F73" s="315"/>
      <c r="G73" s="317"/>
      <c r="H73" s="317"/>
      <c r="I73" s="317"/>
    </row>
    <row r="74" spans="1:14" ht="12.75" customHeight="1">
      <c r="A74" s="321"/>
      <c r="B74" s="322"/>
      <c r="C74" s="321"/>
      <c r="D74" s="323"/>
      <c r="E74" s="323"/>
      <c r="F74" s="323"/>
      <c r="G74" s="323"/>
      <c r="H74" s="323"/>
      <c r="I74" s="323"/>
    </row>
    <row r="75" spans="1:14" ht="12.75" customHeight="1">
      <c r="A75" s="324"/>
      <c r="B75" s="325" t="s">
        <v>371</v>
      </c>
      <c r="C75" s="326"/>
      <c r="D75" s="311"/>
      <c r="E75" s="311"/>
      <c r="F75" s="317"/>
      <c r="G75" s="317"/>
      <c r="H75" s="317"/>
      <c r="I75" s="317"/>
      <c r="L75" s="287" t="s">
        <v>363</v>
      </c>
      <c r="M75" s="287" t="s">
        <v>688</v>
      </c>
      <c r="N75" s="287" t="s">
        <v>465</v>
      </c>
    </row>
    <row r="76" spans="1:14" ht="12.75" customHeight="1">
      <c r="A76" s="313"/>
      <c r="B76" s="314" t="s">
        <v>691</v>
      </c>
      <c r="C76" s="310"/>
      <c r="D76" s="311"/>
      <c r="E76" s="311"/>
      <c r="F76" s="315">
        <f>IF(C76="BS",D76,0)</f>
        <v>0</v>
      </c>
      <c r="G76" s="300">
        <f>IF(C76="BS",E76,0)</f>
        <v>0</v>
      </c>
      <c r="H76" s="311">
        <f>IF(C76="PL",D76,0)</f>
        <v>0</v>
      </c>
      <c r="I76" s="311">
        <f>IF(C76="PL",E76,0)</f>
        <v>0</v>
      </c>
      <c r="L76" s="287" t="s">
        <v>224</v>
      </c>
      <c r="M76" s="320">
        <f>'Consol SoFP 23 &amp; 22'!K93</f>
        <v>-651665345625</v>
      </c>
      <c r="N76" s="320">
        <f>'Consol SoFP 23 &amp; 22'!Q93</f>
        <v>-4921875000</v>
      </c>
    </row>
    <row r="77" spans="1:14" ht="12.75" customHeight="1">
      <c r="A77" s="313" t="s">
        <v>692</v>
      </c>
      <c r="B77" s="327" t="s">
        <v>359</v>
      </c>
      <c r="C77" s="310"/>
      <c r="D77" s="311">
        <f>-M80*3.3%</f>
        <v>141887461.3348504</v>
      </c>
      <c r="E77" s="311"/>
      <c r="F77" s="315">
        <f>D77</f>
        <v>141887461.3348504</v>
      </c>
      <c r="G77" s="317">
        <f>IF(C77="BS",E77,0)</f>
        <v>0</v>
      </c>
      <c r="H77" s="311">
        <f>IF(C77="PL",D77,0)</f>
        <v>0</v>
      </c>
      <c r="I77" s="311">
        <f>IF(C77="PL",E77,0)</f>
        <v>0</v>
      </c>
      <c r="L77" s="287" t="s">
        <v>219</v>
      </c>
      <c r="M77" s="320">
        <f>'Consol SoFP 23 &amp; 22'!AM93</f>
        <v>-217283295600</v>
      </c>
      <c r="N77" s="320">
        <f>'Consol SoFP 23 &amp; 22'!AS93</f>
        <v>-984375000</v>
      </c>
    </row>
    <row r="78" spans="1:14" ht="12.75" customHeight="1">
      <c r="A78" s="313" t="s">
        <v>692</v>
      </c>
      <c r="B78" s="316" t="s">
        <v>691</v>
      </c>
      <c r="C78" s="318"/>
      <c r="D78" s="317"/>
      <c r="E78" s="317">
        <f>-D77</f>
        <v>-141887461.3348504</v>
      </c>
      <c r="F78" s="315"/>
      <c r="G78" s="317">
        <f>E78</f>
        <v>-141887461.3348504</v>
      </c>
      <c r="H78" s="317"/>
      <c r="I78" s="317"/>
      <c r="L78" s="287" t="s">
        <v>364</v>
      </c>
      <c r="M78" s="320">
        <f>M76-M77</f>
        <v>-434382050025</v>
      </c>
      <c r="N78" s="320">
        <f>N76-N77</f>
        <v>-3937500000</v>
      </c>
    </row>
    <row r="79" spans="1:14" ht="12.75" customHeight="1">
      <c r="A79" s="308"/>
      <c r="B79" s="328"/>
      <c r="C79" s="326"/>
      <c r="D79" s="311"/>
      <c r="E79" s="311"/>
      <c r="F79" s="300"/>
      <c r="G79" s="300"/>
      <c r="H79" s="300"/>
      <c r="I79" s="300"/>
      <c r="L79" s="287" t="s">
        <v>365</v>
      </c>
      <c r="M79" s="320">
        <f>'Consol SoFP 23 &amp; 22'!AM94</f>
        <v>-430082429984.54999</v>
      </c>
      <c r="N79" s="320">
        <f>-'Capital Proforma Control'!H20</f>
        <v>2165625000</v>
      </c>
    </row>
    <row r="80" spans="1:14" ht="12.75" customHeight="1">
      <c r="A80" s="313"/>
      <c r="B80" s="314" t="s">
        <v>704</v>
      </c>
      <c r="C80" s="329"/>
      <c r="D80" s="330"/>
      <c r="E80" s="331"/>
      <c r="F80" s="300"/>
      <c r="G80" s="300"/>
      <c r="H80" s="300"/>
      <c r="I80" s="300"/>
      <c r="L80" s="287" t="s">
        <v>366</v>
      </c>
      <c r="M80" s="319">
        <f>M78-M79</f>
        <v>-4299620040.4500122</v>
      </c>
      <c r="N80" s="319">
        <f>N78+N79</f>
        <v>-1771875000</v>
      </c>
    </row>
    <row r="81" spans="1:23" ht="12.75" customHeight="1">
      <c r="A81" s="313" t="s">
        <v>693</v>
      </c>
      <c r="B81" s="332" t="s">
        <v>705</v>
      </c>
      <c r="C81" s="329"/>
      <c r="D81" s="333">
        <f>'Consol SoFP 23 &amp; 22'!K102*3.3%</f>
        <v>19905540186.826546</v>
      </c>
      <c r="E81" s="333"/>
      <c r="F81" s="311">
        <f>D81</f>
        <v>19905540186.826546</v>
      </c>
      <c r="G81" s="311"/>
      <c r="H81" s="311"/>
      <c r="I81" s="311"/>
      <c r="J81" s="334"/>
    </row>
    <row r="82" spans="1:23" ht="12.75" customHeight="1">
      <c r="A82" s="313" t="s">
        <v>693</v>
      </c>
      <c r="B82" s="335" t="s">
        <v>367</v>
      </c>
      <c r="C82" s="329"/>
      <c r="D82" s="333"/>
      <c r="E82" s="333">
        <f>-D81</f>
        <v>-19905540186.826546</v>
      </c>
      <c r="F82" s="315"/>
      <c r="G82" s="317">
        <f>-F81</f>
        <v>-19905540186.826546</v>
      </c>
      <c r="H82" s="311"/>
      <c r="I82" s="311"/>
    </row>
    <row r="83" spans="1:23" ht="12.75" customHeight="1">
      <c r="A83" s="313"/>
      <c r="B83" s="316"/>
      <c r="C83" s="329"/>
      <c r="D83" s="300"/>
      <c r="E83" s="333"/>
      <c r="F83" s="311"/>
      <c r="G83" s="311"/>
      <c r="H83" s="311"/>
      <c r="I83" s="311"/>
      <c r="L83" s="287" t="s">
        <v>166</v>
      </c>
      <c r="M83" s="319">
        <f>M80-E78</f>
        <v>-4157732579.1151619</v>
      </c>
      <c r="N83" s="319">
        <f>N80-E98</f>
        <v>-868218750</v>
      </c>
    </row>
    <row r="84" spans="1:23" ht="12.75" customHeight="1">
      <c r="A84" s="313"/>
      <c r="B84" s="314" t="s">
        <v>706</v>
      </c>
      <c r="C84" s="329"/>
      <c r="D84" s="330"/>
      <c r="E84" s="331"/>
      <c r="F84" s="300"/>
      <c r="G84" s="300"/>
      <c r="H84" s="300"/>
      <c r="I84" s="300"/>
    </row>
    <row r="85" spans="1:23" ht="12.75" customHeight="1">
      <c r="A85" s="313" t="s">
        <v>700</v>
      </c>
      <c r="B85" s="332" t="s">
        <v>367</v>
      </c>
      <c r="C85" s="329"/>
      <c r="D85" s="333">
        <f>-E86</f>
        <v>231177233</v>
      </c>
      <c r="E85" s="333"/>
      <c r="F85" s="311">
        <f>D85</f>
        <v>231177233</v>
      </c>
      <c r="G85" s="311"/>
      <c r="H85" s="311"/>
      <c r="I85" s="311"/>
      <c r="J85" s="334"/>
    </row>
    <row r="86" spans="1:23" ht="12.75" customHeight="1">
      <c r="A86" s="313" t="s">
        <v>700</v>
      </c>
      <c r="B86" s="335" t="s">
        <v>368</v>
      </c>
      <c r="C86" s="329"/>
      <c r="D86" s="333"/>
      <c r="E86" s="333">
        <f>ROUND('Consol SoFP 23 &amp; 22'!K98*3.3%,0)</f>
        <v>-231177233</v>
      </c>
      <c r="F86" s="315"/>
      <c r="G86" s="317">
        <f>-F85</f>
        <v>-231177233</v>
      </c>
      <c r="H86" s="311"/>
      <c r="I86" s="311"/>
      <c r="L86" s="287" t="s">
        <v>352</v>
      </c>
      <c r="M86" s="287">
        <v>2023</v>
      </c>
      <c r="O86" s="287" t="s">
        <v>353</v>
      </c>
      <c r="P86" s="287" t="s">
        <v>101</v>
      </c>
      <c r="R86" s="287" t="s">
        <v>586</v>
      </c>
      <c r="S86" s="287" t="s">
        <v>221</v>
      </c>
      <c r="T86" s="287" t="s">
        <v>355</v>
      </c>
      <c r="U86" s="287" t="s">
        <v>356</v>
      </c>
      <c r="W86" s="287" t="s">
        <v>357</v>
      </c>
    </row>
    <row r="87" spans="1:23" ht="12.75" customHeight="1">
      <c r="A87" s="313"/>
      <c r="B87" s="316"/>
      <c r="C87" s="329"/>
      <c r="D87" s="300"/>
      <c r="E87" s="333"/>
      <c r="F87" s="311"/>
      <c r="G87" s="311"/>
      <c r="H87" s="311"/>
      <c r="I87" s="311"/>
      <c r="L87" s="287" t="s">
        <v>688</v>
      </c>
      <c r="M87" s="301">
        <f>M9</f>
        <v>3.3000000000000002E-2</v>
      </c>
      <c r="O87" s="302">
        <f>E82+D77+D85+D89</f>
        <v>-19504719076.491695</v>
      </c>
      <c r="P87" s="302">
        <f>-O87</f>
        <v>19504719076.491695</v>
      </c>
      <c r="R87" s="302">
        <f>E78</f>
        <v>-141887461.3348504</v>
      </c>
      <c r="S87" s="302">
        <f>D81</f>
        <v>19905540186.826546</v>
      </c>
      <c r="T87" s="302">
        <f>E86</f>
        <v>-231177233</v>
      </c>
      <c r="U87" s="302">
        <f>E90</f>
        <v>-27756416</v>
      </c>
      <c r="W87" s="302">
        <f>P87-SUM(R87:U87)</f>
        <v>0</v>
      </c>
    </row>
    <row r="88" spans="1:23">
      <c r="A88" s="313"/>
      <c r="B88" s="314" t="s">
        <v>707</v>
      </c>
      <c r="C88" s="336"/>
      <c r="D88" s="317"/>
      <c r="E88" s="317"/>
      <c r="F88" s="315"/>
      <c r="G88" s="317"/>
      <c r="H88" s="317"/>
      <c r="I88" s="317"/>
      <c r="L88" s="287" t="s">
        <v>740</v>
      </c>
      <c r="M88" s="301">
        <f t="shared" ref="M88:M90" si="1">M10</f>
        <v>0.51</v>
      </c>
      <c r="O88" s="302">
        <f>D93</f>
        <v>1365663994.8900001</v>
      </c>
      <c r="P88" s="302">
        <f>-O88</f>
        <v>-1365663994.8900001</v>
      </c>
      <c r="R88" s="302">
        <f>E117</f>
        <v>0</v>
      </c>
      <c r="S88" s="302">
        <f>E94</f>
        <v>-1365663994.8900001</v>
      </c>
      <c r="W88" s="302">
        <f>P88-SUM(R88:U88)</f>
        <v>0</v>
      </c>
    </row>
    <row r="89" spans="1:23" ht="12.75" customHeight="1">
      <c r="A89" s="313" t="s">
        <v>702</v>
      </c>
      <c r="B89" s="332" t="s">
        <v>369</v>
      </c>
      <c r="C89" s="337"/>
      <c r="D89" s="338">
        <f>ROUND(-'Consol SoFP 23 &amp; 22'!K105*3.3%,0)</f>
        <v>27756416</v>
      </c>
      <c r="E89" s="338"/>
      <c r="F89" s="311">
        <f>D89</f>
        <v>27756416</v>
      </c>
      <c r="G89" s="311"/>
      <c r="H89" s="338"/>
      <c r="I89" s="338"/>
      <c r="L89" s="287" t="s">
        <v>465</v>
      </c>
      <c r="M89" s="301">
        <f t="shared" si="1"/>
        <v>0.51</v>
      </c>
      <c r="O89" s="302">
        <f>SUM(F97,F101)</f>
        <v>1420523467</v>
      </c>
      <c r="P89" s="302">
        <f>-O89</f>
        <v>-1420523467</v>
      </c>
      <c r="R89" s="302">
        <f>E98</f>
        <v>-903656250</v>
      </c>
      <c r="S89" s="302">
        <f>G102</f>
        <v>-516867217</v>
      </c>
      <c r="W89" s="302">
        <f>P89-SUM(R89:U89)</f>
        <v>0</v>
      </c>
    </row>
    <row r="90" spans="1:23" ht="12.75" customHeight="1">
      <c r="A90" s="313" t="s">
        <v>702</v>
      </c>
      <c r="B90" s="335" t="s">
        <v>370</v>
      </c>
      <c r="C90" s="337"/>
      <c r="D90" s="338"/>
      <c r="E90" s="338">
        <f>-D89</f>
        <v>-27756416</v>
      </c>
      <c r="F90" s="315">
        <f t="shared" ref="F90" si="2">IF(C90="BS",D90,0)</f>
        <v>0</v>
      </c>
      <c r="G90" s="317">
        <f>E90</f>
        <v>-27756416</v>
      </c>
      <c r="H90" s="338"/>
      <c r="I90" s="338"/>
      <c r="L90" s="287" t="s">
        <v>611</v>
      </c>
      <c r="M90" s="301">
        <f t="shared" si="1"/>
        <v>0.51</v>
      </c>
      <c r="O90" s="302">
        <f>'Proforma Adjustment'!E106</f>
        <v>-40380952787.657722</v>
      </c>
      <c r="P90" s="302">
        <f>-O90</f>
        <v>40380952787.657722</v>
      </c>
      <c r="R90" s="302"/>
      <c r="S90" s="302">
        <f>D105</f>
        <v>40380952787.657722</v>
      </c>
    </row>
    <row r="91" spans="1:23" ht="12.75" customHeight="1">
      <c r="A91" s="339"/>
      <c r="B91" s="340"/>
      <c r="C91" s="337"/>
      <c r="D91" s="338"/>
      <c r="E91" s="338"/>
      <c r="F91" s="338"/>
      <c r="G91" s="338"/>
      <c r="H91" s="338"/>
      <c r="I91" s="338"/>
      <c r="M91" s="307"/>
      <c r="O91" s="302"/>
      <c r="P91" s="302"/>
      <c r="R91" s="302"/>
      <c r="S91" s="302"/>
      <c r="W91" s="302"/>
    </row>
    <row r="92" spans="1:23" ht="12.75" customHeight="1">
      <c r="A92" s="313"/>
      <c r="B92" s="314" t="s">
        <v>801</v>
      </c>
      <c r="C92" s="329"/>
      <c r="D92" s="330"/>
      <c r="E92" s="331"/>
      <c r="F92" s="300"/>
      <c r="G92" s="300"/>
      <c r="H92" s="300"/>
      <c r="I92" s="300"/>
    </row>
    <row r="93" spans="1:23" ht="12.75" customHeight="1">
      <c r="A93" s="313" t="s">
        <v>743</v>
      </c>
      <c r="B93" s="332" t="s">
        <v>367</v>
      </c>
      <c r="C93" s="329"/>
      <c r="D93" s="333">
        <f>-'Consol SoFP 23 &amp; 22'!N102*51%</f>
        <v>1365663994.8900001</v>
      </c>
      <c r="E93" s="333"/>
      <c r="F93" s="311">
        <f>D93</f>
        <v>1365663994.8900001</v>
      </c>
      <c r="G93" s="311"/>
      <c r="H93" s="311"/>
      <c r="I93" s="311"/>
      <c r="J93" s="334"/>
      <c r="L93" s="287" t="s">
        <v>475</v>
      </c>
      <c r="O93" s="302">
        <f>SUM(O87:O91)</f>
        <v>-57099484402.259415</v>
      </c>
      <c r="P93" s="302">
        <f>SUM(P87:P91)</f>
        <v>57099484402.259415</v>
      </c>
      <c r="R93" s="302">
        <f>SUM(R87:R91)</f>
        <v>-1045543711.3348504</v>
      </c>
      <c r="S93" s="302">
        <f>SUM(S87:S91)</f>
        <v>58403961762.594269</v>
      </c>
      <c r="T93" s="302">
        <f>SUM(T87:T91)</f>
        <v>-231177233</v>
      </c>
      <c r="U93" s="302">
        <f>SUM(U87:U91)</f>
        <v>-27756416</v>
      </c>
    </row>
    <row r="94" spans="1:23" ht="12.75" customHeight="1">
      <c r="A94" s="313" t="s">
        <v>743</v>
      </c>
      <c r="B94" s="335" t="s">
        <v>748</v>
      </c>
      <c r="C94" s="329"/>
      <c r="D94" s="333"/>
      <c r="E94" s="333">
        <f>-D93</f>
        <v>-1365663994.8900001</v>
      </c>
      <c r="F94" s="315"/>
      <c r="G94" s="317">
        <f>-F93</f>
        <v>-1365663994.8900001</v>
      </c>
      <c r="H94" s="311"/>
      <c r="I94" s="311"/>
    </row>
    <row r="95" spans="1:23" ht="12.75" customHeight="1">
      <c r="A95" s="313"/>
      <c r="B95" s="316"/>
      <c r="C95" s="329"/>
      <c r="D95" s="300"/>
      <c r="E95" s="333"/>
      <c r="F95" s="311"/>
      <c r="G95" s="311"/>
      <c r="H95" s="311"/>
      <c r="I95" s="311"/>
    </row>
    <row r="96" spans="1:23" ht="12.75" customHeight="1">
      <c r="A96" s="313"/>
      <c r="B96" s="314" t="s">
        <v>764</v>
      </c>
      <c r="C96" s="310"/>
      <c r="D96" s="311"/>
      <c r="E96" s="311"/>
      <c r="F96" s="315">
        <f>IF(C96="BS",D96,0)</f>
        <v>0</v>
      </c>
      <c r="G96" s="300">
        <f>IF(C96="BS",E96,0)</f>
        <v>0</v>
      </c>
      <c r="H96" s="311">
        <f>IF(C96="PL",D96,0)</f>
        <v>0</v>
      </c>
      <c r="I96" s="311">
        <f>IF(C96="PL",E96,0)</f>
        <v>0</v>
      </c>
    </row>
    <row r="97" spans="1:23" ht="12.75" customHeight="1">
      <c r="A97" s="313" t="s">
        <v>765</v>
      </c>
      <c r="B97" s="327" t="s">
        <v>359</v>
      </c>
      <c r="C97" s="310"/>
      <c r="D97" s="311">
        <f>-N80*51%</f>
        <v>903656250</v>
      </c>
      <c r="E97" s="311"/>
      <c r="F97" s="315">
        <f>D97</f>
        <v>903656250</v>
      </c>
      <c r="G97" s="317">
        <f>IF(C97="BS",E97,0)</f>
        <v>0</v>
      </c>
      <c r="H97" s="311">
        <f>IF(C97="PL",D97,0)</f>
        <v>0</v>
      </c>
      <c r="I97" s="311">
        <f>IF(C97="PL",E97,0)</f>
        <v>0</v>
      </c>
    </row>
    <row r="98" spans="1:23" ht="12.75" customHeight="1">
      <c r="A98" s="313" t="s">
        <v>765</v>
      </c>
      <c r="B98" s="316" t="s">
        <v>764</v>
      </c>
      <c r="C98" s="318"/>
      <c r="D98" s="317"/>
      <c r="E98" s="317">
        <f>-D97</f>
        <v>-903656250</v>
      </c>
      <c r="F98" s="315"/>
      <c r="G98" s="317">
        <f>E98</f>
        <v>-903656250</v>
      </c>
      <c r="H98" s="317"/>
      <c r="I98" s="317"/>
    </row>
    <row r="99" spans="1:23" ht="12.75" customHeight="1">
      <c r="A99" s="308"/>
      <c r="B99" s="328"/>
      <c r="C99" s="326"/>
      <c r="D99" s="311"/>
      <c r="E99" s="311"/>
      <c r="F99" s="300"/>
      <c r="G99" s="300"/>
      <c r="H99" s="300"/>
      <c r="I99" s="300"/>
    </row>
    <row r="100" spans="1:23" ht="12.75" customHeight="1">
      <c r="A100" s="313"/>
      <c r="B100" s="314" t="s">
        <v>775</v>
      </c>
      <c r="C100" s="329"/>
      <c r="D100" s="330"/>
      <c r="E100" s="331"/>
      <c r="F100" s="300"/>
      <c r="G100" s="300"/>
      <c r="H100" s="300"/>
      <c r="I100" s="300"/>
    </row>
    <row r="101" spans="1:23" ht="12.75" customHeight="1">
      <c r="A101" s="313" t="s">
        <v>767</v>
      </c>
      <c r="B101" s="332" t="s">
        <v>367</v>
      </c>
      <c r="C101" s="329"/>
      <c r="D101" s="333">
        <f>-ROUND('Consol SoFP 23 &amp; 22'!Q102*51%,0)</f>
        <v>516867217</v>
      </c>
      <c r="E101" s="333"/>
      <c r="F101" s="311">
        <f>D101</f>
        <v>516867217</v>
      </c>
      <c r="G101" s="311"/>
      <c r="H101" s="311"/>
      <c r="I101" s="311"/>
      <c r="J101" s="334"/>
    </row>
    <row r="102" spans="1:23" ht="12.75" customHeight="1">
      <c r="A102" s="313" t="s">
        <v>767</v>
      </c>
      <c r="B102" s="335" t="s">
        <v>776</v>
      </c>
      <c r="C102" s="329"/>
      <c r="D102" s="333"/>
      <c r="E102" s="333">
        <f>-D101</f>
        <v>-516867217</v>
      </c>
      <c r="F102" s="315"/>
      <c r="G102" s="317">
        <f>-F101</f>
        <v>-516867217</v>
      </c>
      <c r="H102" s="311"/>
      <c r="I102" s="311"/>
    </row>
    <row r="103" spans="1:23" ht="12.75" customHeight="1">
      <c r="A103" s="313"/>
      <c r="B103" s="316"/>
      <c r="C103" s="329"/>
      <c r="D103" s="300"/>
      <c r="E103" s="333"/>
      <c r="F103" s="311"/>
      <c r="G103" s="311"/>
      <c r="H103" s="311"/>
      <c r="I103" s="311"/>
    </row>
    <row r="104" spans="1:23" ht="12.75" customHeight="1">
      <c r="A104" s="313"/>
      <c r="B104" s="314" t="s">
        <v>622</v>
      </c>
      <c r="C104" s="329"/>
      <c r="D104" s="330"/>
      <c r="E104" s="331"/>
      <c r="F104" s="300"/>
      <c r="G104" s="300"/>
      <c r="H104" s="300"/>
      <c r="I104" s="300"/>
    </row>
    <row r="105" spans="1:23" ht="12.75" customHeight="1">
      <c r="A105" s="313" t="s">
        <v>613</v>
      </c>
      <c r="B105" s="332" t="s">
        <v>623</v>
      </c>
      <c r="C105" s="329"/>
      <c r="D105" s="333">
        <f>'Capital Proforma Control'!J61</f>
        <v>40380952787.657722</v>
      </c>
      <c r="E105" s="333"/>
      <c r="F105" s="311">
        <f>D105</f>
        <v>40380952787.657722</v>
      </c>
      <c r="G105" s="311"/>
      <c r="H105" s="311"/>
      <c r="I105" s="311"/>
      <c r="J105" s="334"/>
      <c r="L105" s="287" t="s">
        <v>166</v>
      </c>
      <c r="M105" s="319">
        <f>M102-E102</f>
        <v>516867217</v>
      </c>
      <c r="N105" s="319">
        <f>-N102+100000000</f>
        <v>100000000</v>
      </c>
    </row>
    <row r="106" spans="1:23" ht="12.75" customHeight="1">
      <c r="A106" s="313" t="s">
        <v>613</v>
      </c>
      <c r="B106" s="335" t="s">
        <v>624</v>
      </c>
      <c r="C106" s="329"/>
      <c r="D106" s="333"/>
      <c r="E106" s="333">
        <f>-D105</f>
        <v>-40380952787.657722</v>
      </c>
      <c r="F106" s="315"/>
      <c r="G106" s="317">
        <f>-F105</f>
        <v>-40380952787.657722</v>
      </c>
      <c r="H106" s="311"/>
      <c r="I106" s="311"/>
    </row>
    <row r="107" spans="1:23" ht="12.75" customHeight="1">
      <c r="A107" s="313"/>
      <c r="B107" s="316"/>
      <c r="C107" s="329"/>
      <c r="D107" s="300"/>
      <c r="E107" s="333"/>
      <c r="F107" s="311"/>
      <c r="G107" s="311"/>
      <c r="H107" s="311"/>
      <c r="I107" s="311"/>
    </row>
    <row r="108" spans="1:23" ht="12.75" customHeight="1">
      <c r="A108" s="321"/>
      <c r="B108" s="322"/>
      <c r="C108" s="321"/>
      <c r="D108" s="323"/>
      <c r="E108" s="323"/>
      <c r="F108" s="323"/>
      <c r="G108" s="323"/>
      <c r="H108" s="323"/>
      <c r="I108" s="323"/>
    </row>
    <row r="109" spans="1:23" ht="12.75" customHeight="1">
      <c r="A109" s="324"/>
      <c r="B109" s="325" t="s">
        <v>578</v>
      </c>
      <c r="C109" s="326"/>
      <c r="D109" s="311"/>
      <c r="E109" s="311"/>
      <c r="F109" s="317"/>
      <c r="G109" s="317"/>
      <c r="H109" s="317"/>
      <c r="I109" s="317"/>
      <c r="L109" s="287" t="s">
        <v>352</v>
      </c>
      <c r="M109" s="287">
        <v>2024</v>
      </c>
      <c r="O109" s="287" t="s">
        <v>353</v>
      </c>
      <c r="P109" s="287" t="s">
        <v>101</v>
      </c>
      <c r="R109" s="287" t="s">
        <v>587</v>
      </c>
      <c r="S109" s="287" t="s">
        <v>221</v>
      </c>
      <c r="T109" s="287" t="s">
        <v>355</v>
      </c>
      <c r="U109" s="287" t="s">
        <v>356</v>
      </c>
      <c r="W109" s="287" t="s">
        <v>357</v>
      </c>
    </row>
    <row r="110" spans="1:23" ht="12.75" customHeight="1">
      <c r="A110" s="313"/>
      <c r="B110" s="314" t="s">
        <v>704</v>
      </c>
      <c r="C110" s="310"/>
      <c r="D110" s="311"/>
      <c r="E110" s="311"/>
      <c r="F110" s="315">
        <f>IF(C110="BS",D110,0)</f>
        <v>0</v>
      </c>
      <c r="G110" s="300">
        <f>IF(C110="BS",E110,0)</f>
        <v>0</v>
      </c>
      <c r="H110" s="311">
        <f>IF(C110="PL",D110,0)</f>
        <v>0</v>
      </c>
      <c r="I110" s="311">
        <f>IF(C110="PL",E110,0)</f>
        <v>0</v>
      </c>
      <c r="L110" s="287" t="s">
        <v>688</v>
      </c>
      <c r="M110" s="301">
        <f>M87</f>
        <v>3.3000000000000002E-2</v>
      </c>
      <c r="O110" s="302">
        <f>E112+D115</f>
        <v>14831474438.050968</v>
      </c>
      <c r="P110" s="302">
        <f>-O110</f>
        <v>-14831474438.050968</v>
      </c>
      <c r="R110" s="302">
        <f>E116</f>
        <v>-17742147473.468147</v>
      </c>
      <c r="S110" s="302">
        <f>D111</f>
        <v>2910673035.4171801</v>
      </c>
      <c r="T110" s="302">
        <f>E109</f>
        <v>0</v>
      </c>
      <c r="U110" s="302">
        <f>E113</f>
        <v>0</v>
      </c>
      <c r="W110" s="302">
        <f>P110-SUM(R110:U110)</f>
        <v>0</v>
      </c>
    </row>
    <row r="111" spans="1:23" ht="12.75" customHeight="1">
      <c r="A111" s="313" t="s">
        <v>692</v>
      </c>
      <c r="B111" s="332" t="s">
        <v>705</v>
      </c>
      <c r="C111" s="310"/>
      <c r="D111" s="311">
        <f>'Capital Proforma Control'!D94</f>
        <v>2910673035.4171801</v>
      </c>
      <c r="E111" s="311"/>
      <c r="F111" s="315">
        <f>D111</f>
        <v>2910673035.4171801</v>
      </c>
      <c r="G111" s="317">
        <f>IF(C111="BS",E111,0)</f>
        <v>0</v>
      </c>
      <c r="H111" s="311">
        <f>IF(C111="PL",D111,0)</f>
        <v>0</v>
      </c>
      <c r="I111" s="311">
        <f>IF(C111="PL",E111,0)</f>
        <v>0</v>
      </c>
      <c r="L111" s="287" t="s">
        <v>740</v>
      </c>
      <c r="M111" s="301">
        <f t="shared" ref="M111:M113" si="3">M88</f>
        <v>0.51</v>
      </c>
      <c r="O111" s="302">
        <f>E120+D123</f>
        <v>-1233577148.0032499</v>
      </c>
      <c r="P111" s="302">
        <f>-O111</f>
        <v>1233577148.0032499</v>
      </c>
      <c r="R111" s="302">
        <f>E124</f>
        <v>-349257712.86585021</v>
      </c>
      <c r="S111" s="302">
        <f>D119</f>
        <v>1582834860.8691001</v>
      </c>
      <c r="W111" s="302">
        <f>P111-SUM(R111:U111)</f>
        <v>0</v>
      </c>
    </row>
    <row r="112" spans="1:23" ht="12.75" customHeight="1">
      <c r="A112" s="313" t="s">
        <v>692</v>
      </c>
      <c r="B112" s="335" t="s">
        <v>367</v>
      </c>
      <c r="C112" s="318"/>
      <c r="D112" s="317"/>
      <c r="E112" s="317">
        <f>-D111</f>
        <v>-2910673035.4171801</v>
      </c>
      <c r="F112" s="315"/>
      <c r="G112" s="317">
        <f>E112</f>
        <v>-2910673035.4171801</v>
      </c>
      <c r="H112" s="317"/>
      <c r="I112" s="317"/>
      <c r="L112" s="287" t="s">
        <v>465</v>
      </c>
      <c r="M112" s="301">
        <f t="shared" si="3"/>
        <v>0.51</v>
      </c>
      <c r="O112" s="302">
        <f>D127+E132</f>
        <v>-8513616425.3365059</v>
      </c>
      <c r="P112" s="302">
        <f>-O112</f>
        <v>8513616425.3365059</v>
      </c>
      <c r="R112" s="302">
        <f>D131</f>
        <v>-819744244.51129341</v>
      </c>
      <c r="S112" s="302">
        <f>E128</f>
        <v>9333360669.8477993</v>
      </c>
      <c r="W112" s="302">
        <f>P112-SUM(R112:U112)</f>
        <v>0</v>
      </c>
    </row>
    <row r="113" spans="1:23" ht="12.75" customHeight="1">
      <c r="A113" s="308"/>
      <c r="B113" s="328"/>
      <c r="C113" s="326"/>
      <c r="D113" s="311"/>
      <c r="E113" s="311"/>
      <c r="F113" s="300"/>
      <c r="G113" s="300"/>
      <c r="H113" s="300"/>
      <c r="I113" s="300"/>
      <c r="L113" s="287" t="s">
        <v>611</v>
      </c>
      <c r="M113" s="301">
        <f t="shared" si="3"/>
        <v>0.51</v>
      </c>
      <c r="O113" s="302">
        <f>E136+D139</f>
        <v>49921484193.75</v>
      </c>
      <c r="P113" s="302">
        <f>-O113</f>
        <v>-49921484193.75</v>
      </c>
      <c r="R113" s="302">
        <f>E140</f>
        <v>-42140855359.050003</v>
      </c>
      <c r="S113" s="302">
        <f>D135</f>
        <v>-7780628834.6999998</v>
      </c>
    </row>
    <row r="114" spans="1:23" ht="12.75" customHeight="1">
      <c r="A114" s="313"/>
      <c r="B114" s="314" t="s">
        <v>708</v>
      </c>
      <c r="C114" s="329"/>
      <c r="D114" s="330"/>
      <c r="E114" s="331"/>
      <c r="F114" s="300"/>
      <c r="G114" s="300"/>
      <c r="H114" s="300"/>
      <c r="I114" s="300"/>
      <c r="M114" s="307"/>
      <c r="O114" s="302"/>
      <c r="P114" s="302"/>
      <c r="R114" s="302"/>
      <c r="S114" s="302"/>
      <c r="W114" s="302"/>
    </row>
    <row r="115" spans="1:23" ht="12.75" customHeight="1">
      <c r="A115" s="313" t="s">
        <v>693</v>
      </c>
      <c r="B115" s="332" t="s">
        <v>369</v>
      </c>
      <c r="C115" s="329"/>
      <c r="D115" s="333">
        <f>-'WP Investment'!J35</f>
        <v>17742147473.468147</v>
      </c>
      <c r="E115" s="333"/>
      <c r="F115" s="311">
        <f>D115</f>
        <v>17742147473.468147</v>
      </c>
      <c r="G115" s="311"/>
      <c r="H115" s="311"/>
      <c r="I115" s="311"/>
      <c r="J115" s="334"/>
    </row>
    <row r="116" spans="1:23" ht="12.75" customHeight="1">
      <c r="A116" s="313" t="s">
        <v>693</v>
      </c>
      <c r="B116" s="335" t="s">
        <v>372</v>
      </c>
      <c r="C116" s="329"/>
      <c r="D116" s="333"/>
      <c r="E116" s="333">
        <f>-D115</f>
        <v>-17742147473.468147</v>
      </c>
      <c r="F116" s="315"/>
      <c r="G116" s="317">
        <f>-F115</f>
        <v>-17742147473.468147</v>
      </c>
      <c r="H116" s="311"/>
      <c r="I116" s="311"/>
      <c r="L116" s="287" t="s">
        <v>475</v>
      </c>
      <c r="O116" s="302">
        <f>SUM(O110:O114)</f>
        <v>55005765058.461212</v>
      </c>
      <c r="P116" s="302">
        <f>SUM(P110:P114)</f>
        <v>-55005765058.461212</v>
      </c>
      <c r="R116" s="302">
        <f>SUM(R110:R114)</f>
        <v>-61052004789.895294</v>
      </c>
      <c r="S116" s="302">
        <f>SUM(S110:S114)</f>
        <v>6046239731.4340792</v>
      </c>
      <c r="T116" s="302">
        <f>SUM(T110:T114)</f>
        <v>0</v>
      </c>
      <c r="U116" s="302">
        <f>SUM(U110:U114)</f>
        <v>0</v>
      </c>
    </row>
    <row r="117" spans="1:23" ht="12.75" customHeight="1">
      <c r="A117" s="339"/>
      <c r="B117" s="340"/>
      <c r="C117" s="337"/>
      <c r="D117" s="338"/>
      <c r="E117" s="338"/>
      <c r="F117" s="338"/>
      <c r="G117" s="338"/>
      <c r="H117" s="338"/>
      <c r="I117" s="338"/>
    </row>
    <row r="118" spans="1:23" ht="12.75" customHeight="1">
      <c r="A118" s="313"/>
      <c r="B118" s="314" t="s">
        <v>749</v>
      </c>
      <c r="C118" s="329"/>
      <c r="D118" s="330"/>
      <c r="E118" s="331"/>
      <c r="F118" s="300"/>
      <c r="G118" s="300"/>
      <c r="H118" s="300"/>
      <c r="I118" s="300"/>
      <c r="M118" s="320"/>
      <c r="N118" s="302"/>
      <c r="O118" s="302"/>
      <c r="P118" s="320"/>
    </row>
    <row r="119" spans="1:23" ht="12.75" customHeight="1">
      <c r="A119" s="313" t="s">
        <v>743</v>
      </c>
      <c r="B119" s="332" t="s">
        <v>748</v>
      </c>
      <c r="C119" s="329"/>
      <c r="D119" s="333">
        <f>-'WP Investment'!AM31</f>
        <v>1582834860.8691001</v>
      </c>
      <c r="E119" s="333"/>
      <c r="F119" s="311">
        <f>D119</f>
        <v>1582834860.8691001</v>
      </c>
      <c r="G119" s="311"/>
      <c r="H119" s="311"/>
      <c r="I119" s="311"/>
      <c r="J119" s="334"/>
      <c r="M119" s="320" t="s">
        <v>475</v>
      </c>
      <c r="N119" s="287">
        <v>2022</v>
      </c>
      <c r="O119" s="287">
        <v>2023</v>
      </c>
      <c r="P119" s="287">
        <v>2024</v>
      </c>
      <c r="R119" s="307" t="s">
        <v>579</v>
      </c>
      <c r="S119" s="319"/>
    </row>
    <row r="120" spans="1:23" ht="12.75" customHeight="1">
      <c r="A120" s="313" t="s">
        <v>743</v>
      </c>
      <c r="B120" s="335" t="s">
        <v>369</v>
      </c>
      <c r="C120" s="329"/>
      <c r="D120" s="333"/>
      <c r="E120" s="333">
        <f>-D119</f>
        <v>-1582834860.8691001</v>
      </c>
      <c r="F120" s="315"/>
      <c r="G120" s="317">
        <f>-F119</f>
        <v>-1582834860.8691001</v>
      </c>
      <c r="H120" s="311"/>
      <c r="I120" s="311"/>
      <c r="M120" s="287" t="s">
        <v>688</v>
      </c>
      <c r="N120" s="302">
        <f>O9</f>
        <v>4673245190.1360941</v>
      </c>
      <c r="O120" s="302">
        <f>O87</f>
        <v>-19504719076.491695</v>
      </c>
      <c r="P120" s="302">
        <f>O110</f>
        <v>14831474438.050968</v>
      </c>
    </row>
    <row r="121" spans="1:23" ht="12.75" customHeight="1">
      <c r="A121" s="313"/>
      <c r="B121" s="316"/>
      <c r="C121" s="329"/>
      <c r="D121" s="300"/>
      <c r="E121" s="333"/>
      <c r="F121" s="311"/>
      <c r="G121" s="311"/>
      <c r="H121" s="311"/>
      <c r="I121" s="311"/>
      <c r="M121" s="287" t="s">
        <v>740</v>
      </c>
      <c r="N121" s="302">
        <f t="shared" ref="N121:N123" si="4">O10</f>
        <v>-132086846.88675007</v>
      </c>
      <c r="O121" s="302">
        <f t="shared" ref="O121:O123" si="5">O88</f>
        <v>1365663994.8900001</v>
      </c>
      <c r="P121" s="302">
        <f t="shared" ref="P121:P123" si="6">O111</f>
        <v>-1233577148.0032499</v>
      </c>
    </row>
    <row r="122" spans="1:23" ht="12.75" customHeight="1">
      <c r="A122" s="313"/>
      <c r="B122" s="314" t="s">
        <v>750</v>
      </c>
      <c r="C122" s="329"/>
      <c r="D122" s="330"/>
      <c r="E122" s="331"/>
      <c r="F122" s="300"/>
      <c r="G122" s="300"/>
      <c r="H122" s="300"/>
      <c r="I122" s="300"/>
      <c r="M122" s="287" t="s">
        <v>465</v>
      </c>
      <c r="N122" s="302">
        <f t="shared" si="4"/>
        <v>7093092958.3222504</v>
      </c>
      <c r="O122" s="302">
        <f t="shared" si="5"/>
        <v>1420523467</v>
      </c>
      <c r="P122" s="302">
        <f t="shared" si="6"/>
        <v>-8513616425.3365059</v>
      </c>
    </row>
    <row r="123" spans="1:23" ht="12.75" customHeight="1">
      <c r="A123" s="313" t="s">
        <v>745</v>
      </c>
      <c r="B123" s="332" t="s">
        <v>369</v>
      </c>
      <c r="C123" s="329"/>
      <c r="D123" s="333">
        <f>-E124</f>
        <v>349257712.86585021</v>
      </c>
      <c r="E123" s="333"/>
      <c r="F123" s="311">
        <f>D123</f>
        <v>349257712.86585021</v>
      </c>
      <c r="G123" s="311"/>
      <c r="H123" s="311"/>
      <c r="I123" s="311"/>
      <c r="J123" s="334"/>
      <c r="M123" s="287" t="s">
        <v>609</v>
      </c>
      <c r="N123" s="302">
        <f t="shared" si="4"/>
        <v>-9540531405.9421673</v>
      </c>
      <c r="O123" s="302">
        <f t="shared" si="5"/>
        <v>-40380952787.657722</v>
      </c>
      <c r="P123" s="302">
        <f t="shared" si="6"/>
        <v>49921484193.75</v>
      </c>
    </row>
    <row r="124" spans="1:23" ht="12.75" customHeight="1">
      <c r="A124" s="313" t="s">
        <v>745</v>
      </c>
      <c r="B124" s="335" t="s">
        <v>372</v>
      </c>
      <c r="C124" s="329"/>
      <c r="D124" s="333"/>
      <c r="E124" s="333">
        <f>'WP Investment'!AM35</f>
        <v>-349257712.86585021</v>
      </c>
      <c r="F124" s="315"/>
      <c r="G124" s="317">
        <f>-F123</f>
        <v>-349257712.86585021</v>
      </c>
      <c r="H124" s="311"/>
      <c r="I124" s="311"/>
    </row>
    <row r="125" spans="1:23" ht="12.75" customHeight="1">
      <c r="A125" s="339"/>
      <c r="B125" s="340"/>
      <c r="C125" s="337"/>
      <c r="D125" s="338"/>
      <c r="E125" s="338"/>
      <c r="F125" s="338"/>
      <c r="G125" s="338"/>
      <c r="H125" s="338"/>
      <c r="I125" s="338"/>
    </row>
    <row r="126" spans="1:23" ht="12.75" customHeight="1">
      <c r="A126" s="313"/>
      <c r="B126" s="314" t="s">
        <v>764</v>
      </c>
      <c r="C126" s="310"/>
      <c r="D126" s="311"/>
      <c r="E126" s="311"/>
      <c r="F126" s="315">
        <f>IF(C126="BS",D126,0)</f>
        <v>0</v>
      </c>
      <c r="G126" s="300">
        <f>IF(C126="BS",E126,0)</f>
        <v>0</v>
      </c>
      <c r="H126" s="311">
        <f>IF(C126="PL",D126,0)</f>
        <v>0</v>
      </c>
      <c r="I126" s="311">
        <f>IF(C126="PL",E126,0)</f>
        <v>0</v>
      </c>
    </row>
    <row r="127" spans="1:23" ht="12.75" customHeight="1">
      <c r="A127" s="313" t="s">
        <v>765</v>
      </c>
      <c r="B127" s="332" t="s">
        <v>369</v>
      </c>
      <c r="C127" s="310"/>
      <c r="D127" s="311">
        <f>'Equity &amp; Adjustment Consol'!I8*51%</f>
        <v>-9333360669.8477993</v>
      </c>
      <c r="E127" s="311"/>
      <c r="F127" s="315">
        <f>D127</f>
        <v>-9333360669.8477993</v>
      </c>
      <c r="G127" s="317">
        <f>IF(C127="BS",E127,0)</f>
        <v>0</v>
      </c>
      <c r="H127" s="311">
        <f>IF(C127="PL",D127,0)</f>
        <v>0</v>
      </c>
      <c r="I127" s="311">
        <f>IF(C127="PL",E127,0)</f>
        <v>0</v>
      </c>
    </row>
    <row r="128" spans="1:23" ht="12.75" customHeight="1">
      <c r="A128" s="313" t="s">
        <v>765</v>
      </c>
      <c r="B128" s="335" t="s">
        <v>776</v>
      </c>
      <c r="C128" s="318"/>
      <c r="D128" s="317"/>
      <c r="E128" s="317">
        <f>-D127</f>
        <v>9333360669.8477993</v>
      </c>
      <c r="F128" s="315"/>
      <c r="G128" s="317">
        <f>E128</f>
        <v>9333360669.8477993</v>
      </c>
      <c r="H128" s="317"/>
      <c r="I128" s="317"/>
    </row>
    <row r="129" spans="1:10" ht="12.75" customHeight="1">
      <c r="A129" s="308"/>
      <c r="B129" s="328"/>
      <c r="C129" s="326"/>
      <c r="D129" s="311"/>
      <c r="E129" s="311"/>
      <c r="F129" s="300"/>
      <c r="G129" s="300"/>
      <c r="H129" s="300"/>
      <c r="I129" s="300"/>
    </row>
    <row r="130" spans="1:10" ht="12.75" customHeight="1">
      <c r="A130" s="313"/>
      <c r="B130" s="314" t="s">
        <v>775</v>
      </c>
      <c r="C130" s="329"/>
      <c r="D130" s="330"/>
      <c r="E130" s="331"/>
      <c r="F130" s="300"/>
      <c r="G130" s="300"/>
      <c r="H130" s="300"/>
      <c r="I130" s="300"/>
    </row>
    <row r="131" spans="1:10" ht="12.75" customHeight="1">
      <c r="A131" s="313" t="s">
        <v>767</v>
      </c>
      <c r="B131" s="332" t="s">
        <v>372</v>
      </c>
      <c r="C131" s="329"/>
      <c r="D131" s="333">
        <f>-E132</f>
        <v>-819744244.51129341</v>
      </c>
      <c r="E131" s="333"/>
      <c r="F131" s="311">
        <f>D131</f>
        <v>-819744244.51129341</v>
      </c>
      <c r="G131" s="311"/>
      <c r="H131" s="311"/>
      <c r="I131" s="311"/>
      <c r="J131" s="334"/>
    </row>
    <row r="132" spans="1:10" ht="12.75" customHeight="1">
      <c r="A132" s="313" t="s">
        <v>767</v>
      </c>
      <c r="B132" s="335" t="s">
        <v>369</v>
      </c>
      <c r="C132" s="329"/>
      <c r="D132" s="333"/>
      <c r="E132" s="333">
        <f>-'WP Investment'!Z35</f>
        <v>819744244.51129341</v>
      </c>
      <c r="F132" s="315"/>
      <c r="G132" s="317">
        <f>-F131</f>
        <v>819744244.51129341</v>
      </c>
      <c r="H132" s="311"/>
      <c r="I132" s="311"/>
    </row>
    <row r="133" spans="1:10" ht="12.75" customHeight="1">
      <c r="A133" s="313"/>
      <c r="B133" s="316"/>
      <c r="C133" s="329"/>
      <c r="D133" s="300"/>
      <c r="E133" s="333"/>
      <c r="F133" s="311"/>
      <c r="G133" s="311"/>
      <c r="H133" s="311"/>
      <c r="I133" s="311"/>
    </row>
    <row r="134" spans="1:10" ht="12.75" customHeight="1">
      <c r="A134" s="313"/>
      <c r="B134" s="314" t="s">
        <v>612</v>
      </c>
      <c r="C134" s="310"/>
      <c r="D134" s="311"/>
      <c r="E134" s="311"/>
      <c r="F134" s="315">
        <f>IF(C134="BS",D134,0)</f>
        <v>0</v>
      </c>
      <c r="G134" s="300">
        <f>IF(C134="BS",E134,0)</f>
        <v>0</v>
      </c>
      <c r="H134" s="311">
        <f>IF(C134="PL",D134,0)</f>
        <v>0</v>
      </c>
      <c r="I134" s="311">
        <f>IF(C134="PL",E134,0)</f>
        <v>0</v>
      </c>
    </row>
    <row r="135" spans="1:10" ht="12.75" customHeight="1">
      <c r="A135" s="313" t="s">
        <v>613</v>
      </c>
      <c r="B135" s="332" t="s">
        <v>623</v>
      </c>
      <c r="C135" s="310"/>
      <c r="D135" s="311">
        <f>-'WP Investment'!BG31</f>
        <v>-7780628834.6999998</v>
      </c>
      <c r="E135" s="311"/>
      <c r="F135" s="315">
        <f>D135</f>
        <v>-7780628834.6999998</v>
      </c>
      <c r="G135" s="317">
        <f>IF(C135="BS",E135,0)</f>
        <v>0</v>
      </c>
      <c r="H135" s="311">
        <f>IF(C135="PL",D135,0)</f>
        <v>0</v>
      </c>
      <c r="I135" s="311">
        <f>IF(C135="PL",E135,0)</f>
        <v>0</v>
      </c>
    </row>
    <row r="136" spans="1:10" ht="12.75" customHeight="1">
      <c r="A136" s="313" t="s">
        <v>613</v>
      </c>
      <c r="B136" s="335" t="s">
        <v>369</v>
      </c>
      <c r="C136" s="318"/>
      <c r="D136" s="317"/>
      <c r="E136" s="317">
        <f>-D135</f>
        <v>7780628834.6999998</v>
      </c>
      <c r="F136" s="315"/>
      <c r="G136" s="317">
        <f>E136</f>
        <v>7780628834.6999998</v>
      </c>
      <c r="H136" s="317"/>
      <c r="I136" s="317"/>
    </row>
    <row r="137" spans="1:10" ht="12.75" customHeight="1">
      <c r="A137" s="308"/>
      <c r="B137" s="328"/>
      <c r="C137" s="326"/>
      <c r="D137" s="311"/>
      <c r="E137" s="311"/>
      <c r="F137" s="300"/>
      <c r="G137" s="300"/>
      <c r="H137" s="300"/>
      <c r="I137" s="300"/>
    </row>
    <row r="138" spans="1:10" ht="12.75" customHeight="1">
      <c r="A138" s="313"/>
      <c r="B138" s="314" t="s">
        <v>625</v>
      </c>
      <c r="C138" s="329"/>
      <c r="D138" s="330"/>
      <c r="E138" s="331"/>
      <c r="F138" s="300"/>
      <c r="G138" s="300"/>
      <c r="H138" s="300"/>
      <c r="I138" s="300"/>
    </row>
    <row r="139" spans="1:10" ht="12.75" customHeight="1">
      <c r="A139" s="313" t="s">
        <v>616</v>
      </c>
      <c r="B139" s="332" t="s">
        <v>369</v>
      </c>
      <c r="C139" s="329"/>
      <c r="D139" s="333">
        <f>-'WP Investment'!BG35</f>
        <v>42140855359.050003</v>
      </c>
      <c r="E139" s="333"/>
      <c r="F139" s="311">
        <f>D139</f>
        <v>42140855359.050003</v>
      </c>
      <c r="G139" s="311"/>
      <c r="H139" s="311"/>
      <c r="I139" s="311"/>
      <c r="J139" s="334"/>
    </row>
    <row r="140" spans="1:10" ht="12.75" customHeight="1">
      <c r="A140" s="313" t="s">
        <v>616</v>
      </c>
      <c r="B140" s="335" t="s">
        <v>372</v>
      </c>
      <c r="C140" s="329"/>
      <c r="D140" s="333"/>
      <c r="E140" s="333">
        <f>-D139</f>
        <v>-42140855359.050003</v>
      </c>
      <c r="F140" s="315"/>
      <c r="G140" s="317">
        <f>-F139</f>
        <v>-42140855359.050003</v>
      </c>
      <c r="H140" s="311"/>
      <c r="I140" s="311"/>
    </row>
    <row r="141" spans="1:10" ht="12.75" customHeight="1">
      <c r="A141" s="313"/>
      <c r="B141" s="316"/>
      <c r="C141" s="329"/>
      <c r="D141" s="300"/>
      <c r="E141" s="333"/>
      <c r="F141" s="311"/>
      <c r="G141" s="311"/>
      <c r="H141" s="311"/>
      <c r="I141" s="311"/>
    </row>
    <row r="142" spans="1:10" ht="12.75" customHeight="1">
      <c r="A142" s="321"/>
      <c r="B142" s="322"/>
      <c r="C142" s="321"/>
      <c r="D142" s="323"/>
      <c r="E142" s="323"/>
      <c r="F142" s="323"/>
      <c r="G142" s="323"/>
      <c r="H142" s="323"/>
      <c r="I142" s="323"/>
    </row>
    <row r="143" spans="1:10" ht="12.75" customHeight="1" outlineLevel="1">
      <c r="A143" s="321"/>
      <c r="B143" s="341"/>
      <c r="C143" s="342"/>
      <c r="D143" s="343"/>
      <c r="E143" s="343"/>
      <c r="F143" s="343"/>
      <c r="G143" s="343"/>
      <c r="H143" s="343"/>
      <c r="I143" s="343"/>
    </row>
    <row r="144" spans="1:10" ht="12.75" customHeight="1" outlineLevel="1">
      <c r="A144" s="344"/>
      <c r="B144" s="345"/>
      <c r="C144" s="344"/>
      <c r="D144" s="346">
        <f t="shared" ref="D144:I144" si="7">SUM(D9:D143)</f>
        <v>186608192247.93176</v>
      </c>
      <c r="E144" s="346">
        <f t="shared" si="7"/>
        <v>-186608192247.93176</v>
      </c>
      <c r="F144" s="346">
        <f t="shared" si="7"/>
        <v>186608192247.93176</v>
      </c>
      <c r="G144" s="346">
        <f t="shared" si="7"/>
        <v>-186608192247.93176</v>
      </c>
      <c r="H144" s="346">
        <f t="shared" si="7"/>
        <v>0</v>
      </c>
      <c r="I144" s="346">
        <f t="shared" si="7"/>
        <v>0</v>
      </c>
      <c r="J144" s="347"/>
    </row>
    <row r="145" spans="1:10" s="347" customFormat="1">
      <c r="A145" s="287"/>
      <c r="B145" s="287"/>
      <c r="C145" s="348"/>
      <c r="D145" s="296"/>
      <c r="E145" s="296"/>
      <c r="F145" s="349"/>
      <c r="G145" s="349"/>
      <c r="H145" s="349"/>
      <c r="I145" s="349"/>
      <c r="J145" s="287"/>
    </row>
    <row r="146" spans="1:10">
      <c r="C146" s="350" t="s">
        <v>347</v>
      </c>
      <c r="D146" s="351">
        <f t="shared" ref="D146:E146" si="8">D144-D145</f>
        <v>186608192247.93176</v>
      </c>
      <c r="E146" s="351">
        <f t="shared" si="8"/>
        <v>-186608192247.93176</v>
      </c>
      <c r="F146" s="351">
        <f>F144-F145</f>
        <v>186608192247.93176</v>
      </c>
      <c r="G146" s="351">
        <f>G144-G145</f>
        <v>-186608192247.93176</v>
      </c>
      <c r="H146" s="351">
        <f>H144-H145</f>
        <v>0</v>
      </c>
      <c r="I146" s="351">
        <f>I144-I145</f>
        <v>0</v>
      </c>
    </row>
    <row r="155" spans="1:10" ht="12.75" customHeight="1" outlineLevel="1"/>
    <row r="156" spans="1:10" ht="12" customHeight="1" outlineLevel="1"/>
    <row r="157" spans="1:10" ht="12.75" customHeight="1" outlineLevel="1"/>
    <row r="158" spans="1:10" ht="12.75" customHeight="1" outlineLevel="1"/>
    <row r="159" spans="1:10" ht="12.75" customHeight="1" outlineLevel="1"/>
    <row r="160" spans="1:10" ht="12" customHeight="1" outlineLevel="1"/>
    <row r="161" ht="12.75" customHeight="1" outlineLevel="1"/>
    <row r="162" ht="12.75" customHeight="1" outlineLevel="1"/>
    <row r="163" ht="12.75" customHeight="1" outlineLevel="1"/>
    <row r="164" ht="12.75" customHeight="1" outlineLevel="1"/>
    <row r="165" ht="12.75" customHeight="1" outlineLevel="1"/>
    <row r="166" ht="12.75" customHeight="1" outlineLevel="1"/>
    <row r="167" ht="12.75" customHeight="1" outlineLevel="1"/>
    <row r="168" ht="12.75" customHeight="1" outlineLevel="1"/>
    <row r="169" ht="12.75" customHeight="1" outlineLevel="1"/>
    <row r="170" ht="12.75" customHeight="1" outlineLevel="1"/>
    <row r="171" ht="12.75" customHeight="1" outlineLevel="1"/>
    <row r="172" ht="12.75" customHeight="1" outlineLevel="1"/>
  </sheetData>
  <mergeCells count="6">
    <mergeCell ref="H7:I7"/>
    <mergeCell ref="A7:A8"/>
    <mergeCell ref="B7:B8"/>
    <mergeCell ref="C7:C8"/>
    <mergeCell ref="D7:E7"/>
    <mergeCell ref="F7:G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78C4-F595-41B7-A42A-F96BC9F919C3}">
  <dimension ref="A2:Z149"/>
  <sheetViews>
    <sheetView workbookViewId="0"/>
  </sheetViews>
  <sheetFormatPr defaultColWidth="8.26953125" defaultRowHeight="12.5"/>
  <cols>
    <col min="1" max="1" width="4" style="172" customWidth="1"/>
    <col min="2" max="2" width="26" style="172" bestFit="1" customWidth="1"/>
    <col min="3" max="3" width="2.1796875" style="172" customWidth="1"/>
    <col min="4" max="4" width="18.7265625" style="172" bestFit="1" customWidth="1"/>
    <col min="5" max="5" width="2.1796875" style="172" customWidth="1"/>
    <col min="6" max="6" width="18.81640625" style="172" bestFit="1" customWidth="1"/>
    <col min="7" max="7" width="2.1796875" style="172" customWidth="1"/>
    <col min="8" max="8" width="18.7265625" style="172" bestFit="1" customWidth="1"/>
    <col min="9" max="9" width="2.1796875" style="172" customWidth="1"/>
    <col min="10" max="10" width="18.7265625" style="172" bestFit="1" customWidth="1"/>
    <col min="11" max="11" width="2.1796875" style="172" customWidth="1"/>
    <col min="12" max="12" width="18.7265625" style="172" bestFit="1" customWidth="1"/>
    <col min="13" max="13" width="2.1796875" style="172" customWidth="1"/>
    <col min="14" max="14" width="19" style="172" customWidth="1"/>
    <col min="15" max="15" width="3" style="172" customWidth="1"/>
    <col min="16" max="16" width="18.1796875" style="172" customWidth="1"/>
    <col min="17" max="17" width="2.81640625" style="172" customWidth="1"/>
    <col min="18" max="18" width="17.7265625" style="172" bestFit="1" customWidth="1"/>
    <col min="19" max="19" width="3.54296875" style="172" customWidth="1"/>
    <col min="20" max="20" width="20.1796875" style="172" customWidth="1"/>
    <col min="21" max="21" width="3.54296875" style="172" customWidth="1"/>
    <col min="22" max="22" width="17.7265625" style="172" bestFit="1" customWidth="1"/>
    <col min="23" max="23" width="4.453125" style="172" customWidth="1"/>
    <col min="24" max="24" width="17.7265625" style="172" bestFit="1" customWidth="1"/>
    <col min="25" max="25" width="8.26953125" style="172"/>
    <col min="26" max="26" width="16.54296875" style="172" bestFit="1" customWidth="1"/>
    <col min="27" max="16384" width="8.26953125" style="172"/>
  </cols>
  <sheetData>
    <row r="2" spans="1:26" ht="13">
      <c r="A2" s="152" t="s">
        <v>476</v>
      </c>
      <c r="B2" s="153"/>
    </row>
    <row r="3" spans="1:26" ht="13">
      <c r="A3" s="152" t="s">
        <v>410</v>
      </c>
      <c r="B3" s="153"/>
    </row>
    <row r="4" spans="1:26" ht="13">
      <c r="A4" s="152" t="s">
        <v>558</v>
      </c>
      <c r="B4" s="153"/>
    </row>
    <row r="7" spans="1:26" s="173" customFormat="1">
      <c r="B7" s="174" t="s">
        <v>411</v>
      </c>
    </row>
    <row r="9" spans="1:26" s="471" customFormat="1" ht="13">
      <c r="B9" s="472">
        <v>2022</v>
      </c>
    </row>
    <row r="10" spans="1:26" s="176" customFormat="1" ht="13">
      <c r="D10" s="177">
        <v>3.3000000000000002E-2</v>
      </c>
      <c r="F10" s="177">
        <v>0.51</v>
      </c>
      <c r="H10" s="177">
        <v>0.51</v>
      </c>
      <c r="J10" s="177">
        <v>0.51</v>
      </c>
      <c r="L10" s="177">
        <v>0.51</v>
      </c>
      <c r="P10" s="177">
        <v>0.51</v>
      </c>
      <c r="S10" s="177"/>
    </row>
    <row r="11" spans="1:26" s="176" customFormat="1" ht="13">
      <c r="D11" s="178" t="s">
        <v>688</v>
      </c>
      <c r="F11" s="178" t="s">
        <v>740</v>
      </c>
      <c r="H11" s="178" t="s">
        <v>465</v>
      </c>
      <c r="J11" s="178" t="s">
        <v>609</v>
      </c>
      <c r="L11" s="178" t="s">
        <v>461</v>
      </c>
      <c r="N11" s="178" t="s">
        <v>204</v>
      </c>
      <c r="P11" s="178" t="s">
        <v>13</v>
      </c>
    </row>
    <row r="12" spans="1:26" ht="13">
      <c r="D12" s="179"/>
      <c r="F12" s="179"/>
      <c r="H12" s="179"/>
      <c r="J12" s="179"/>
      <c r="L12" s="179"/>
      <c r="N12" s="179"/>
      <c r="P12" s="179"/>
      <c r="T12" s="176"/>
      <c r="U12" s="176"/>
      <c r="V12" s="176"/>
      <c r="W12" s="176"/>
      <c r="X12" s="176"/>
      <c r="Y12" s="176"/>
      <c r="Z12" s="176"/>
    </row>
    <row r="13" spans="1:26" ht="13">
      <c r="B13" s="172" t="s">
        <v>205</v>
      </c>
      <c r="D13" s="180">
        <f>'Consol SoFP 23 &amp; 22'!AM93</f>
        <v>-217283295600</v>
      </c>
      <c r="F13" s="180">
        <f>'Consol SoFP 23 &amp; 22'!AP93</f>
        <v>-23625000</v>
      </c>
      <c r="H13" s="180">
        <f>'Consol SoFP 23 &amp; 22'!AS93</f>
        <v>-984375000</v>
      </c>
      <c r="J13" s="180">
        <f>'Consol SoFP 23 &amp; 22'!AV93</f>
        <v>-472500000</v>
      </c>
      <c r="L13" s="180"/>
      <c r="N13" s="180">
        <f>-SUM(D13,F13,H13,J13,L13)</f>
        <v>218763795600</v>
      </c>
      <c r="P13" s="180">
        <f>SUM(D13,F13,H13,J13,L13,N13)</f>
        <v>0</v>
      </c>
      <c r="T13" s="176"/>
      <c r="U13" s="176"/>
      <c r="V13" s="176"/>
      <c r="W13" s="176"/>
      <c r="X13" s="176"/>
      <c r="Y13" s="176"/>
      <c r="Z13" s="176"/>
    </row>
    <row r="14" spans="1:26" ht="13">
      <c r="B14" s="172" t="s">
        <v>206</v>
      </c>
      <c r="D14" s="180">
        <f>'Consol SoFP 23 &amp; 22'!AM101</f>
        <v>129961640658.14999</v>
      </c>
      <c r="F14" s="180"/>
      <c r="H14" s="180">
        <f>'Consol SoFP 23 &amp; 22'!AS101</f>
        <v>-11332579376.475</v>
      </c>
      <c r="J14" s="180">
        <f>'Consol SoFP 23 &amp; 22'!AV101</f>
        <v>-20240927228</v>
      </c>
      <c r="L14" s="180"/>
      <c r="N14" s="180">
        <f t="shared" ref="N14:N17" si="0">-SUM(D14,F14,H14,J14,L14)</f>
        <v>-98388134053.674988</v>
      </c>
      <c r="P14" s="180">
        <f t="shared" ref="P14:P17" si="1">SUM(D14,F14,H14,J14,L14,N14)</f>
        <v>0</v>
      </c>
      <c r="T14" s="176"/>
      <c r="U14" s="176"/>
      <c r="V14" s="176"/>
      <c r="W14" s="176"/>
      <c r="X14" s="176"/>
      <c r="Y14" s="176"/>
      <c r="Z14" s="176"/>
    </row>
    <row r="15" spans="1:26" ht="13">
      <c r="B15" s="172" t="s">
        <v>207</v>
      </c>
      <c r="D15" s="180">
        <f>'Consol SoFP 23 &amp; 22'!AM102</f>
        <v>382074481738.04993</v>
      </c>
      <c r="F15" s="180">
        <f>'Consol SoFP 23 &amp; 22'!AP102</f>
        <v>282618817.42500013</v>
      </c>
      <c r="H15" s="180">
        <f>'Consol SoFP 23 &amp; 22'!AS102</f>
        <v>574553968</v>
      </c>
      <c r="J15" s="180">
        <f>'Consol SoFP 23 &amp; 22'!AV102</f>
        <v>39420351553.376801</v>
      </c>
      <c r="L15" s="180"/>
      <c r="N15" s="180">
        <f t="shared" si="0"/>
        <v>-422352006076.85168</v>
      </c>
      <c r="P15" s="180">
        <f t="shared" si="1"/>
        <v>0</v>
      </c>
      <c r="T15" s="176"/>
      <c r="U15" s="176"/>
      <c r="V15" s="176"/>
      <c r="W15" s="176"/>
      <c r="X15" s="176"/>
      <c r="Y15" s="176"/>
      <c r="Z15" s="176"/>
    </row>
    <row r="16" spans="1:26" ht="13">
      <c r="B16" s="172" t="s">
        <v>246</v>
      </c>
      <c r="D16" s="180">
        <f>'Consol SoFP 23 &amp; 22'!AM97</f>
        <v>-1287204345</v>
      </c>
      <c r="F16" s="180"/>
      <c r="H16" s="180">
        <v>0</v>
      </c>
      <c r="J16" s="180">
        <v>0</v>
      </c>
      <c r="L16" s="180"/>
      <c r="N16" s="180">
        <f t="shared" si="0"/>
        <v>1287204345</v>
      </c>
      <c r="P16" s="180">
        <f t="shared" si="1"/>
        <v>0</v>
      </c>
      <c r="T16" s="176"/>
      <c r="U16" s="176"/>
      <c r="V16" s="176"/>
      <c r="W16" s="176"/>
      <c r="X16" s="176"/>
      <c r="Y16" s="176"/>
      <c r="Z16" s="176"/>
    </row>
    <row r="17" spans="2:26" ht="13">
      <c r="B17" s="172" t="s">
        <v>247</v>
      </c>
      <c r="D17" s="180">
        <f>'Consol SoFP 23 &amp; 22'!AM98</f>
        <v>-3259321146.9000001</v>
      </c>
      <c r="F17" s="180">
        <v>0</v>
      </c>
      <c r="H17" s="180">
        <v>0</v>
      </c>
      <c r="J17" s="180">
        <v>0</v>
      </c>
      <c r="L17" s="180"/>
      <c r="N17" s="180">
        <f t="shared" si="0"/>
        <v>3259321146.9000001</v>
      </c>
      <c r="P17" s="180">
        <f t="shared" si="1"/>
        <v>0</v>
      </c>
      <c r="T17" s="176"/>
      <c r="U17" s="176"/>
      <c r="V17" s="176"/>
      <c r="W17" s="176"/>
      <c r="X17" s="176"/>
      <c r="Y17" s="176"/>
      <c r="Z17" s="176"/>
    </row>
    <row r="18" spans="2:26" ht="13">
      <c r="B18" s="172" t="s">
        <v>412</v>
      </c>
      <c r="D18" s="180"/>
      <c r="F18" s="180"/>
      <c r="H18" s="180"/>
      <c r="J18" s="180"/>
      <c r="L18" s="180"/>
      <c r="N18" s="180"/>
      <c r="P18" s="180"/>
      <c r="T18" s="176"/>
      <c r="U18" s="176"/>
      <c r="V18" s="176"/>
      <c r="W18" s="176"/>
      <c r="X18" s="176"/>
      <c r="Y18" s="176"/>
      <c r="Z18" s="176"/>
    </row>
    <row r="19" spans="2:26">
      <c r="B19" s="172" t="s">
        <v>211</v>
      </c>
      <c r="D19" s="409">
        <f>'Consol SoFP 23 &amp; 22'!AM105</f>
        <v>-1737361929.9346149</v>
      </c>
      <c r="F19" s="409"/>
      <c r="H19" s="409"/>
      <c r="J19" s="409"/>
      <c r="L19" s="409"/>
      <c r="N19" s="409"/>
      <c r="P19" s="409"/>
    </row>
    <row r="20" spans="2:26">
      <c r="B20" s="172" t="s">
        <v>89</v>
      </c>
      <c r="D20" s="181">
        <f>'Consol SoFP 23 &amp; 22'!AM94</f>
        <v>-430082429984.54999</v>
      </c>
      <c r="F20" s="181"/>
      <c r="H20" s="181">
        <f>'Consol SoFP 23 &amp; 22'!AS95</f>
        <v>-2165625000</v>
      </c>
      <c r="J20" s="181"/>
      <c r="L20" s="181"/>
      <c r="N20" s="181"/>
      <c r="P20" s="181"/>
    </row>
    <row r="21" spans="2:26">
      <c r="D21" s="182"/>
      <c r="F21" s="182"/>
      <c r="H21" s="182"/>
      <c r="J21" s="182"/>
      <c r="L21" s="182"/>
      <c r="N21" s="182"/>
      <c r="P21" s="182"/>
    </row>
    <row r="22" spans="2:26" ht="13">
      <c r="B22" s="176" t="s">
        <v>104</v>
      </c>
      <c r="D22" s="183">
        <f>SUM(D13:D20)</f>
        <v>-141613490610.18469</v>
      </c>
      <c r="F22" s="183">
        <f>SUM(F13:F20)</f>
        <v>258993817.42500013</v>
      </c>
      <c r="H22" s="183">
        <f>SUM(H13:H20)</f>
        <v>-13908025408.475</v>
      </c>
      <c r="J22" s="183">
        <f>SUM(J13:J20)</f>
        <v>18706924325.376801</v>
      </c>
      <c r="L22" s="183">
        <f>SUM(L13:L20)</f>
        <v>0</v>
      </c>
      <c r="N22" s="183">
        <f>SUM(N13:N20)</f>
        <v>-297429819038.62665</v>
      </c>
      <c r="P22" s="183">
        <f>SUM(P13:P20)</f>
        <v>0</v>
      </c>
    </row>
    <row r="23" spans="2:26" ht="13">
      <c r="B23" s="176"/>
      <c r="D23" s="183">
        <f>'Consol SoFP 23 &amp; 22'!AM109</f>
        <v>-141613490610.18472</v>
      </c>
      <c r="F23" s="183">
        <f>'Consol SoFP 23 &amp; 22'!AP109</f>
        <v>258993817.42500013</v>
      </c>
      <c r="H23" s="183">
        <f>'Consol SoFP 23 &amp; 22'!AS109</f>
        <v>-13908025408.475</v>
      </c>
      <c r="J23" s="183">
        <f>'Consol SoFP 23 &amp; 22'!AT109</f>
        <v>18706924325.376801</v>
      </c>
      <c r="L23" s="183"/>
      <c r="N23" s="183"/>
      <c r="P23" s="183"/>
    </row>
    <row r="24" spans="2:26" ht="13">
      <c r="B24" s="184" t="s">
        <v>212</v>
      </c>
      <c r="D24" s="179">
        <f>D22-D23</f>
        <v>0</v>
      </c>
      <c r="F24" s="179">
        <f t="shared" ref="F24" si="2">F22-F23</f>
        <v>0</v>
      </c>
      <c r="H24" s="179">
        <f t="shared" ref="H24" si="3">H22-H23</f>
        <v>0</v>
      </c>
      <c r="J24" s="179">
        <f t="shared" ref="J24" si="4">J22-J23</f>
        <v>0</v>
      </c>
      <c r="L24" s="179">
        <f t="shared" ref="L24" si="5">L22-L23</f>
        <v>0</v>
      </c>
      <c r="N24" s="179">
        <f t="shared" ref="N24" si="6">N22-N23</f>
        <v>-297429819038.62665</v>
      </c>
      <c r="P24" s="179"/>
    </row>
    <row r="25" spans="2:26" ht="13">
      <c r="D25" s="179"/>
      <c r="F25" s="179"/>
      <c r="H25" s="179"/>
      <c r="J25" s="179"/>
      <c r="L25" s="179"/>
      <c r="N25" s="179"/>
      <c r="P25" s="179"/>
    </row>
    <row r="26" spans="2:26" ht="13">
      <c r="B26" s="185" t="s">
        <v>213</v>
      </c>
      <c r="D26" s="179"/>
      <c r="F26" s="179"/>
      <c r="H26" s="179"/>
      <c r="J26" s="179"/>
      <c r="L26" s="179"/>
      <c r="N26" s="179"/>
      <c r="P26" s="179"/>
    </row>
    <row r="27" spans="2:26">
      <c r="B27" s="172" t="s">
        <v>205</v>
      </c>
      <c r="D27" s="180">
        <f t="shared" ref="D27:D34" si="7">D$10*D13</f>
        <v>-7170348754.8000002</v>
      </c>
      <c r="F27" s="180">
        <f>F$10*F13</f>
        <v>-12048750</v>
      </c>
      <c r="H27" s="180">
        <f t="shared" ref="H27:H33" si="8">H$10*H13</f>
        <v>-502031250</v>
      </c>
      <c r="J27" s="180">
        <f>J$10*J13</f>
        <v>-240975000</v>
      </c>
      <c r="L27" s="180">
        <f>L$10*L13</f>
        <v>0</v>
      </c>
      <c r="N27" s="180"/>
      <c r="P27" s="180">
        <f t="shared" ref="P27:P34" si="9">SUM(D27,F27,H27,J27,L27,N27)</f>
        <v>-7925403754.8000002</v>
      </c>
      <c r="R27" s="669" t="s">
        <v>413</v>
      </c>
    </row>
    <row r="28" spans="2:26">
      <c r="B28" s="172" t="s">
        <v>206</v>
      </c>
      <c r="D28" s="180">
        <f t="shared" si="7"/>
        <v>4288734141.7189498</v>
      </c>
      <c r="F28" s="180">
        <f t="shared" ref="F28:F34" si="10">F$10*F14</f>
        <v>0</v>
      </c>
      <c r="H28" s="180">
        <f t="shared" si="8"/>
        <v>-5779615482.0022507</v>
      </c>
      <c r="J28" s="180">
        <f t="shared" ref="J28:L34" si="11">J$10*J14</f>
        <v>-10322872886.280001</v>
      </c>
      <c r="L28" s="180">
        <f t="shared" si="11"/>
        <v>0</v>
      </c>
      <c r="N28" s="180"/>
      <c r="P28" s="180">
        <f t="shared" si="9"/>
        <v>-11813754226.563301</v>
      </c>
      <c r="R28" s="669"/>
    </row>
    <row r="29" spans="2:26">
      <c r="B29" s="172" t="s">
        <v>207</v>
      </c>
      <c r="D29" s="180">
        <f t="shared" si="7"/>
        <v>12608457897.355648</v>
      </c>
      <c r="F29" s="180">
        <f>F$10*F15</f>
        <v>144135596.88675007</v>
      </c>
      <c r="H29" s="180">
        <f t="shared" si="8"/>
        <v>293022523.68000001</v>
      </c>
      <c r="J29" s="180">
        <f t="shared" si="11"/>
        <v>20104379292.222168</v>
      </c>
      <c r="L29" s="180">
        <f t="shared" si="11"/>
        <v>0</v>
      </c>
      <c r="N29" s="180"/>
      <c r="P29" s="180">
        <f t="shared" si="9"/>
        <v>33149995310.144566</v>
      </c>
      <c r="Q29" s="172" t="s">
        <v>414</v>
      </c>
      <c r="R29" s="187" t="s">
        <v>415</v>
      </c>
    </row>
    <row r="30" spans="2:26">
      <c r="B30" s="172" t="s">
        <v>246</v>
      </c>
      <c r="D30" s="180">
        <f t="shared" si="7"/>
        <v>-42477743.385000005</v>
      </c>
      <c r="F30" s="180">
        <f t="shared" si="10"/>
        <v>0</v>
      </c>
      <c r="H30" s="180">
        <f t="shared" si="8"/>
        <v>0</v>
      </c>
      <c r="J30" s="180">
        <f t="shared" si="11"/>
        <v>0</v>
      </c>
      <c r="L30" s="180">
        <f t="shared" si="11"/>
        <v>0</v>
      </c>
      <c r="N30" s="180"/>
      <c r="P30" s="180">
        <f t="shared" si="9"/>
        <v>-42477743.385000005</v>
      </c>
      <c r="Q30" s="172" t="s">
        <v>414</v>
      </c>
      <c r="R30" s="187" t="s">
        <v>413</v>
      </c>
    </row>
    <row r="31" spans="2:26">
      <c r="B31" s="172" t="s">
        <v>247</v>
      </c>
      <c r="D31" s="180">
        <f>D$10*D17</f>
        <v>-107557597.84770001</v>
      </c>
      <c r="F31" s="180">
        <f t="shared" si="10"/>
        <v>0</v>
      </c>
      <c r="H31" s="180">
        <f t="shared" si="8"/>
        <v>0</v>
      </c>
      <c r="J31" s="180">
        <f t="shared" si="11"/>
        <v>0</v>
      </c>
      <c r="L31" s="180">
        <f t="shared" si="11"/>
        <v>0</v>
      </c>
      <c r="N31" s="180"/>
      <c r="P31" s="180">
        <f t="shared" si="9"/>
        <v>-107557597.84770001</v>
      </c>
      <c r="Q31" s="172" t="s">
        <v>414</v>
      </c>
      <c r="R31" s="187" t="s">
        <v>416</v>
      </c>
    </row>
    <row r="32" spans="2:26">
      <c r="B32" s="172" t="s">
        <v>412</v>
      </c>
      <c r="D32" s="180">
        <f t="shared" si="7"/>
        <v>0</v>
      </c>
      <c r="F32" s="180">
        <f t="shared" si="10"/>
        <v>0</v>
      </c>
      <c r="H32" s="180">
        <f t="shared" si="8"/>
        <v>0</v>
      </c>
      <c r="J32" s="180">
        <f t="shared" si="11"/>
        <v>0</v>
      </c>
      <c r="L32" s="180">
        <f t="shared" si="11"/>
        <v>0</v>
      </c>
      <c r="N32" s="180"/>
      <c r="P32" s="180">
        <f t="shared" si="9"/>
        <v>0</v>
      </c>
      <c r="Q32" s="172" t="s">
        <v>414</v>
      </c>
      <c r="R32" s="187" t="s">
        <v>413</v>
      </c>
    </row>
    <row r="33" spans="2:18">
      <c r="B33" s="172" t="s">
        <v>211</v>
      </c>
      <c r="D33" s="180">
        <f t="shared" si="7"/>
        <v>-57332943.687842295</v>
      </c>
      <c r="F33" s="180">
        <f t="shared" si="10"/>
        <v>0</v>
      </c>
      <c r="H33" s="180">
        <f t="shared" si="8"/>
        <v>0</v>
      </c>
      <c r="J33" s="180">
        <f t="shared" si="11"/>
        <v>0</v>
      </c>
      <c r="L33" s="180">
        <f t="shared" si="11"/>
        <v>0</v>
      </c>
      <c r="N33" s="180"/>
      <c r="P33" s="180">
        <f t="shared" si="9"/>
        <v>-57332943.687842295</v>
      </c>
      <c r="Q33" s="172" t="s">
        <v>414</v>
      </c>
      <c r="R33" s="187" t="s">
        <v>417</v>
      </c>
    </row>
    <row r="34" spans="2:18">
      <c r="B34" s="172" t="s">
        <v>89</v>
      </c>
      <c r="D34" s="181">
        <f t="shared" si="7"/>
        <v>-14192720189.49015</v>
      </c>
      <c r="F34" s="181">
        <f t="shared" si="10"/>
        <v>0</v>
      </c>
      <c r="H34" s="181">
        <f>'Proforma Adjustment'!E51</f>
        <v>-1104468750</v>
      </c>
      <c r="J34" s="181">
        <f t="shared" si="11"/>
        <v>0</v>
      </c>
      <c r="L34" s="181">
        <f t="shared" si="11"/>
        <v>0</v>
      </c>
      <c r="N34" s="181">
        <f>N20*R$10</f>
        <v>0</v>
      </c>
      <c r="P34" s="181">
        <f t="shared" si="9"/>
        <v>-15297188939.49015</v>
      </c>
      <c r="Q34" s="172" t="s">
        <v>414</v>
      </c>
      <c r="R34" s="187" t="s">
        <v>413</v>
      </c>
    </row>
    <row r="35" spans="2:18">
      <c r="D35" s="182"/>
      <c r="F35" s="182"/>
      <c r="H35" s="182"/>
      <c r="J35" s="182"/>
      <c r="L35" s="182"/>
      <c r="N35" s="182"/>
      <c r="P35" s="182"/>
    </row>
    <row r="36" spans="2:18" s="176" customFormat="1" ht="13">
      <c r="B36" s="176" t="s">
        <v>214</v>
      </c>
      <c r="D36" s="183">
        <f>SUM(D27:D34)</f>
        <v>-4673245190.136095</v>
      </c>
      <c r="F36" s="183">
        <f>SUM(F27:F34)</f>
        <v>132086846.88675007</v>
      </c>
      <c r="H36" s="183">
        <f>SUM(H27:H34)</f>
        <v>-7093092958.3222504</v>
      </c>
      <c r="J36" s="183">
        <f>SUM(J27:J34)</f>
        <v>9540531405.9421673</v>
      </c>
      <c r="L36" s="183">
        <f>SUM(L27:L34)</f>
        <v>0</v>
      </c>
      <c r="N36" s="183">
        <f>SUM(N27:N34)</f>
        <v>0</v>
      </c>
      <c r="P36" s="183">
        <f>SUM(P27:P34)</f>
        <v>-2093719895.629427</v>
      </c>
      <c r="Q36" s="188"/>
    </row>
    <row r="37" spans="2:18" ht="13">
      <c r="B37" s="184" t="s">
        <v>477</v>
      </c>
      <c r="D37" s="189">
        <f>SUM('Proforma Adjustment'!G14,'Proforma Adjustment'!E18,'Proforma Adjustment'!F21,'Proforma Adjustment'!G22,'Proforma Adjustment'!F26,'Proforma Adjustment'!G31,'Proforma Adjustment'!E35)</f>
        <v>-4673245190.1360941</v>
      </c>
      <c r="F37" s="189">
        <f>SUM('Proforma Adjustment'!E39,'Proforma Adjustment'!D42)</f>
        <v>132086846.88675007</v>
      </c>
      <c r="H37" s="189">
        <f>SUM('Proforma Adjustment'!E47,'Proforma Adjustment'!E51,'Proforma Adjustment'!E55,'Proforma Adjustment'!E59)</f>
        <v>-7093092958.3222504</v>
      </c>
      <c r="J37" s="189">
        <f>SUM('Proforma Adjustment'!E63,'Proforma Adjustment'!E68,'Proforma Adjustment'!D71)</f>
        <v>9540531405.9421673</v>
      </c>
      <c r="L37" s="189"/>
      <c r="N37" s="189"/>
      <c r="P37" s="189">
        <f>'Consol SoFP 23 &amp; 22'!BF106</f>
        <v>-2093719896</v>
      </c>
    </row>
    <row r="38" spans="2:18" ht="13">
      <c r="B38" s="184" t="s">
        <v>109</v>
      </c>
      <c r="D38" s="179">
        <f>D36-D37</f>
        <v>0</v>
      </c>
      <c r="F38" s="179">
        <f>F36-F37</f>
        <v>0</v>
      </c>
      <c r="H38" s="179">
        <f>H36-H37</f>
        <v>0</v>
      </c>
      <c r="J38" s="179">
        <f>J36-J37</f>
        <v>0</v>
      </c>
      <c r="L38" s="179"/>
      <c r="N38" s="179">
        <f>SUM(N37:N37)</f>
        <v>0</v>
      </c>
      <c r="P38" s="179">
        <f>P36-P37</f>
        <v>0.37057304382324219</v>
      </c>
    </row>
    <row r="40" spans="2:18">
      <c r="B40" s="175"/>
      <c r="L40" s="205">
        <f>L45/51%</f>
        <v>0</v>
      </c>
    </row>
    <row r="41" spans="2:18" s="471" customFormat="1" ht="13">
      <c r="B41" s="472">
        <v>2023</v>
      </c>
      <c r="D41" s="473"/>
      <c r="F41" s="473"/>
      <c r="H41" s="473"/>
    </row>
    <row r="42" spans="2:18" s="176" customFormat="1" ht="13">
      <c r="D42" s="177">
        <v>3.3000000000000002E-2</v>
      </c>
      <c r="F42" s="177">
        <v>0.51</v>
      </c>
      <c r="H42" s="177">
        <v>0.51</v>
      </c>
      <c r="J42" s="177">
        <v>0.51</v>
      </c>
      <c r="L42" s="177">
        <v>0.51</v>
      </c>
      <c r="O42" s="177"/>
    </row>
    <row r="43" spans="2:18" s="176" customFormat="1" ht="13">
      <c r="D43" s="178" t="s">
        <v>688</v>
      </c>
      <c r="F43" s="178" t="s">
        <v>740</v>
      </c>
      <c r="H43" s="178" t="s">
        <v>465</v>
      </c>
      <c r="J43" s="178" t="s">
        <v>609</v>
      </c>
      <c r="L43" s="178" t="s">
        <v>461</v>
      </c>
      <c r="N43" s="178" t="s">
        <v>204</v>
      </c>
      <c r="P43" s="178" t="s">
        <v>13</v>
      </c>
    </row>
    <row r="44" spans="2:18" ht="13">
      <c r="D44" s="179"/>
      <c r="F44" s="179"/>
      <c r="H44" s="179"/>
      <c r="J44" s="179"/>
      <c r="L44" s="179"/>
      <c r="N44" s="179"/>
      <c r="P44" s="179"/>
    </row>
    <row r="45" spans="2:18">
      <c r="B45" s="172" t="s">
        <v>205</v>
      </c>
      <c r="D45" s="180">
        <f>'Consol SoFP 23 &amp; 22'!K93</f>
        <v>-651665345625</v>
      </c>
      <c r="F45" s="180">
        <f>'Consol SoFP 23 &amp; 22'!N93</f>
        <v>-23625000</v>
      </c>
      <c r="H45" s="180">
        <f>'Consol SoFP 23 &amp; 22'!Q93</f>
        <v>-4921875000</v>
      </c>
      <c r="J45" s="180">
        <v>-472500000</v>
      </c>
      <c r="L45" s="180">
        <v>0</v>
      </c>
      <c r="N45" s="180"/>
      <c r="P45" s="180">
        <f t="shared" ref="P45:P50" si="12">SUM(D45,F45,H45,J45,L45,N45)</f>
        <v>-657083345625</v>
      </c>
    </row>
    <row r="46" spans="2:18">
      <c r="B46" s="172" t="s">
        <v>206</v>
      </c>
      <c r="D46" s="180">
        <f>'Consol SoFP 23 &amp; 22'!K101</f>
        <v>512036122394.47498</v>
      </c>
      <c r="F46" s="180">
        <f>'Consol SoFP 23 &amp; 22'!N101</f>
        <v>282618817.42500001</v>
      </c>
      <c r="H46" s="180">
        <f>'Consol SoFP 23 &amp; 22'!Q101</f>
        <v>-10758025408.725</v>
      </c>
      <c r="J46" s="180">
        <f>'Consol SoFP 23 &amp; 22'!T101</f>
        <v>19179424326</v>
      </c>
      <c r="L46" s="180">
        <v>0</v>
      </c>
      <c r="N46" s="180"/>
      <c r="P46" s="180">
        <f t="shared" si="12"/>
        <v>520740140129.17499</v>
      </c>
    </row>
    <row r="47" spans="2:18">
      <c r="B47" s="172" t="s">
        <v>207</v>
      </c>
      <c r="D47" s="180">
        <f>'Consol SoFP 23 &amp; 22'!K102</f>
        <v>603198187479.59229</v>
      </c>
      <c r="F47" s="180">
        <f>'Consol SoFP 23 &amp; 22'!N102</f>
        <v>-2677772539</v>
      </c>
      <c r="H47" s="180">
        <f>'Consol SoFP 23 &amp; 22'!O102</f>
        <v>-1013465132</v>
      </c>
      <c r="J47" s="180">
        <f>'Consol SoFP 23 &amp; 22'!T102</f>
        <v>79178338799.328873</v>
      </c>
      <c r="L47" s="180">
        <v>0</v>
      </c>
      <c r="N47" s="180"/>
      <c r="P47" s="180">
        <f t="shared" si="12"/>
        <v>678685288607.92114</v>
      </c>
    </row>
    <row r="48" spans="2:18">
      <c r="B48" s="172" t="s">
        <v>246</v>
      </c>
      <c r="D48" s="180">
        <f>'Consol SoFP 23 &amp; 22'!K97</f>
        <v>-4546525491.8999996</v>
      </c>
      <c r="F48" s="180">
        <v>0</v>
      </c>
      <c r="H48" s="180">
        <v>0</v>
      </c>
      <c r="J48" s="180">
        <v>0</v>
      </c>
      <c r="L48" s="180">
        <v>0</v>
      </c>
      <c r="N48" s="180"/>
      <c r="P48" s="180">
        <f t="shared" si="12"/>
        <v>-4546525491.8999996</v>
      </c>
    </row>
    <row r="49" spans="2:18">
      <c r="B49" s="172" t="s">
        <v>247</v>
      </c>
      <c r="D49" s="180">
        <f>'Consol SoFP 23 &amp; 22'!K98</f>
        <v>-7005370700.4749994</v>
      </c>
      <c r="F49" s="180">
        <v>0</v>
      </c>
      <c r="H49" s="180">
        <v>0</v>
      </c>
      <c r="J49" s="180">
        <v>0</v>
      </c>
      <c r="L49" s="180">
        <v>0</v>
      </c>
      <c r="N49" s="180"/>
      <c r="P49" s="180">
        <f t="shared" si="12"/>
        <v>-7005370700.4749994</v>
      </c>
    </row>
    <row r="50" spans="2:18">
      <c r="B50" s="172" t="s">
        <v>412</v>
      </c>
      <c r="D50" s="180">
        <f>'Consol SoFP 23 &amp; 22'!K104</f>
        <v>-1737361930.5</v>
      </c>
      <c r="F50" s="180">
        <v>0</v>
      </c>
      <c r="H50" s="180">
        <v>0</v>
      </c>
      <c r="J50" s="180">
        <v>0</v>
      </c>
      <c r="L50" s="180">
        <v>0</v>
      </c>
      <c r="N50" s="180"/>
      <c r="P50" s="180">
        <f t="shared" si="12"/>
        <v>-1737361930.5</v>
      </c>
    </row>
    <row r="51" spans="2:18">
      <c r="B51" s="172" t="s">
        <v>211</v>
      </c>
      <c r="D51" s="180">
        <f>'Consol SoFP 23 &amp; 22'!K105</f>
        <v>-841103516.92499995</v>
      </c>
      <c r="F51" s="180"/>
      <c r="H51" s="180"/>
      <c r="J51" s="180"/>
      <c r="L51" s="180"/>
      <c r="N51" s="180"/>
      <c r="P51" s="180"/>
    </row>
    <row r="52" spans="2:18">
      <c r="B52" s="172" t="s">
        <v>89</v>
      </c>
      <c r="D52" s="181"/>
      <c r="F52" s="181"/>
      <c r="H52" s="181"/>
      <c r="J52" s="181"/>
      <c r="L52" s="181"/>
      <c r="N52" s="181"/>
      <c r="P52" s="181"/>
    </row>
    <row r="53" spans="2:18">
      <c r="D53" s="182"/>
      <c r="F53" s="182"/>
      <c r="H53" s="182"/>
      <c r="J53" s="182"/>
      <c r="L53" s="182"/>
      <c r="N53" s="182"/>
      <c r="P53" s="182"/>
    </row>
    <row r="54" spans="2:18" ht="13">
      <c r="B54" s="176" t="s">
        <v>104</v>
      </c>
      <c r="D54" s="183">
        <f>SUM(D45:D52)</f>
        <v>449438602609.26727</v>
      </c>
      <c r="F54" s="183">
        <f>SUM(F45:F52)</f>
        <v>-2418778721.5749998</v>
      </c>
      <c r="H54" s="183">
        <f>SUM(H45:H52)</f>
        <v>-16693365540.725</v>
      </c>
      <c r="J54" s="183">
        <f>SUM(J45:J52)</f>
        <v>97885263125.328873</v>
      </c>
      <c r="L54" s="183">
        <f>SUM(L45:L52)</f>
        <v>0</v>
      </c>
      <c r="N54" s="183">
        <f>SUM(N45:N52)</f>
        <v>0</v>
      </c>
      <c r="P54" s="183">
        <f>SUM(P45:P52)</f>
        <v>529052824989.22113</v>
      </c>
    </row>
    <row r="55" spans="2:18" ht="13">
      <c r="B55" s="176"/>
      <c r="D55" s="183">
        <f>'Consol SoFP 23 &amp; 22'!K109</f>
        <v>449438602609.26727</v>
      </c>
      <c r="F55" s="183">
        <f>'Consol SoFP 23 &amp; 22'!N109</f>
        <v>-2418778721.5749998</v>
      </c>
      <c r="H55" s="183">
        <f>'Consol SoFP 23 &amp; 22'!Q109</f>
        <v>-16693365540.725</v>
      </c>
      <c r="J55" s="183">
        <f>'Consol SoFP 23 &amp; 22'!T109</f>
        <v>97885263125.328873</v>
      </c>
      <c r="L55" s="183"/>
      <c r="N55" s="183"/>
      <c r="P55" s="183"/>
    </row>
    <row r="56" spans="2:18" ht="13">
      <c r="B56" s="184" t="s">
        <v>212</v>
      </c>
      <c r="D56" s="179">
        <f>D54-D55</f>
        <v>0</v>
      </c>
      <c r="F56" s="179">
        <f>F54-F55</f>
        <v>0</v>
      </c>
      <c r="H56" s="179">
        <f>H54-H55</f>
        <v>0</v>
      </c>
      <c r="J56" s="179">
        <f>J54-J55</f>
        <v>0</v>
      </c>
      <c r="L56" s="179"/>
      <c r="N56" s="179"/>
      <c r="P56" s="179"/>
    </row>
    <row r="57" spans="2:18" ht="13">
      <c r="D57" s="179"/>
      <c r="F57" s="179"/>
      <c r="H57" s="179"/>
      <c r="J57" s="179"/>
      <c r="L57" s="179"/>
      <c r="N57" s="179"/>
      <c r="P57" s="179"/>
    </row>
    <row r="58" spans="2:18" ht="13">
      <c r="B58" s="185" t="s">
        <v>213</v>
      </c>
      <c r="D58" s="179"/>
      <c r="F58" s="179"/>
      <c r="H58" s="179"/>
      <c r="J58" s="179"/>
      <c r="L58" s="179"/>
      <c r="N58" s="179"/>
      <c r="P58" s="179"/>
    </row>
    <row r="59" spans="2:18">
      <c r="B59" s="172" t="s">
        <v>205</v>
      </c>
      <c r="D59" s="180">
        <f>D45*D$42</f>
        <v>-21504956405.625</v>
      </c>
      <c r="F59" s="180">
        <f>F45*F$42</f>
        <v>-12048750</v>
      </c>
      <c r="H59" s="180">
        <f>H45*H$42</f>
        <v>-2510156250</v>
      </c>
      <c r="J59" s="180">
        <f>J45*J$42</f>
        <v>-240975000</v>
      </c>
      <c r="L59" s="180">
        <f>L45*L$42</f>
        <v>0</v>
      </c>
      <c r="N59" s="180"/>
      <c r="P59" s="180">
        <f t="shared" ref="P59:P66" si="13">SUM(D59,F59,H59,J59,L59,N59)</f>
        <v>-24268136405.625</v>
      </c>
      <c r="R59" s="186" t="s">
        <v>413</v>
      </c>
    </row>
    <row r="60" spans="2:18">
      <c r="B60" s="172" t="s">
        <v>206</v>
      </c>
      <c r="D60" s="180">
        <f t="shared" ref="D60:D65" si="14">D46*D$42</f>
        <v>16897192039.017675</v>
      </c>
      <c r="F60" s="180">
        <f t="shared" ref="F60:H66" si="15">F46*F$42</f>
        <v>144135596.88675001</v>
      </c>
      <c r="H60" s="180">
        <f>H46*H$42</f>
        <v>-5486592958.4497499</v>
      </c>
      <c r="J60" s="180">
        <f t="shared" ref="J60:L66" si="16">J46*J$42</f>
        <v>9781506406.2600002</v>
      </c>
      <c r="L60" s="180">
        <f t="shared" si="16"/>
        <v>0</v>
      </c>
      <c r="N60" s="180"/>
      <c r="P60" s="180">
        <f t="shared" si="13"/>
        <v>21336241083.714676</v>
      </c>
      <c r="R60" s="410"/>
    </row>
    <row r="61" spans="2:18">
      <c r="B61" s="172" t="s">
        <v>207</v>
      </c>
      <c r="D61" s="180">
        <f t="shared" si="14"/>
        <v>19905540186.826546</v>
      </c>
      <c r="F61" s="180">
        <f t="shared" si="15"/>
        <v>-1365663994.8900001</v>
      </c>
      <c r="H61" s="180">
        <f>H47*H$42</f>
        <v>-516867217.31999999</v>
      </c>
      <c r="J61" s="180">
        <f t="shared" si="16"/>
        <v>40380952787.657722</v>
      </c>
      <c r="L61" s="180">
        <f t="shared" si="16"/>
        <v>0</v>
      </c>
      <c r="N61" s="180"/>
      <c r="P61" s="180">
        <f t="shared" si="13"/>
        <v>58403961762.274269</v>
      </c>
      <c r="Q61" s="172" t="s">
        <v>414</v>
      </c>
      <c r="R61" s="410"/>
    </row>
    <row r="62" spans="2:18">
      <c r="B62" s="172" t="s">
        <v>246</v>
      </c>
      <c r="D62" s="180">
        <f t="shared" si="14"/>
        <v>-150035341.23269999</v>
      </c>
      <c r="F62" s="180">
        <f t="shared" si="15"/>
        <v>0</v>
      </c>
      <c r="H62" s="180">
        <f t="shared" si="15"/>
        <v>0</v>
      </c>
      <c r="J62" s="180">
        <f t="shared" si="16"/>
        <v>0</v>
      </c>
      <c r="L62" s="180">
        <f t="shared" si="16"/>
        <v>0</v>
      </c>
      <c r="N62" s="180"/>
      <c r="P62" s="180">
        <f t="shared" si="13"/>
        <v>-150035341.23269999</v>
      </c>
      <c r="R62" s="410"/>
    </row>
    <row r="63" spans="2:18">
      <c r="B63" s="172" t="s">
        <v>247</v>
      </c>
      <c r="D63" s="180">
        <f t="shared" si="14"/>
        <v>-231177233.115675</v>
      </c>
      <c r="F63" s="180">
        <f t="shared" si="15"/>
        <v>0</v>
      </c>
      <c r="H63" s="180">
        <f t="shared" si="15"/>
        <v>0</v>
      </c>
      <c r="J63" s="180">
        <f t="shared" si="16"/>
        <v>0</v>
      </c>
      <c r="L63" s="180">
        <f t="shared" si="16"/>
        <v>0</v>
      </c>
      <c r="N63" s="180"/>
      <c r="P63" s="180">
        <f t="shared" si="13"/>
        <v>-231177233.115675</v>
      </c>
      <c r="R63" s="410"/>
    </row>
    <row r="64" spans="2:18">
      <c r="B64" s="172" t="s">
        <v>412</v>
      </c>
      <c r="D64" s="180">
        <f t="shared" si="14"/>
        <v>-57332943.706500001</v>
      </c>
      <c r="F64" s="180">
        <f t="shared" si="15"/>
        <v>0</v>
      </c>
      <c r="H64" s="180">
        <f t="shared" si="15"/>
        <v>0</v>
      </c>
      <c r="J64" s="180">
        <f t="shared" si="16"/>
        <v>0</v>
      </c>
      <c r="L64" s="180">
        <f t="shared" si="16"/>
        <v>0</v>
      </c>
      <c r="N64" s="180"/>
      <c r="P64" s="180">
        <f t="shared" si="13"/>
        <v>-57332943.706500001</v>
      </c>
      <c r="R64" s="410"/>
    </row>
    <row r="65" spans="2:18">
      <c r="B65" s="172" t="s">
        <v>211</v>
      </c>
      <c r="D65" s="180">
        <f t="shared" si="14"/>
        <v>-27756416.058525</v>
      </c>
      <c r="F65" s="180">
        <f t="shared" si="15"/>
        <v>0</v>
      </c>
      <c r="H65" s="180">
        <f t="shared" si="15"/>
        <v>0</v>
      </c>
      <c r="J65" s="180">
        <f t="shared" si="16"/>
        <v>0</v>
      </c>
      <c r="L65" s="180">
        <f t="shared" si="16"/>
        <v>0</v>
      </c>
      <c r="N65" s="180"/>
      <c r="P65" s="180">
        <f t="shared" si="13"/>
        <v>-27756416.058525</v>
      </c>
      <c r="Q65" s="172" t="s">
        <v>414</v>
      </c>
      <c r="R65" s="187" t="s">
        <v>415</v>
      </c>
    </row>
    <row r="66" spans="2:18">
      <c r="B66" s="172" t="s">
        <v>89</v>
      </c>
      <c r="D66" s="180">
        <v>0</v>
      </c>
      <c r="F66" s="180">
        <f t="shared" si="15"/>
        <v>0</v>
      </c>
      <c r="H66" s="180">
        <v>0</v>
      </c>
      <c r="J66" s="180"/>
      <c r="L66" s="180">
        <f t="shared" si="16"/>
        <v>0</v>
      </c>
      <c r="N66" s="180"/>
      <c r="P66" s="180">
        <f t="shared" si="13"/>
        <v>0</v>
      </c>
    </row>
    <row r="67" spans="2:18">
      <c r="D67" s="181"/>
      <c r="F67" s="181"/>
      <c r="H67" s="181"/>
      <c r="J67" s="181"/>
      <c r="L67" s="181"/>
      <c r="N67" s="181"/>
      <c r="P67" s="181"/>
    </row>
    <row r="68" spans="2:18">
      <c r="D68" s="182"/>
      <c r="F68" s="182"/>
      <c r="H68" s="182"/>
      <c r="J68" s="182"/>
      <c r="L68" s="182"/>
      <c r="N68" s="182"/>
      <c r="P68" s="182"/>
    </row>
    <row r="69" spans="2:18" s="176" customFormat="1" ht="13">
      <c r="B69" s="176" t="s">
        <v>214</v>
      </c>
      <c r="D69" s="183">
        <f>SUM(D59:D67)</f>
        <v>14831473886.105822</v>
      </c>
      <c r="F69" s="183">
        <f>SUM(F59:F67)</f>
        <v>-1233577148.0032501</v>
      </c>
      <c r="H69" s="183">
        <f>SUM(H59:H67)</f>
        <v>-8513616425.7697496</v>
      </c>
      <c r="J69" s="183">
        <f>SUM(J59:J67)</f>
        <v>49921484193.917725</v>
      </c>
      <c r="L69" s="183">
        <f>SUM(L59:L67)</f>
        <v>0</v>
      </c>
      <c r="N69" s="183">
        <f>SUM(N59:N67)</f>
        <v>0</v>
      </c>
      <c r="P69" s="183">
        <f>SUM(P59:P67)</f>
        <v>55005764506.250549</v>
      </c>
      <c r="Q69" s="188"/>
    </row>
    <row r="70" spans="2:18" ht="13">
      <c r="B70" s="184" t="s">
        <v>477</v>
      </c>
      <c r="D70" s="189">
        <f>SUM('Proforma Adjustment'!E14,'Proforma Adjustment'!E18,'Proforma Adjustment'!D21,'Proforma Adjustment'!E22,'Proforma Adjustment'!D26,'Proforma Adjustment'!E31,'Proforma Adjustment'!E35,'Proforma Adjustment'!E78,'Proforma Adjustment'!D81,'Proforma Adjustment'!E86,'Proforma Adjustment'!E90)</f>
        <v>14831473886.355602</v>
      </c>
      <c r="F70" s="189">
        <f>SUM('Proforma Adjustment'!E39,'Proforma Adjustment'!D42,'Proforma Adjustment'!E94)</f>
        <v>-1233577148.0032501</v>
      </c>
      <c r="H70" s="189">
        <f>SUM('Proforma Adjustment'!E47,'Proforma Adjustment'!E51,'Proforma Adjustment'!E55,'Proforma Adjustment'!E59,'Proforma Adjustment'!E98,'Proforma Adjustment'!E102)</f>
        <v>-8513616425.3222504</v>
      </c>
      <c r="J70" s="189"/>
      <c r="L70" s="189"/>
      <c r="N70" s="189"/>
      <c r="P70" s="189">
        <f>'Consol SoFP 23 &amp; 22'!AB106</f>
        <v>55005764506.62999</v>
      </c>
    </row>
    <row r="71" spans="2:18" ht="13">
      <c r="B71" s="184" t="s">
        <v>109</v>
      </c>
      <c r="D71" s="179">
        <f>D69-D70</f>
        <v>-0.24978065490722656</v>
      </c>
      <c r="F71" s="179">
        <f>F69-F70</f>
        <v>0</v>
      </c>
      <c r="H71" s="179">
        <f>H69-H70</f>
        <v>-0.44749927520751953</v>
      </c>
      <c r="J71" s="179"/>
      <c r="L71" s="179"/>
      <c r="N71" s="179">
        <f>SUM(N70:N70)</f>
        <v>0</v>
      </c>
      <c r="P71" s="179">
        <f>P69-P70</f>
        <v>-0.3794403076171875</v>
      </c>
    </row>
    <row r="74" spans="2:18" s="471" customFormat="1" ht="13">
      <c r="B74" s="472">
        <v>2024</v>
      </c>
      <c r="D74" s="473"/>
      <c r="F74" s="473"/>
      <c r="H74" s="473"/>
    </row>
    <row r="75" spans="2:18" s="176" customFormat="1" ht="13">
      <c r="D75" s="177">
        <v>3.3000000000000002E-2</v>
      </c>
      <c r="F75" s="177">
        <v>0.51</v>
      </c>
      <c r="H75" s="177">
        <v>0.51</v>
      </c>
      <c r="J75" s="177">
        <v>0.51</v>
      </c>
      <c r="L75" s="177">
        <v>0.51</v>
      </c>
      <c r="O75" s="177"/>
    </row>
    <row r="76" spans="2:18" s="176" customFormat="1" ht="13">
      <c r="B76" s="176" t="s">
        <v>561</v>
      </c>
      <c r="D76" s="178" t="s">
        <v>688</v>
      </c>
      <c r="F76" s="178" t="s">
        <v>740</v>
      </c>
      <c r="H76" s="178" t="s">
        <v>465</v>
      </c>
      <c r="J76" s="178" t="s">
        <v>609</v>
      </c>
      <c r="L76" s="178" t="s">
        <v>461</v>
      </c>
      <c r="N76" s="178" t="s">
        <v>204</v>
      </c>
      <c r="P76" s="178" t="s">
        <v>13</v>
      </c>
    </row>
    <row r="77" spans="2:18" ht="13">
      <c r="D77" s="179"/>
      <c r="F77" s="179"/>
      <c r="H77" s="179"/>
      <c r="J77" s="179"/>
      <c r="L77" s="179"/>
      <c r="N77" s="179"/>
      <c r="P77" s="179"/>
    </row>
    <row r="78" spans="2:18">
      <c r="B78" s="172" t="s">
        <v>205</v>
      </c>
      <c r="D78" s="180">
        <f>'Consol SoFP 24'!L93</f>
        <v>-651665345625</v>
      </c>
      <c r="F78" s="180">
        <f>-'WP Investment'!AK2</f>
        <v>-23625000</v>
      </c>
      <c r="H78" s="180">
        <f>-SUM('WP Investment'!V12:V14)</f>
        <v>-4921875000</v>
      </c>
      <c r="J78" s="180">
        <v>-472500000</v>
      </c>
      <c r="L78" s="180">
        <v>0</v>
      </c>
      <c r="N78" s="180"/>
      <c r="P78" s="180">
        <f t="shared" ref="P78:P83" si="17">SUM(D78,F78,H78,J78,L78,N78)</f>
        <v>-657083345625</v>
      </c>
    </row>
    <row r="79" spans="2:18">
      <c r="B79" s="172" t="s">
        <v>206</v>
      </c>
      <c r="D79" s="180">
        <f>'Consol SoFP 24'!L101</f>
        <v>1115234309864.7766</v>
      </c>
      <c r="F79" s="180">
        <f>-SUM('WP Investment'!AM16)</f>
        <v>-2395153721.5749998</v>
      </c>
      <c r="H79" s="180">
        <f>'Consol SoFP 24'!S101</f>
        <v>-11771490539.875502</v>
      </c>
      <c r="J79" s="180">
        <f>'Consol SoFP 24'!V101</f>
        <v>98357763125</v>
      </c>
      <c r="L79" s="180">
        <v>0</v>
      </c>
      <c r="N79" s="180"/>
      <c r="P79" s="180">
        <f t="shared" si="17"/>
        <v>1199425428728.3262</v>
      </c>
    </row>
    <row r="80" spans="2:18">
      <c r="B80" s="172" t="s">
        <v>207</v>
      </c>
      <c r="D80" s="180">
        <f>-'WP Investment'!J17</f>
        <v>88202213194.459991</v>
      </c>
      <c r="F80" s="180">
        <f>-'WP Investment'!AM17</f>
        <v>3103597766.4100003</v>
      </c>
      <c r="H80" s="180">
        <f>-'WP Investment'!Z17</f>
        <v>18300707195.779999</v>
      </c>
      <c r="J80" s="180">
        <f>-'WP Investment'!BC17</f>
        <v>-15256134970</v>
      </c>
      <c r="L80" s="180">
        <v>0</v>
      </c>
      <c r="N80" s="180"/>
      <c r="P80" s="180">
        <f t="shared" si="17"/>
        <v>94350383186.649994</v>
      </c>
    </row>
    <row r="81" spans="2:18">
      <c r="B81" s="172" t="s">
        <v>246</v>
      </c>
      <c r="D81" s="180">
        <f>-SUM('WP Investment'!J19)</f>
        <v>-11551896192.375</v>
      </c>
      <c r="F81" s="180">
        <v>0</v>
      </c>
      <c r="H81" s="180">
        <v>0</v>
      </c>
      <c r="J81" s="180">
        <v>0</v>
      </c>
      <c r="L81" s="180">
        <v>0</v>
      </c>
      <c r="N81" s="180"/>
      <c r="P81" s="180">
        <f t="shared" si="17"/>
        <v>-11551896192.375</v>
      </c>
    </row>
    <row r="82" spans="2:18">
      <c r="B82" s="172" t="s">
        <v>247</v>
      </c>
      <c r="D82" s="180">
        <f>'Consol SoFP 23 &amp; 22'!K131</f>
        <v>0</v>
      </c>
      <c r="F82" s="180">
        <v>0</v>
      </c>
      <c r="H82" s="180">
        <v>0</v>
      </c>
      <c r="J82" s="180">
        <v>0</v>
      </c>
      <c r="L82" s="180">
        <v>0</v>
      </c>
      <c r="N82" s="180"/>
      <c r="P82" s="180">
        <f t="shared" si="17"/>
        <v>0</v>
      </c>
    </row>
    <row r="83" spans="2:18">
      <c r="B83" s="172" t="s">
        <v>412</v>
      </c>
      <c r="D83" s="180">
        <f>-'WP Investment'!J18</f>
        <v>-2578465447.4250002</v>
      </c>
      <c r="F83" s="180">
        <v>0</v>
      </c>
      <c r="H83" s="180">
        <v>0</v>
      </c>
      <c r="J83" s="180">
        <v>0</v>
      </c>
      <c r="L83" s="180">
        <v>0</v>
      </c>
      <c r="N83" s="180"/>
      <c r="P83" s="180">
        <f t="shared" si="17"/>
        <v>-2578465447.4250002</v>
      </c>
    </row>
    <row r="84" spans="2:18">
      <c r="B84" s="172" t="s">
        <v>211</v>
      </c>
      <c r="D84" s="180">
        <f>'Consol SoFP 23 &amp; 22'!K138</f>
        <v>0</v>
      </c>
      <c r="F84" s="180"/>
      <c r="H84" s="180"/>
      <c r="J84" s="180"/>
      <c r="L84" s="180"/>
      <c r="N84" s="180"/>
      <c r="P84" s="180"/>
    </row>
    <row r="85" spans="2:18">
      <c r="B85" s="172" t="s">
        <v>89</v>
      </c>
      <c r="D85" s="181"/>
      <c r="F85" s="181"/>
      <c r="H85" s="181"/>
      <c r="J85" s="181"/>
      <c r="L85" s="181"/>
      <c r="N85" s="181"/>
      <c r="P85" s="181"/>
    </row>
    <row r="86" spans="2:18">
      <c r="D86" s="182"/>
      <c r="F86" s="182"/>
      <c r="H86" s="182"/>
      <c r="J86" s="182"/>
      <c r="L86" s="182"/>
      <c r="N86" s="182"/>
      <c r="P86" s="182"/>
    </row>
    <row r="87" spans="2:18" ht="13">
      <c r="B87" s="176" t="s">
        <v>104</v>
      </c>
      <c r="D87" s="183">
        <f>SUM(D78:D85)</f>
        <v>537640815794.43658</v>
      </c>
      <c r="F87" s="183">
        <f>SUM(F78:F85)</f>
        <v>684819044.83500051</v>
      </c>
      <c r="H87" s="183">
        <f>SUM(H78:H85)</f>
        <v>1607341655.9044971</v>
      </c>
      <c r="J87" s="183">
        <f>SUM(J78:J85)</f>
        <v>82629128155</v>
      </c>
      <c r="L87" s="183">
        <f>SUM(L78:L85)</f>
        <v>0</v>
      </c>
      <c r="N87" s="183">
        <f>SUM(N78:N85)</f>
        <v>0</v>
      </c>
      <c r="P87" s="183">
        <f>SUM(P78:P85)</f>
        <v>622562104650.17615</v>
      </c>
    </row>
    <row r="88" spans="2:18" ht="13">
      <c r="B88" s="176" t="s">
        <v>560</v>
      </c>
      <c r="D88" s="183">
        <f>-'WP Investment'!J20</f>
        <v>537640815794.43652</v>
      </c>
      <c r="F88" s="183">
        <f>-'WP Investment'!AM20</f>
        <v>684819044.83500051</v>
      </c>
      <c r="H88" s="183">
        <f>-'WP Investment'!Z20</f>
        <v>1607341655.9044991</v>
      </c>
      <c r="J88" s="183">
        <f>-'WP Investment'!BC20</f>
        <v>82629128155</v>
      </c>
      <c r="L88" s="183"/>
      <c r="N88" s="183"/>
      <c r="P88" s="183"/>
    </row>
    <row r="89" spans="2:18" ht="13">
      <c r="B89" s="184" t="s">
        <v>559</v>
      </c>
      <c r="D89" s="179">
        <f>D87-D88</f>
        <v>0</v>
      </c>
      <c r="F89" s="179">
        <f>F87-F88</f>
        <v>0</v>
      </c>
      <c r="H89" s="179">
        <f>H87-H88</f>
        <v>-1.9073486328125E-6</v>
      </c>
      <c r="J89" s="179">
        <f>J87-J88</f>
        <v>0</v>
      </c>
      <c r="L89" s="179"/>
      <c r="N89" s="179"/>
      <c r="P89" s="179"/>
    </row>
    <row r="90" spans="2:18" ht="13">
      <c r="D90" s="179"/>
      <c r="F90" s="179"/>
      <c r="H90" s="179"/>
      <c r="J90" s="179"/>
      <c r="L90" s="179"/>
      <c r="N90" s="179"/>
      <c r="P90" s="179"/>
    </row>
    <row r="91" spans="2:18" ht="13">
      <c r="B91" s="185" t="s">
        <v>213</v>
      </c>
      <c r="D91" s="179"/>
      <c r="F91" s="179"/>
      <c r="H91" s="179"/>
      <c r="J91" s="179"/>
      <c r="L91" s="179"/>
      <c r="N91" s="179"/>
      <c r="P91" s="179"/>
    </row>
    <row r="92" spans="2:18">
      <c r="B92" s="172" t="s">
        <v>205</v>
      </c>
      <c r="D92" s="180">
        <f>D78*D$75</f>
        <v>-21504956405.625</v>
      </c>
      <c r="F92" s="180">
        <f>F78*F$42</f>
        <v>-12048750</v>
      </c>
      <c r="H92" s="180">
        <f>H78*H$42</f>
        <v>-2510156250</v>
      </c>
      <c r="J92" s="180">
        <f>J78*J$42</f>
        <v>-240975000</v>
      </c>
      <c r="L92" s="180">
        <f>L78*L$42</f>
        <v>0</v>
      </c>
      <c r="N92" s="180"/>
      <c r="P92" s="180">
        <f t="shared" ref="P92:P99" si="18">SUM(D92,F92,H92,J92,L92,N92)</f>
        <v>-24268136405.625</v>
      </c>
      <c r="R92" s="186" t="s">
        <v>413</v>
      </c>
    </row>
    <row r="93" spans="2:18">
      <c r="B93" s="172" t="s">
        <v>206</v>
      </c>
      <c r="D93" s="180">
        <f t="shared" ref="D93:D99" si="19">D79*D$75</f>
        <v>36802732225.537628</v>
      </c>
      <c r="F93" s="180">
        <f t="shared" ref="F93" si="20">F79*F$42</f>
        <v>-1221528398.0032499</v>
      </c>
      <c r="H93" s="180">
        <f>H79*H$42</f>
        <v>-6003460175.3365059</v>
      </c>
      <c r="J93" s="180">
        <f t="shared" ref="J93" si="21">J79*J$42</f>
        <v>50162459193.75</v>
      </c>
      <c r="L93" s="180">
        <f t="shared" ref="L93" si="22">L79*L$42</f>
        <v>0</v>
      </c>
      <c r="N93" s="180"/>
      <c r="P93" s="180">
        <f t="shared" si="18"/>
        <v>79740202845.947876</v>
      </c>
      <c r="R93" s="410"/>
    </row>
    <row r="94" spans="2:18">
      <c r="B94" s="172" t="s">
        <v>207</v>
      </c>
      <c r="D94" s="180">
        <f t="shared" si="19"/>
        <v>2910673035.4171801</v>
      </c>
      <c r="F94" s="180">
        <f t="shared" ref="F94" si="23">F80*F$42</f>
        <v>1582834860.8691001</v>
      </c>
      <c r="H94" s="180">
        <f>H80*H$42</f>
        <v>9333360669.8477993</v>
      </c>
      <c r="J94" s="180">
        <f t="shared" ref="J94" si="24">J80*J$42</f>
        <v>-7780628834.6999998</v>
      </c>
      <c r="L94" s="180">
        <f t="shared" ref="L94" si="25">L80*L$42</f>
        <v>0</v>
      </c>
      <c r="N94" s="180"/>
      <c r="P94" s="180">
        <f t="shared" si="18"/>
        <v>6046239731.4340792</v>
      </c>
      <c r="Q94" s="172" t="s">
        <v>414</v>
      </c>
      <c r="R94" s="410"/>
    </row>
    <row r="95" spans="2:18">
      <c r="B95" s="172" t="s">
        <v>246</v>
      </c>
      <c r="D95" s="180">
        <f t="shared" si="19"/>
        <v>-381212574.34837502</v>
      </c>
      <c r="F95" s="180">
        <f t="shared" ref="F95" si="26">F81*F$42</f>
        <v>0</v>
      </c>
      <c r="H95" s="180">
        <f t="shared" ref="H95" si="27">H81*H$42</f>
        <v>0</v>
      </c>
      <c r="J95" s="180">
        <f t="shared" ref="J95" si="28">J81*J$42</f>
        <v>0</v>
      </c>
      <c r="L95" s="180">
        <f t="shared" ref="L95" si="29">L81*L$42</f>
        <v>0</v>
      </c>
      <c r="N95" s="180"/>
      <c r="P95" s="180">
        <f t="shared" si="18"/>
        <v>-381212574.34837502</v>
      </c>
      <c r="R95" s="410"/>
    </row>
    <row r="96" spans="2:18">
      <c r="B96" s="172" t="s">
        <v>247</v>
      </c>
      <c r="D96" s="180">
        <f t="shared" si="19"/>
        <v>0</v>
      </c>
      <c r="F96" s="180">
        <f t="shared" ref="F96" si="30">F82*F$42</f>
        <v>0</v>
      </c>
      <c r="H96" s="180">
        <f t="shared" ref="H96" si="31">H82*H$42</f>
        <v>0</v>
      </c>
      <c r="J96" s="180">
        <f t="shared" ref="J96" si="32">J82*J$42</f>
        <v>0</v>
      </c>
      <c r="L96" s="180">
        <f t="shared" ref="L96" si="33">L82*L$42</f>
        <v>0</v>
      </c>
      <c r="N96" s="180"/>
      <c r="P96" s="180">
        <f t="shared" si="18"/>
        <v>0</v>
      </c>
      <c r="R96" s="410"/>
    </row>
    <row r="97" spans="2:20">
      <c r="B97" s="172" t="s">
        <v>412</v>
      </c>
      <c r="D97" s="180">
        <f t="shared" si="19"/>
        <v>-85089359.765025005</v>
      </c>
      <c r="F97" s="180">
        <f t="shared" ref="F97" si="34">F83*F$42</f>
        <v>0</v>
      </c>
      <c r="H97" s="180">
        <f t="shared" ref="H97" si="35">H83*H$42</f>
        <v>0</v>
      </c>
      <c r="J97" s="180">
        <f t="shared" ref="J97" si="36">J83*J$42</f>
        <v>0</v>
      </c>
      <c r="L97" s="180">
        <f t="shared" ref="L97" si="37">L83*L$42</f>
        <v>0</v>
      </c>
      <c r="N97" s="180"/>
      <c r="P97" s="180">
        <f t="shared" si="18"/>
        <v>-85089359.765025005</v>
      </c>
      <c r="R97" s="410"/>
    </row>
    <row r="98" spans="2:20">
      <c r="B98" s="172" t="s">
        <v>211</v>
      </c>
      <c r="D98" s="180">
        <f t="shared" si="19"/>
        <v>0</v>
      </c>
      <c r="F98" s="180">
        <f t="shared" ref="F98" si="38">F84*F$42</f>
        <v>0</v>
      </c>
      <c r="H98" s="180">
        <f t="shared" ref="H98" si="39">H84*H$42</f>
        <v>0</v>
      </c>
      <c r="J98" s="180">
        <f t="shared" ref="J98" si="40">J84*J$42</f>
        <v>0</v>
      </c>
      <c r="L98" s="180">
        <f t="shared" ref="L98" si="41">L84*L$42</f>
        <v>0</v>
      </c>
      <c r="N98" s="180"/>
      <c r="P98" s="180">
        <f t="shared" si="18"/>
        <v>0</v>
      </c>
      <c r="Q98" s="172" t="s">
        <v>414</v>
      </c>
      <c r="R98" s="187" t="s">
        <v>415</v>
      </c>
    </row>
    <row r="99" spans="2:20">
      <c r="B99" s="172" t="s">
        <v>89</v>
      </c>
      <c r="D99" s="180">
        <f t="shared" si="19"/>
        <v>0</v>
      </c>
      <c r="F99" s="180">
        <f t="shared" ref="F99" si="42">F85*F$42</f>
        <v>0</v>
      </c>
      <c r="H99" s="180">
        <v>0</v>
      </c>
      <c r="J99" s="180"/>
      <c r="L99" s="180">
        <f t="shared" ref="L99" si="43">L85*L$42</f>
        <v>0</v>
      </c>
      <c r="N99" s="180"/>
      <c r="P99" s="180">
        <f t="shared" si="18"/>
        <v>0</v>
      </c>
    </row>
    <row r="100" spans="2:20">
      <c r="B100" s="172" t="s">
        <v>91</v>
      </c>
      <c r="D100" s="180">
        <v>0</v>
      </c>
      <c r="F100" s="180"/>
      <c r="H100" s="180"/>
      <c r="J100" s="180"/>
      <c r="L100" s="180"/>
      <c r="N100" s="180"/>
      <c r="P100" s="180"/>
    </row>
    <row r="101" spans="2:20">
      <c r="D101" s="181"/>
      <c r="F101" s="181"/>
      <c r="H101" s="181"/>
      <c r="J101" s="181"/>
      <c r="L101" s="181"/>
      <c r="N101" s="181"/>
      <c r="P101" s="181"/>
    </row>
    <row r="102" spans="2:20">
      <c r="D102" s="182"/>
      <c r="F102" s="182"/>
      <c r="H102" s="182"/>
      <c r="J102" s="182"/>
      <c r="L102" s="182"/>
      <c r="N102" s="182"/>
      <c r="P102" s="182"/>
    </row>
    <row r="103" spans="2:20" s="176" customFormat="1" ht="13">
      <c r="B103" s="176" t="s">
        <v>214</v>
      </c>
      <c r="D103" s="183">
        <f>SUM(D92:D100)</f>
        <v>17742146921.216408</v>
      </c>
      <c r="F103" s="183">
        <f>SUM(F92:F94)</f>
        <v>349257712.86585021</v>
      </c>
      <c r="H103" s="183">
        <f>SUM(H92:H101)</f>
        <v>819744244.51129341</v>
      </c>
      <c r="J103" s="183">
        <f>SUM(J92:J101)</f>
        <v>42140855359.050003</v>
      </c>
      <c r="L103" s="183">
        <f>SUM(L92:L101)</f>
        <v>0</v>
      </c>
      <c r="N103" s="183">
        <f>SUM(N92:N101)</f>
        <v>0</v>
      </c>
      <c r="P103" s="183">
        <f>SUM(P92:P101)</f>
        <v>61052004237.643562</v>
      </c>
      <c r="Q103" s="188"/>
    </row>
    <row r="104" spans="2:20" ht="13">
      <c r="B104" s="184" t="s">
        <v>477</v>
      </c>
      <c r="D104" s="189">
        <f>SUM('Proforma Adjustment'!E14,'Proforma Adjustment'!E18,'Proforma Adjustment'!E78,'Proforma Adjustment'!D21,'Proforma Adjustment'!D26,'Proforma Adjustment'!D81,'Proforma Adjustment'!D111,'Proforma Adjustment'!E22,'Proforma Adjustment'!E31,'Proforma Adjustment'!E86,'Proforma Adjustment'!E35,'Proforma Adjustment'!E90,'Elimination 2024'!G28)</f>
        <v>17742146921.772781</v>
      </c>
      <c r="F104" s="189">
        <f>'Proforma Adjustment'!E39+'Proforma Adjustment'!D42+'Proforma Adjustment'!E94+'Proforma Adjustment'!D119</f>
        <v>349257712.86584997</v>
      </c>
      <c r="H104" s="189">
        <f>SUM('Proforma Adjustment'!E47,'Proforma Adjustment'!E51,'Proforma Adjustment'!E55,'Proforma Adjustment'!E59,'Proforma Adjustment'!E98,'Proforma Adjustment'!E102,'Proforma Adjustment'!E128)</f>
        <v>819744244.52554893</v>
      </c>
      <c r="J104" s="189">
        <f>SUM('Proforma Adjustment'!E63,'Proforma Adjustment'!E68,'Proforma Adjustment'!D71,'Proforma Adjustment'!D105,'Proforma Adjustment'!D135)</f>
        <v>42140855358.899895</v>
      </c>
      <c r="L104" s="189"/>
      <c r="N104" s="189"/>
      <c r="P104" s="189"/>
    </row>
    <row r="105" spans="2:20" ht="13">
      <c r="B105" s="184" t="s">
        <v>109</v>
      </c>
      <c r="D105" s="179">
        <f>D103-D104</f>
        <v>-0.55637359619140625</v>
      </c>
      <c r="F105" s="179">
        <f>F103-F104</f>
        <v>0</v>
      </c>
      <c r="H105" s="179">
        <f>H103-H104</f>
        <v>-1.4255523681640625E-2</v>
      </c>
      <c r="J105" s="179">
        <f>J103-J104</f>
        <v>0.15010833740234375</v>
      </c>
      <c r="L105" s="179"/>
      <c r="N105" s="179">
        <f>SUM(N104:N104)</f>
        <v>0</v>
      </c>
      <c r="P105" s="179">
        <f>P103-P104</f>
        <v>61052004237.643562</v>
      </c>
    </row>
    <row r="108" spans="2:20" s="173" customFormat="1">
      <c r="B108" s="174" t="s">
        <v>9</v>
      </c>
    </row>
    <row r="110" spans="2:20" s="153" customFormat="1">
      <c r="B110" s="153">
        <v>2022</v>
      </c>
      <c r="G110" s="192"/>
      <c r="N110" s="192"/>
      <c r="O110" s="192"/>
      <c r="P110" s="192"/>
    </row>
    <row r="111" spans="2:20" s="153" customFormat="1" ht="13">
      <c r="B111" s="152"/>
      <c r="D111" s="193" t="s">
        <v>219</v>
      </c>
      <c r="E111" s="194"/>
      <c r="F111" s="193" t="s">
        <v>418</v>
      </c>
      <c r="G111" s="194"/>
      <c r="H111" s="193" t="s">
        <v>221</v>
      </c>
      <c r="I111" s="194"/>
      <c r="J111" s="193" t="s">
        <v>419</v>
      </c>
      <c r="K111" s="194"/>
      <c r="L111" s="193" t="s">
        <v>209</v>
      </c>
      <c r="M111" s="194"/>
      <c r="N111" s="193" t="s">
        <v>11</v>
      </c>
      <c r="O111" s="194"/>
      <c r="P111" s="193" t="s">
        <v>204</v>
      </c>
      <c r="Q111" s="194"/>
      <c r="R111" s="193" t="s">
        <v>224</v>
      </c>
      <c r="S111" s="192"/>
      <c r="T111" s="192"/>
    </row>
    <row r="112" spans="2:20" s="152" customFormat="1" ht="13">
      <c r="C112" s="153"/>
      <c r="D112" s="196"/>
      <c r="E112" s="153"/>
      <c r="G112" s="153"/>
      <c r="H112" s="196"/>
      <c r="I112" s="153"/>
      <c r="J112" s="196"/>
      <c r="K112" s="153"/>
      <c r="L112" s="196"/>
      <c r="M112" s="153"/>
      <c r="N112" s="196"/>
      <c r="O112" s="153"/>
      <c r="P112" s="196"/>
      <c r="Q112" s="153"/>
      <c r="R112" s="197"/>
      <c r="S112" s="192"/>
      <c r="T112" s="192"/>
    </row>
    <row r="113" spans="2:20" s="153" customFormat="1" ht="14">
      <c r="B113" s="152" t="s">
        <v>688</v>
      </c>
      <c r="D113" s="198"/>
      <c r="F113" s="198">
        <f>SUM(D28,D27,D30,D32,D34)</f>
        <v>-17116812545.956202</v>
      </c>
      <c r="H113" s="198">
        <f>D29</f>
        <v>12608457897.355648</v>
      </c>
      <c r="J113" s="198">
        <f>D33</f>
        <v>-57332943.687842295</v>
      </c>
      <c r="L113" s="198">
        <f>D31</f>
        <v>-107557597.84770001</v>
      </c>
      <c r="N113" s="198">
        <f>SUM(D113,F113,H113,J113,L113)</f>
        <v>-4673245190.136096</v>
      </c>
      <c r="P113" s="198"/>
      <c r="R113" s="199">
        <f>SUM(N113,P113)</f>
        <v>-4673245190.136096</v>
      </c>
      <c r="S113" s="192"/>
      <c r="T113" s="411"/>
    </row>
    <row r="114" spans="2:20" s="153" customFormat="1" ht="14">
      <c r="B114" s="152" t="s">
        <v>740</v>
      </c>
      <c r="D114" s="198"/>
      <c r="F114" s="198">
        <f>SUM(F27:F28)</f>
        <v>-12048750</v>
      </c>
      <c r="H114" s="198">
        <f>F29</f>
        <v>144135596.88675007</v>
      </c>
      <c r="J114" s="198">
        <v>0</v>
      </c>
      <c r="L114" s="198">
        <v>0</v>
      </c>
      <c r="N114" s="198">
        <f t="shared" ref="N114:N117" si="44">SUM(D114,F114,H114,J114,L114)</f>
        <v>132086846.88675007</v>
      </c>
      <c r="P114" s="198"/>
      <c r="R114" s="199">
        <f t="shared" ref="R114:R117" si="45">SUM(N114,P114)</f>
        <v>132086846.88675007</v>
      </c>
    </row>
    <row r="115" spans="2:20" s="153" customFormat="1" ht="14">
      <c r="B115" s="152" t="s">
        <v>465</v>
      </c>
      <c r="D115" s="198"/>
      <c r="F115" s="198">
        <f>SUM(H27:H28,H34)</f>
        <v>-7386115482.0022507</v>
      </c>
      <c r="H115" s="198">
        <f>H29</f>
        <v>293022523.68000001</v>
      </c>
      <c r="J115" s="198">
        <v>0</v>
      </c>
      <c r="L115" s="198">
        <v>0</v>
      </c>
      <c r="N115" s="198">
        <f t="shared" si="44"/>
        <v>-7093092958.3222504</v>
      </c>
      <c r="P115" s="198"/>
      <c r="R115" s="199">
        <f t="shared" si="45"/>
        <v>-7093092958.3222504</v>
      </c>
    </row>
    <row r="116" spans="2:20" s="153" customFormat="1" ht="14">
      <c r="B116" s="152" t="s">
        <v>609</v>
      </c>
      <c r="D116" s="198"/>
      <c r="F116" s="198">
        <f>SUM(J27:J28)</f>
        <v>-10563847886.280001</v>
      </c>
      <c r="H116" s="198">
        <f>J29</f>
        <v>20104379292.222168</v>
      </c>
      <c r="J116" s="198">
        <v>0</v>
      </c>
      <c r="L116" s="198">
        <v>0</v>
      </c>
      <c r="N116" s="198">
        <f t="shared" si="44"/>
        <v>9540531405.9421673</v>
      </c>
      <c r="P116" s="198"/>
      <c r="R116" s="199">
        <f t="shared" si="45"/>
        <v>9540531405.9421673</v>
      </c>
    </row>
    <row r="117" spans="2:20" s="153" customFormat="1" ht="14">
      <c r="B117" s="152" t="s">
        <v>461</v>
      </c>
      <c r="D117" s="198"/>
      <c r="F117" s="198">
        <v>0</v>
      </c>
      <c r="H117" s="198"/>
      <c r="J117" s="198">
        <v>0</v>
      </c>
      <c r="L117" s="198">
        <v>0</v>
      </c>
      <c r="N117" s="198">
        <f t="shared" si="44"/>
        <v>0</v>
      </c>
      <c r="P117" s="198"/>
      <c r="R117" s="199">
        <f t="shared" si="45"/>
        <v>0</v>
      </c>
    </row>
    <row r="118" spans="2:20" s="153" customFormat="1" ht="14">
      <c r="B118" s="152"/>
      <c r="D118" s="200"/>
      <c r="F118" s="200"/>
      <c r="H118" s="200"/>
      <c r="J118" s="200"/>
      <c r="L118" s="200"/>
      <c r="N118" s="200"/>
      <c r="P118" s="200"/>
      <c r="R118" s="200"/>
    </row>
    <row r="119" spans="2:20" s="153" customFormat="1" ht="14.5" thickBot="1">
      <c r="B119" s="152" t="s">
        <v>225</v>
      </c>
      <c r="D119" s="201">
        <f>SUM(D113:D117)</f>
        <v>0</v>
      </c>
      <c r="F119" s="201">
        <f>SUM(F113:F117)</f>
        <v>-35078824664.238449</v>
      </c>
      <c r="H119" s="201">
        <f>SUM(H113:H117)</f>
        <v>33149995310.144566</v>
      </c>
      <c r="J119" s="201">
        <f>SUM(J113:J117)</f>
        <v>-57332943.687842295</v>
      </c>
      <c r="L119" s="201">
        <f>SUM(L113:L117)</f>
        <v>-107557597.84770001</v>
      </c>
      <c r="N119" s="201">
        <f>SUM(N113:N117)</f>
        <v>-2093719895.6294289</v>
      </c>
      <c r="P119" s="201">
        <f>SUM(P113:P117)</f>
        <v>0</v>
      </c>
      <c r="R119" s="201">
        <f>SUM(R113:R117)</f>
        <v>-2093719895.6294289</v>
      </c>
    </row>
    <row r="120" spans="2:20" s="153" customFormat="1" ht="13.5" thickTop="1">
      <c r="B120" s="152" t="s">
        <v>226</v>
      </c>
      <c r="D120" s="183"/>
      <c r="E120" s="176"/>
      <c r="F120" s="183">
        <f>-'SoCE Consol '!L14</f>
        <v>-35078824664.238449</v>
      </c>
      <c r="G120" s="176"/>
      <c r="H120" s="183">
        <f>-'SoCE Consol '!L17</f>
        <v>33149995310.144566</v>
      </c>
      <c r="I120" s="176"/>
      <c r="J120" s="183">
        <f>P33</f>
        <v>-57332943.687842295</v>
      </c>
      <c r="K120" s="176"/>
      <c r="L120" s="183">
        <f>D31</f>
        <v>-107557597.84770001</v>
      </c>
      <c r="M120" s="176"/>
      <c r="N120" s="183">
        <f>P36</f>
        <v>-2093719895.629427</v>
      </c>
      <c r="O120" s="176"/>
      <c r="P120" s="183">
        <v>0</v>
      </c>
      <c r="Q120" s="176"/>
      <c r="R120" s="183">
        <f>-'SoCE Consol '!L25</f>
        <v>-2093719895.629426</v>
      </c>
    </row>
    <row r="121" spans="2:20" s="153" customFormat="1" ht="13">
      <c r="B121" s="152" t="s">
        <v>109</v>
      </c>
      <c r="D121" s="179">
        <f>ROUND(D119-D120,0)</f>
        <v>0</v>
      </c>
      <c r="E121" s="172"/>
      <c r="F121" s="179">
        <f>ROUND(F119-F120,0)</f>
        <v>0</v>
      </c>
      <c r="G121" s="172"/>
      <c r="H121" s="179">
        <f>ROUND(H119-H120,0)</f>
        <v>0</v>
      </c>
      <c r="I121" s="172"/>
      <c r="J121" s="179">
        <f t="shared" ref="J121" si="46">ROUND(J119-J120,0)</f>
        <v>0</v>
      </c>
      <c r="K121" s="172"/>
      <c r="L121" s="179">
        <f t="shared" ref="L121" si="47">ROUND(L119-L120,0)</f>
        <v>0</v>
      </c>
      <c r="M121" s="172"/>
      <c r="N121" s="179">
        <f>ROUND(N119-N120,0)</f>
        <v>0</v>
      </c>
      <c r="O121" s="172"/>
      <c r="P121" s="179">
        <f>ROUND(P119-P120,0)</f>
        <v>0</v>
      </c>
      <c r="Q121" s="172"/>
      <c r="R121" s="179">
        <f>ROUND(R119-R120,0)</f>
        <v>0</v>
      </c>
    </row>
    <row r="122" spans="2:20" s="153" customFormat="1" ht="13">
      <c r="B122" s="152"/>
      <c r="R122" s="202"/>
    </row>
    <row r="123" spans="2:20" s="153" customFormat="1">
      <c r="B123" s="153">
        <v>2023</v>
      </c>
      <c r="H123" s="203"/>
      <c r="J123" s="203"/>
      <c r="L123" s="203"/>
      <c r="N123" s="203"/>
    </row>
    <row r="124" spans="2:20" s="153" customFormat="1" ht="13">
      <c r="B124" s="152"/>
      <c r="D124" s="193" t="s">
        <v>219</v>
      </c>
      <c r="E124" s="194"/>
      <c r="F124" s="193" t="s">
        <v>420</v>
      </c>
      <c r="G124" s="194"/>
      <c r="H124" s="193" t="s">
        <v>221</v>
      </c>
      <c r="I124" s="194"/>
      <c r="J124" s="193" t="s">
        <v>419</v>
      </c>
      <c r="K124" s="194"/>
      <c r="L124" s="193" t="s">
        <v>209</v>
      </c>
      <c r="M124" s="194"/>
      <c r="N124" s="193" t="s">
        <v>11</v>
      </c>
      <c r="O124" s="194"/>
    </row>
    <row r="125" spans="2:20" s="152" customFormat="1" ht="13">
      <c r="C125" s="153"/>
      <c r="D125" s="196"/>
      <c r="E125" s="153"/>
      <c r="G125" s="153"/>
      <c r="H125" s="196"/>
      <c r="I125" s="153"/>
      <c r="J125" s="196"/>
      <c r="K125" s="153"/>
      <c r="L125" s="196"/>
      <c r="M125" s="153"/>
      <c r="N125" s="196"/>
      <c r="O125" s="153"/>
      <c r="P125" s="153"/>
      <c r="Q125" s="153"/>
      <c r="R125" s="153"/>
    </row>
    <row r="126" spans="2:20" s="153" customFormat="1" ht="14">
      <c r="B126" s="152" t="s">
        <v>688</v>
      </c>
      <c r="D126" s="198">
        <f>R113</f>
        <v>-4673245190.136096</v>
      </c>
      <c r="F126" s="198">
        <f>-'Proforma Adjustment'!D77</f>
        <v>-141887461.3348504</v>
      </c>
      <c r="H126" s="198">
        <f>D61</f>
        <v>19905540186.826546</v>
      </c>
      <c r="J126" s="198">
        <f>D65</f>
        <v>-27756416.058525</v>
      </c>
      <c r="L126" s="198">
        <f>D63</f>
        <v>-231177233.115675</v>
      </c>
      <c r="N126" s="198">
        <f>SUM(D126,F126,H126,J126,L126)</f>
        <v>14831473886.181398</v>
      </c>
    </row>
    <row r="127" spans="2:20" s="153" customFormat="1" ht="14">
      <c r="B127" s="152" t="s">
        <v>740</v>
      </c>
      <c r="D127" s="198">
        <f>R114</f>
        <v>132086846.88675007</v>
      </c>
      <c r="F127" s="198"/>
      <c r="H127" s="198">
        <f>F61</f>
        <v>-1365663994.8900001</v>
      </c>
      <c r="J127" s="198"/>
      <c r="L127" s="198">
        <v>0</v>
      </c>
      <c r="N127" s="198">
        <f t="shared" ref="N127:N130" si="48">SUM(D127,F127,H127,J127,L127)</f>
        <v>-1233577148.0032501</v>
      </c>
    </row>
    <row r="128" spans="2:20" s="153" customFormat="1" ht="14">
      <c r="B128" s="152" t="s">
        <v>465</v>
      </c>
      <c r="D128" s="198">
        <f>R115</f>
        <v>-7093092958.3222504</v>
      </c>
      <c r="F128" s="198">
        <f>-903656250</f>
        <v>-903656250</v>
      </c>
      <c r="H128" s="198">
        <f>H61</f>
        <v>-516867217.31999999</v>
      </c>
      <c r="J128" s="198">
        <f>H65</f>
        <v>0</v>
      </c>
      <c r="L128" s="198">
        <v>0</v>
      </c>
      <c r="N128" s="198">
        <f t="shared" si="48"/>
        <v>-8513616425.6422501</v>
      </c>
    </row>
    <row r="129" spans="2:26" s="153" customFormat="1" ht="14">
      <c r="B129" s="152" t="s">
        <v>609</v>
      </c>
      <c r="D129" s="198">
        <f>R116</f>
        <v>9540531405.9421673</v>
      </c>
      <c r="F129" s="198"/>
      <c r="H129" s="198">
        <f>J61</f>
        <v>40380952787.657722</v>
      </c>
      <c r="J129" s="198"/>
      <c r="L129" s="198">
        <v>0</v>
      </c>
      <c r="N129" s="198">
        <f t="shared" si="48"/>
        <v>49921484193.599892</v>
      </c>
    </row>
    <row r="130" spans="2:26" s="153" customFormat="1" ht="14">
      <c r="B130" s="152" t="s">
        <v>461</v>
      </c>
      <c r="D130" s="198">
        <f>R117</f>
        <v>0</v>
      </c>
      <c r="F130" s="198">
        <f>SUM(L59:L64)</f>
        <v>0</v>
      </c>
      <c r="H130" s="198">
        <f>L61</f>
        <v>0</v>
      </c>
      <c r="J130" s="198"/>
      <c r="L130" s="198">
        <v>0</v>
      </c>
      <c r="N130" s="198">
        <f t="shared" si="48"/>
        <v>0</v>
      </c>
    </row>
    <row r="131" spans="2:26" s="153" customFormat="1" ht="14">
      <c r="B131" s="152"/>
      <c r="D131" s="198"/>
      <c r="F131" s="198"/>
      <c r="H131" s="198"/>
      <c r="J131" s="198"/>
      <c r="L131" s="198"/>
      <c r="N131" s="198"/>
    </row>
    <row r="132" spans="2:26" s="153" customFormat="1" ht="14.5" thickBot="1">
      <c r="B132" s="152" t="s">
        <v>225</v>
      </c>
      <c r="D132" s="201">
        <f>SUM(D126:D130)</f>
        <v>-2093719895.6294289</v>
      </c>
      <c r="F132" s="201">
        <f>SUM(F126:F130)</f>
        <v>-1045543711.3348504</v>
      </c>
      <c r="H132" s="201">
        <f>SUM(H126:H130)</f>
        <v>58403961762.274269</v>
      </c>
      <c r="J132" s="201">
        <f>SUM(J126:J130)</f>
        <v>-27756416.058525</v>
      </c>
      <c r="L132" s="201">
        <f>SUM(L126:L130)</f>
        <v>-231177233.115675</v>
      </c>
      <c r="N132" s="201">
        <f>SUM(N126:N130)</f>
        <v>55005764506.135788</v>
      </c>
    </row>
    <row r="133" spans="2:26" s="153" customFormat="1" ht="13.5" thickTop="1">
      <c r="B133" s="152"/>
      <c r="H133" s="203"/>
      <c r="J133" s="203"/>
      <c r="L133" s="203"/>
      <c r="N133" s="203"/>
    </row>
    <row r="134" spans="2:26" s="153" customFormat="1" ht="13">
      <c r="B134" s="152" t="s">
        <v>226</v>
      </c>
      <c r="D134" s="183">
        <f>-'SoCE Consol '!L25</f>
        <v>-2093719895.629426</v>
      </c>
      <c r="E134" s="176"/>
      <c r="F134" s="183">
        <f>-'SoCE Consol '!L41</f>
        <v>-1045543711.3348504</v>
      </c>
      <c r="G134" s="176"/>
      <c r="H134" s="183">
        <f>-'SoCE Consol '!L44</f>
        <v>58403961762.274269</v>
      </c>
      <c r="I134" s="176"/>
      <c r="J134" s="183">
        <f>-'SoCE Consol '!L50</f>
        <v>-27756416</v>
      </c>
      <c r="K134" s="176"/>
      <c r="L134" s="183">
        <f>-'SoCE Consol '!L47</f>
        <v>-231177233</v>
      </c>
      <c r="M134" s="176"/>
      <c r="N134" s="183">
        <f>-'SoCE Consol '!L52</f>
        <v>55005764506.30999</v>
      </c>
    </row>
    <row r="135" spans="2:26" s="153" customFormat="1" ht="13">
      <c r="B135" s="152" t="s">
        <v>109</v>
      </c>
      <c r="D135" s="179">
        <f>ROUND(D132-D134,0)</f>
        <v>0</v>
      </c>
      <c r="E135" s="172"/>
      <c r="F135" s="179">
        <f>ROUND(F132-F134,0)</f>
        <v>0</v>
      </c>
      <c r="G135" s="172"/>
      <c r="H135" s="179">
        <f>ROUND(H132-H134,0)</f>
        <v>0</v>
      </c>
      <c r="I135" s="172"/>
      <c r="J135" s="179">
        <f>ROUND(J132-J134,0)</f>
        <v>0</v>
      </c>
      <c r="K135" s="172"/>
      <c r="L135" s="179">
        <f t="shared" ref="L135" si="49">ROUND(L132-L134,0)</f>
        <v>0</v>
      </c>
      <c r="M135" s="172"/>
      <c r="N135" s="179">
        <f>ROUND(N132-N134,0)</f>
        <v>0</v>
      </c>
    </row>
    <row r="137" spans="2:26" s="153" customFormat="1">
      <c r="B137" s="153">
        <v>2024</v>
      </c>
      <c r="H137" s="203"/>
      <c r="J137" s="203"/>
      <c r="L137" s="203"/>
      <c r="N137" s="203"/>
    </row>
    <row r="138" spans="2:26" s="153" customFormat="1" ht="13">
      <c r="B138" s="152"/>
      <c r="D138" s="193" t="s">
        <v>219</v>
      </c>
      <c r="E138" s="194"/>
      <c r="F138" s="193" t="s">
        <v>420</v>
      </c>
      <c r="G138" s="194"/>
      <c r="H138" s="193" t="s">
        <v>221</v>
      </c>
      <c r="I138" s="194"/>
      <c r="J138" s="193" t="s">
        <v>587</v>
      </c>
      <c r="K138" s="194"/>
      <c r="L138" s="193" t="s">
        <v>209</v>
      </c>
      <c r="M138" s="194"/>
      <c r="N138" s="193" t="s">
        <v>11</v>
      </c>
      <c r="O138" s="194"/>
      <c r="P138" s="193" t="s">
        <v>588</v>
      </c>
      <c r="R138" s="193" t="s">
        <v>589</v>
      </c>
      <c r="T138" s="193" t="s">
        <v>91</v>
      </c>
      <c r="V138" s="193" t="s">
        <v>590</v>
      </c>
      <c r="X138" s="153" t="s">
        <v>109</v>
      </c>
    </row>
    <row r="139" spans="2:26" s="152" customFormat="1" ht="13">
      <c r="C139" s="153"/>
      <c r="D139" s="196"/>
      <c r="E139" s="153"/>
      <c r="G139" s="153"/>
      <c r="H139" s="196"/>
      <c r="I139" s="153"/>
      <c r="J139" s="196"/>
      <c r="K139" s="153"/>
      <c r="L139" s="196"/>
      <c r="M139" s="153"/>
      <c r="N139" s="196"/>
      <c r="O139" s="153"/>
      <c r="P139" s="196"/>
      <c r="Q139" s="153"/>
      <c r="R139" s="196"/>
      <c r="T139" s="196"/>
      <c r="V139" s="196"/>
    </row>
    <row r="140" spans="2:26" s="153" customFormat="1" ht="14">
      <c r="B140" s="152" t="s">
        <v>688</v>
      </c>
      <c r="D140" s="198">
        <f>N126</f>
        <v>14831473886.181398</v>
      </c>
      <c r="F140" s="198">
        <f>-'Proforma Adjustment'!D91</f>
        <v>0</v>
      </c>
      <c r="H140" s="198">
        <f>'Consol SoPL-OCI 24'!AA45</f>
        <v>2910673035.4171801</v>
      </c>
      <c r="J140" s="198"/>
      <c r="L140" s="198">
        <f>D77</f>
        <v>0</v>
      </c>
      <c r="N140" s="198">
        <f>SUM(D140,F140,H140,J140,L140)</f>
        <v>17742146921.598579</v>
      </c>
      <c r="P140" s="198">
        <f>-N140</f>
        <v>-17742146921.598579</v>
      </c>
      <c r="R140" s="198">
        <f>-'WP Investment'!J39</f>
        <v>-21504957075</v>
      </c>
      <c r="T140" s="198">
        <f>P140+R140</f>
        <v>-39247103996.598579</v>
      </c>
      <c r="V140" s="198">
        <f>'WP Investment'!J41</f>
        <v>-39247104548.468147</v>
      </c>
      <c r="X140" s="512">
        <f>T140-V140</f>
        <v>551.86956787109375</v>
      </c>
    </row>
    <row r="141" spans="2:26" s="153" customFormat="1" ht="14">
      <c r="B141" s="412" t="s">
        <v>740</v>
      </c>
      <c r="D141" s="198">
        <f t="shared" ref="D141:D144" si="50">N127</f>
        <v>-1233577148.0032501</v>
      </c>
      <c r="F141" s="198"/>
      <c r="H141" s="198">
        <f>'Consol SoPL-OCI 24'!AA46</f>
        <v>1582834860.8691001</v>
      </c>
      <c r="J141" s="198"/>
      <c r="L141" s="198">
        <v>0</v>
      </c>
      <c r="N141" s="198">
        <f t="shared" ref="N141:N144" si="51">SUM(D141,F141,H141,J141,L141)</f>
        <v>349257712.86584997</v>
      </c>
      <c r="P141" s="198">
        <f t="shared" ref="P141:R144" si="52">-N141</f>
        <v>-349257712.86584997</v>
      </c>
      <c r="R141" s="198">
        <f>-'WP Investment'!AM39</f>
        <v>-12048750</v>
      </c>
      <c r="T141" s="198">
        <f t="shared" ref="T141:V144" si="53">P141+R141</f>
        <v>-361306462.86584997</v>
      </c>
      <c r="V141" s="198">
        <f>'WP Investment'!AQ41</f>
        <v>-361306462.86585021</v>
      </c>
      <c r="X141" s="512">
        <f t="shared" ref="X141:X144" si="54">T141-V141</f>
        <v>0</v>
      </c>
      <c r="Z141" s="204">
        <f>X141/1.575/51%</f>
        <v>0</v>
      </c>
    </row>
    <row r="142" spans="2:26" s="153" customFormat="1" ht="14">
      <c r="B142" s="152" t="s">
        <v>465</v>
      </c>
      <c r="D142" s="198">
        <f t="shared" si="50"/>
        <v>-8513616425.6422501</v>
      </c>
      <c r="F142" s="198"/>
      <c r="H142" s="198">
        <f>'Consol SoPL-OCI 24'!AA47</f>
        <v>9333360669.8477993</v>
      </c>
      <c r="J142" s="198"/>
      <c r="L142" s="198">
        <v>0</v>
      </c>
      <c r="N142" s="198">
        <f t="shared" si="51"/>
        <v>819744244.20554924</v>
      </c>
      <c r="P142" s="198">
        <f t="shared" si="52"/>
        <v>-819744244.20554924</v>
      </c>
      <c r="R142" s="198">
        <f>-'WP Investment'!V29</f>
        <v>-2510156250</v>
      </c>
      <c r="T142" s="198">
        <f t="shared" si="53"/>
        <v>-3329900494.2055492</v>
      </c>
      <c r="V142" s="198">
        <f>'WP Investment'!Z41</f>
        <v>-3329900494.5112934</v>
      </c>
      <c r="X142" s="512">
        <f t="shared" si="54"/>
        <v>0.30574417114257813</v>
      </c>
      <c r="Z142" s="204">
        <f>X142/1.575/51%</f>
        <v>0.38063388875515486</v>
      </c>
    </row>
    <row r="143" spans="2:26" s="153" customFormat="1" ht="14">
      <c r="B143" s="412" t="s">
        <v>609</v>
      </c>
      <c r="D143" s="198">
        <f t="shared" si="50"/>
        <v>49921484193.599892</v>
      </c>
      <c r="F143" s="198">
        <v>0</v>
      </c>
      <c r="H143" s="198">
        <f>'Consol SoPL-OCI 24'!AA48</f>
        <v>-7780628834.6999998</v>
      </c>
      <c r="J143" s="198"/>
      <c r="L143" s="198">
        <v>0</v>
      </c>
      <c r="N143" s="198">
        <f t="shared" si="51"/>
        <v>42140855358.899895</v>
      </c>
      <c r="P143" s="198">
        <f t="shared" si="52"/>
        <v>-42140855358.899895</v>
      </c>
      <c r="R143" s="198">
        <f>-'WP Investment'!BG39</f>
        <v>-240975000</v>
      </c>
      <c r="T143" s="198">
        <f t="shared" si="53"/>
        <v>-42381830358.899895</v>
      </c>
      <c r="V143" s="198">
        <f>'WP Investment'!BG41</f>
        <v>-42381830359.050003</v>
      </c>
      <c r="X143" s="512">
        <f t="shared" si="54"/>
        <v>0.15010833740234375</v>
      </c>
      <c r="Z143" s="204">
        <f>X143/1.575/51%</f>
        <v>0.18687623703995487</v>
      </c>
    </row>
    <row r="144" spans="2:26" s="153" customFormat="1" ht="14">
      <c r="B144" s="413" t="s">
        <v>461</v>
      </c>
      <c r="D144" s="198">
        <f t="shared" si="50"/>
        <v>0</v>
      </c>
      <c r="F144" s="198">
        <v>0</v>
      </c>
      <c r="H144" s="198">
        <f>'Consol SoPL-OCI 24'!AA49</f>
        <v>0</v>
      </c>
      <c r="J144" s="198"/>
      <c r="L144" s="198">
        <v>0</v>
      </c>
      <c r="N144" s="198">
        <f t="shared" si="51"/>
        <v>0</v>
      </c>
      <c r="P144" s="198">
        <f t="shared" si="52"/>
        <v>0</v>
      </c>
      <c r="R144" s="198">
        <f t="shared" si="52"/>
        <v>0</v>
      </c>
      <c r="T144" s="198">
        <f t="shared" si="53"/>
        <v>0</v>
      </c>
      <c r="V144" s="198">
        <f t="shared" si="53"/>
        <v>0</v>
      </c>
      <c r="X144" s="512">
        <f t="shared" si="54"/>
        <v>0</v>
      </c>
    </row>
    <row r="145" spans="2:22" s="153" customFormat="1" ht="14">
      <c r="B145" s="152"/>
      <c r="D145" s="198"/>
      <c r="F145" s="198"/>
      <c r="H145" s="198"/>
      <c r="J145" s="198"/>
      <c r="L145" s="198"/>
      <c r="N145" s="198"/>
      <c r="P145" s="198"/>
      <c r="R145" s="198"/>
      <c r="T145" s="198"/>
      <c r="V145" s="198"/>
    </row>
    <row r="146" spans="2:22" s="153" customFormat="1" ht="14.5" thickBot="1">
      <c r="B146" s="152" t="s">
        <v>225</v>
      </c>
      <c r="D146" s="201">
        <f>SUM(D140:D144)</f>
        <v>55005764506.135788</v>
      </c>
      <c r="F146" s="201">
        <f>SUM(F140:F144)</f>
        <v>0</v>
      </c>
      <c r="H146" s="201">
        <f>SUM(H140:H144)</f>
        <v>6046239731.4340792</v>
      </c>
      <c r="J146" s="201">
        <f>SUM(J140:J144)</f>
        <v>0</v>
      </c>
      <c r="L146" s="201">
        <f>SUM(L140:L144)</f>
        <v>0</v>
      </c>
      <c r="N146" s="201">
        <f>SUM(N140:N144)</f>
        <v>61052004237.56987</v>
      </c>
      <c r="P146" s="201">
        <f>SUM(P140:P144)</f>
        <v>-61052004237.56987</v>
      </c>
      <c r="R146" s="201">
        <f>SUM(R140:R144)</f>
        <v>-24268137075</v>
      </c>
      <c r="T146" s="201">
        <f>SUM(T140:T144)</f>
        <v>-85320141312.569885</v>
      </c>
      <c r="V146" s="201">
        <f>SUM(V140:V144)</f>
        <v>-85320141864.895294</v>
      </c>
    </row>
    <row r="147" spans="2:22" s="153" customFormat="1" ht="13.5" thickTop="1">
      <c r="B147" s="152"/>
      <c r="H147" s="203"/>
      <c r="J147" s="203"/>
      <c r="L147" s="203"/>
      <c r="N147" s="203"/>
      <c r="P147" s="203"/>
    </row>
    <row r="148" spans="2:22" s="153" customFormat="1" ht="13">
      <c r="B148" s="152" t="s">
        <v>226</v>
      </c>
      <c r="D148" s="183">
        <f>SUM('Consol SoFP 24'!Z106:AA106)</f>
        <v>55005764506.62999</v>
      </c>
      <c r="E148" s="176"/>
      <c r="F148" s="183">
        <v>0</v>
      </c>
      <c r="G148" s="176"/>
      <c r="H148" s="183">
        <f>'Consol SoPL-OCI 24'!AA50</f>
        <v>6046239731.4340792</v>
      </c>
      <c r="I148" s="176"/>
      <c r="J148" s="183">
        <f>-'SoCE Consol '!L64</f>
        <v>0</v>
      </c>
      <c r="K148" s="176"/>
      <c r="L148" s="183">
        <f>-'SoCE Consol '!L61</f>
        <v>0</v>
      </c>
      <c r="M148" s="176"/>
      <c r="N148" s="183"/>
      <c r="P148" s="183"/>
      <c r="T148" s="183">
        <f>-'Consol SoFP 24'!AH96</f>
        <v>-85320141313</v>
      </c>
      <c r="V148" s="183">
        <f>SUM('Consol SoFP 24'!AM106)</f>
        <v>0</v>
      </c>
    </row>
    <row r="149" spans="2:22" s="153" customFormat="1" ht="13">
      <c r="B149" s="152" t="s">
        <v>109</v>
      </c>
      <c r="D149" s="179">
        <f>ROUND(D146-D148,0)</f>
        <v>0</v>
      </c>
      <c r="E149" s="172"/>
      <c r="F149" s="179">
        <f>ROUND(F146-F148,0)</f>
        <v>0</v>
      </c>
      <c r="G149" s="172"/>
      <c r="H149" s="179">
        <f>ROUND(H146-H148,0)</f>
        <v>0</v>
      </c>
      <c r="I149" s="172"/>
      <c r="J149" s="179">
        <f>ROUND(J146-J148,0)</f>
        <v>0</v>
      </c>
      <c r="K149" s="172"/>
      <c r="L149" s="179">
        <f t="shared" ref="L149" si="55">ROUND(L146-L148,0)</f>
        <v>0</v>
      </c>
      <c r="M149" s="172"/>
      <c r="N149" s="179">
        <f>ROUND(N146-N148,0)</f>
        <v>61052004238</v>
      </c>
      <c r="P149" s="179">
        <f>ROUND(P146-P148,0)</f>
        <v>-61052004238</v>
      </c>
      <c r="T149" s="179">
        <f>ROUND(T146-T148,0)</f>
        <v>0</v>
      </c>
      <c r="V149" s="179">
        <f>ROUND(V146-V148,0)</f>
        <v>-85320141865</v>
      </c>
    </row>
  </sheetData>
  <mergeCells count="1">
    <mergeCell ref="R27:R28"/>
  </mergeCells>
  <conditionalFormatting sqref="D24">
    <cfRule type="cellIs" dxfId="633" priority="144" operator="equal">
      <formula>0</formula>
    </cfRule>
    <cfRule type="cellIs" dxfId="632" priority="143" operator="greaterThan">
      <formula>0</formula>
    </cfRule>
    <cfRule type="cellIs" dxfId="631" priority="142" operator="lessThan">
      <formula>0</formula>
    </cfRule>
  </conditionalFormatting>
  <conditionalFormatting sqref="D38">
    <cfRule type="cellIs" dxfId="630" priority="140" operator="greaterThan">
      <formula>0</formula>
    </cfRule>
    <cfRule type="cellIs" dxfId="629" priority="139" operator="lessThan">
      <formula>0</formula>
    </cfRule>
    <cfRule type="cellIs" dxfId="628" priority="141" operator="equal">
      <formula>0</formula>
    </cfRule>
  </conditionalFormatting>
  <conditionalFormatting sqref="D56">
    <cfRule type="cellIs" dxfId="627" priority="132" operator="equal">
      <formula>0</formula>
    </cfRule>
    <cfRule type="cellIs" dxfId="626" priority="131" operator="greaterThan">
      <formula>0</formula>
    </cfRule>
    <cfRule type="cellIs" dxfId="625" priority="130" operator="lessThan">
      <formula>0</formula>
    </cfRule>
  </conditionalFormatting>
  <conditionalFormatting sqref="D71">
    <cfRule type="cellIs" dxfId="624" priority="129" operator="equal">
      <formula>0</formula>
    </cfRule>
    <cfRule type="cellIs" dxfId="623" priority="128" operator="greaterThan">
      <formula>0</formula>
    </cfRule>
    <cfRule type="cellIs" dxfId="622" priority="127" operator="lessThan">
      <formula>0</formula>
    </cfRule>
  </conditionalFormatting>
  <conditionalFormatting sqref="D89">
    <cfRule type="cellIs" dxfId="621" priority="67" operator="lessThan">
      <formula>0</formula>
    </cfRule>
    <cfRule type="cellIs" dxfId="620" priority="68" operator="greaterThan">
      <formula>0</formula>
    </cfRule>
    <cfRule type="cellIs" dxfId="619" priority="69" operator="equal">
      <formula>0</formula>
    </cfRule>
  </conditionalFormatting>
  <conditionalFormatting sqref="D105">
    <cfRule type="cellIs" dxfId="618" priority="66" operator="equal">
      <formula>0</formula>
    </cfRule>
    <cfRule type="cellIs" dxfId="617" priority="64" operator="lessThan">
      <formula>0</formula>
    </cfRule>
    <cfRule type="cellIs" dxfId="616" priority="65" operator="greaterThan">
      <formula>0</formula>
    </cfRule>
  </conditionalFormatting>
  <conditionalFormatting sqref="D121">
    <cfRule type="cellIs" dxfId="615" priority="159" operator="equal">
      <formula>0</formula>
    </cfRule>
    <cfRule type="cellIs" dxfId="614" priority="158" operator="greaterThan">
      <formula>0</formula>
    </cfRule>
    <cfRule type="cellIs" dxfId="613" priority="157" operator="lessThan">
      <formula>0</formula>
    </cfRule>
  </conditionalFormatting>
  <conditionalFormatting sqref="D135">
    <cfRule type="cellIs" dxfId="612" priority="153" operator="equal">
      <formula>0</formula>
    </cfRule>
    <cfRule type="cellIs" dxfId="611" priority="152" operator="greaterThan">
      <formula>0</formula>
    </cfRule>
    <cfRule type="cellIs" dxfId="610" priority="151" operator="lessThan">
      <formula>0</formula>
    </cfRule>
  </conditionalFormatting>
  <conditionalFormatting sqref="D149">
    <cfRule type="cellIs" dxfId="609" priority="25" operator="lessThan">
      <formula>0</formula>
    </cfRule>
    <cfRule type="cellIs" dxfId="608" priority="26" operator="greaterThan">
      <formula>0</formula>
    </cfRule>
    <cfRule type="cellIs" dxfId="607" priority="27" operator="equal">
      <formula>0</formula>
    </cfRule>
  </conditionalFormatting>
  <conditionalFormatting sqref="F24 H24 J24 L24 N24 P24">
    <cfRule type="cellIs" dxfId="606" priority="102" operator="equal">
      <formula>0</formula>
    </cfRule>
    <cfRule type="cellIs" dxfId="605" priority="101" operator="greaterThan">
      <formula>0</formula>
    </cfRule>
    <cfRule type="cellIs" dxfId="604" priority="100" operator="lessThan">
      <formula>0</formula>
    </cfRule>
  </conditionalFormatting>
  <conditionalFormatting sqref="F38">
    <cfRule type="cellIs" dxfId="603" priority="85" operator="lessThan">
      <formula>0</formula>
    </cfRule>
    <cfRule type="cellIs" dxfId="602" priority="86" operator="greaterThan">
      <formula>0</formula>
    </cfRule>
    <cfRule type="cellIs" dxfId="601" priority="87" operator="equal">
      <formula>0</formula>
    </cfRule>
  </conditionalFormatting>
  <conditionalFormatting sqref="F56">
    <cfRule type="cellIs" dxfId="600" priority="99" operator="equal">
      <formula>0</formula>
    </cfRule>
    <cfRule type="cellIs" dxfId="599" priority="98" operator="greaterThan">
      <formula>0</formula>
    </cfRule>
    <cfRule type="cellIs" dxfId="598" priority="97" operator="lessThan">
      <formula>0</formula>
    </cfRule>
  </conditionalFormatting>
  <conditionalFormatting sqref="F71">
    <cfRule type="cellIs" dxfId="597" priority="76" operator="lessThan">
      <formula>0</formula>
    </cfRule>
    <cfRule type="cellIs" dxfId="596" priority="77" operator="greaterThan">
      <formula>0</formula>
    </cfRule>
    <cfRule type="cellIs" dxfId="595" priority="78" operator="equal">
      <formula>0</formula>
    </cfRule>
  </conditionalFormatting>
  <conditionalFormatting sqref="F89">
    <cfRule type="cellIs" dxfId="594" priority="46" operator="lessThan">
      <formula>0</formula>
    </cfRule>
    <cfRule type="cellIs" dxfId="593" priority="47" operator="greaterThan">
      <formula>0</formula>
    </cfRule>
    <cfRule type="cellIs" dxfId="592" priority="48" operator="equal">
      <formula>0</formula>
    </cfRule>
  </conditionalFormatting>
  <conditionalFormatting sqref="F105">
    <cfRule type="cellIs" dxfId="591" priority="33" operator="equal">
      <formula>0</formula>
    </cfRule>
    <cfRule type="cellIs" dxfId="590" priority="32" operator="greaterThan">
      <formula>0</formula>
    </cfRule>
    <cfRule type="cellIs" dxfId="589" priority="31" operator="lessThan">
      <formula>0</formula>
    </cfRule>
  </conditionalFormatting>
  <conditionalFormatting sqref="F121 H121 R121">
    <cfRule type="cellIs" dxfId="588" priority="155" operator="greaterThan">
      <formula>0</formula>
    </cfRule>
    <cfRule type="cellIs" dxfId="587" priority="154" operator="lessThan">
      <formula>0</formula>
    </cfRule>
    <cfRule type="cellIs" dxfId="586" priority="156" operator="equal">
      <formula>0</formula>
    </cfRule>
  </conditionalFormatting>
  <conditionalFormatting sqref="F135">
    <cfRule type="cellIs" dxfId="585" priority="111" operator="equal">
      <formula>0</formula>
    </cfRule>
    <cfRule type="cellIs" dxfId="584" priority="110" operator="greaterThan">
      <formula>0</formula>
    </cfRule>
    <cfRule type="cellIs" dxfId="583" priority="109" operator="lessThan">
      <formula>0</formula>
    </cfRule>
  </conditionalFormatting>
  <conditionalFormatting sqref="F149">
    <cfRule type="cellIs" dxfId="582" priority="22" operator="lessThan">
      <formula>0</formula>
    </cfRule>
    <cfRule type="cellIs" dxfId="581" priority="24" operator="equal">
      <formula>0</formula>
    </cfRule>
    <cfRule type="cellIs" dxfId="580" priority="23" operator="greaterThan">
      <formula>0</formula>
    </cfRule>
  </conditionalFormatting>
  <conditionalFormatting sqref="H38">
    <cfRule type="cellIs" dxfId="579" priority="83" operator="greaterThan">
      <formula>0</formula>
    </cfRule>
    <cfRule type="cellIs" dxfId="578" priority="84" operator="equal">
      <formula>0</formula>
    </cfRule>
    <cfRule type="cellIs" dxfId="577" priority="82" operator="lessThan">
      <formula>0</formula>
    </cfRule>
  </conditionalFormatting>
  <conditionalFormatting sqref="H56">
    <cfRule type="cellIs" dxfId="576" priority="72" operator="equal">
      <formula>0</formula>
    </cfRule>
    <cfRule type="cellIs" dxfId="575" priority="71" operator="greaterThan">
      <formula>0</formula>
    </cfRule>
    <cfRule type="cellIs" dxfId="574" priority="70" operator="lessThan">
      <formula>0</formula>
    </cfRule>
  </conditionalFormatting>
  <conditionalFormatting sqref="H71">
    <cfRule type="cellIs" dxfId="573" priority="73" operator="lessThan">
      <formula>0</formula>
    </cfRule>
    <cfRule type="cellIs" dxfId="572" priority="74" operator="greaterThan">
      <formula>0</formula>
    </cfRule>
    <cfRule type="cellIs" dxfId="571" priority="75" operator="equal">
      <formula>0</formula>
    </cfRule>
  </conditionalFormatting>
  <conditionalFormatting sqref="H89">
    <cfRule type="cellIs" dxfId="570" priority="36" operator="equal">
      <formula>0</formula>
    </cfRule>
    <cfRule type="cellIs" dxfId="569" priority="34" operator="lessThan">
      <formula>0</formula>
    </cfRule>
    <cfRule type="cellIs" dxfId="568" priority="35" operator="greaterThan">
      <formula>0</formula>
    </cfRule>
  </conditionalFormatting>
  <conditionalFormatting sqref="H105">
    <cfRule type="cellIs" dxfId="567" priority="37" operator="lessThan">
      <formula>0</formula>
    </cfRule>
    <cfRule type="cellIs" dxfId="566" priority="38" operator="greaterThan">
      <formula>0</formula>
    </cfRule>
    <cfRule type="cellIs" dxfId="565" priority="39" operator="equal">
      <formula>0</formula>
    </cfRule>
  </conditionalFormatting>
  <conditionalFormatting sqref="H135">
    <cfRule type="cellIs" dxfId="564" priority="107" operator="greaterThan">
      <formula>0</formula>
    </cfRule>
    <cfRule type="cellIs" dxfId="563" priority="106" operator="lessThan">
      <formula>0</formula>
    </cfRule>
    <cfRule type="cellIs" dxfId="562" priority="108" operator="equal">
      <formula>0</formula>
    </cfRule>
  </conditionalFormatting>
  <conditionalFormatting sqref="H149">
    <cfRule type="cellIs" dxfId="561" priority="21" operator="equal">
      <formula>0</formula>
    </cfRule>
    <cfRule type="cellIs" dxfId="560" priority="19" operator="lessThan">
      <formula>0</formula>
    </cfRule>
    <cfRule type="cellIs" dxfId="559" priority="20" operator="greaterThan">
      <formula>0</formula>
    </cfRule>
  </conditionalFormatting>
  <conditionalFormatting sqref="J38">
    <cfRule type="cellIs" dxfId="558" priority="81" operator="equal">
      <formula>0</formula>
    </cfRule>
    <cfRule type="cellIs" dxfId="557" priority="80" operator="greaterThan">
      <formula>0</formula>
    </cfRule>
    <cfRule type="cellIs" dxfId="556" priority="79" operator="lessThan">
      <formula>0</formula>
    </cfRule>
  </conditionalFormatting>
  <conditionalFormatting sqref="J56">
    <cfRule type="cellIs" dxfId="555" priority="94" operator="lessThan">
      <formula>0</formula>
    </cfRule>
    <cfRule type="cellIs" dxfId="554" priority="96" operator="equal">
      <formula>0</formula>
    </cfRule>
    <cfRule type="cellIs" dxfId="553" priority="95" operator="greaterThan">
      <formula>0</formula>
    </cfRule>
  </conditionalFormatting>
  <conditionalFormatting sqref="J71">
    <cfRule type="cellIs" dxfId="552" priority="126" operator="equal">
      <formula>0</formula>
    </cfRule>
    <cfRule type="cellIs" dxfId="551" priority="124" operator="lessThan">
      <formula>0</formula>
    </cfRule>
    <cfRule type="cellIs" dxfId="550" priority="125" operator="greaterThan">
      <formula>0</formula>
    </cfRule>
  </conditionalFormatting>
  <conditionalFormatting sqref="J89">
    <cfRule type="cellIs" dxfId="549" priority="44" operator="greaterThan">
      <formula>0</formula>
    </cfRule>
    <cfRule type="cellIs" dxfId="548" priority="45" operator="equal">
      <formula>0</formula>
    </cfRule>
    <cfRule type="cellIs" dxfId="547" priority="43" operator="lessThan">
      <formula>0</formula>
    </cfRule>
  </conditionalFormatting>
  <conditionalFormatting sqref="J105">
    <cfRule type="cellIs" dxfId="546" priority="28" operator="lessThan">
      <formula>0</formula>
    </cfRule>
    <cfRule type="cellIs" dxfId="545" priority="30" operator="equal">
      <formula>0</formula>
    </cfRule>
    <cfRule type="cellIs" dxfId="544" priority="29" operator="greaterThan">
      <formula>0</formula>
    </cfRule>
  </conditionalFormatting>
  <conditionalFormatting sqref="J121 L121">
    <cfRule type="cellIs" dxfId="543" priority="91" operator="lessThan">
      <formula>0</formula>
    </cfRule>
    <cfRule type="cellIs" dxfId="542" priority="92" operator="greaterThan">
      <formula>0</formula>
    </cfRule>
    <cfRule type="cellIs" dxfId="541" priority="93" operator="equal">
      <formula>0</formula>
    </cfRule>
  </conditionalFormatting>
  <conditionalFormatting sqref="J135 L135">
    <cfRule type="cellIs" dxfId="540" priority="88" operator="lessThan">
      <formula>0</formula>
    </cfRule>
    <cfRule type="cellIs" dxfId="539" priority="89" operator="greaterThan">
      <formula>0</formula>
    </cfRule>
    <cfRule type="cellIs" dxfId="538" priority="90" operator="equal">
      <formula>0</formula>
    </cfRule>
  </conditionalFormatting>
  <conditionalFormatting sqref="J149 L149">
    <cfRule type="cellIs" dxfId="537" priority="15" operator="equal">
      <formula>0</formula>
    </cfRule>
    <cfRule type="cellIs" dxfId="536" priority="14" operator="greaterThan">
      <formula>0</formula>
    </cfRule>
    <cfRule type="cellIs" dxfId="535" priority="13" operator="lessThan">
      <formula>0</formula>
    </cfRule>
  </conditionalFormatting>
  <conditionalFormatting sqref="L38">
    <cfRule type="cellIs" dxfId="534" priority="134" operator="greaterThan">
      <formula>0</formula>
    </cfRule>
    <cfRule type="cellIs" dxfId="533" priority="135" operator="equal">
      <formula>0</formula>
    </cfRule>
    <cfRule type="cellIs" dxfId="532" priority="133" operator="lessThan">
      <formula>0</formula>
    </cfRule>
  </conditionalFormatting>
  <conditionalFormatting sqref="L56">
    <cfRule type="cellIs" dxfId="531" priority="117" operator="equal">
      <formula>0</formula>
    </cfRule>
    <cfRule type="cellIs" dxfId="530" priority="115" operator="lessThan">
      <formula>0</formula>
    </cfRule>
    <cfRule type="cellIs" dxfId="529" priority="116" operator="greaterThan">
      <formula>0</formula>
    </cfRule>
  </conditionalFormatting>
  <conditionalFormatting sqref="L71">
    <cfRule type="cellIs" dxfId="528" priority="114" operator="equal">
      <formula>0</formula>
    </cfRule>
    <cfRule type="cellIs" dxfId="527" priority="113" operator="greaterThan">
      <formula>0</formula>
    </cfRule>
    <cfRule type="cellIs" dxfId="526" priority="112" operator="lessThan">
      <formula>0</formula>
    </cfRule>
  </conditionalFormatting>
  <conditionalFormatting sqref="L89">
    <cfRule type="cellIs" dxfId="525" priority="54" operator="equal">
      <formula>0</formula>
    </cfRule>
    <cfRule type="cellIs" dxfId="524" priority="52" operator="lessThan">
      <formula>0</formula>
    </cfRule>
    <cfRule type="cellIs" dxfId="523" priority="53" operator="greaterThan">
      <formula>0</formula>
    </cfRule>
  </conditionalFormatting>
  <conditionalFormatting sqref="L105">
    <cfRule type="cellIs" dxfId="522" priority="49" operator="lessThan">
      <formula>0</formula>
    </cfRule>
    <cfRule type="cellIs" dxfId="521" priority="51" operator="equal">
      <formula>0</formula>
    </cfRule>
    <cfRule type="cellIs" dxfId="520" priority="50" operator="greaterThan">
      <formula>0</formula>
    </cfRule>
  </conditionalFormatting>
  <conditionalFormatting sqref="N38 P38">
    <cfRule type="cellIs" dxfId="519" priority="136" operator="lessThan">
      <formula>0</formula>
    </cfRule>
    <cfRule type="cellIs" dxfId="518" priority="137" operator="greaterThan">
      <formula>0</formula>
    </cfRule>
    <cfRule type="cellIs" dxfId="517" priority="138" operator="equal">
      <formula>0</formula>
    </cfRule>
  </conditionalFormatting>
  <conditionalFormatting sqref="N56 P56">
    <cfRule type="cellIs" dxfId="516" priority="121" operator="lessThan">
      <formula>0</formula>
    </cfRule>
    <cfRule type="cellIs" dxfId="515" priority="122" operator="greaterThan">
      <formula>0</formula>
    </cfRule>
    <cfRule type="cellIs" dxfId="514" priority="123" operator="equal">
      <formula>0</formula>
    </cfRule>
  </conditionalFormatting>
  <conditionalFormatting sqref="N71 P71">
    <cfRule type="cellIs" dxfId="513" priority="120" operator="equal">
      <formula>0</formula>
    </cfRule>
    <cfRule type="cellIs" dxfId="512" priority="118" operator="lessThan">
      <formula>0</formula>
    </cfRule>
    <cfRule type="cellIs" dxfId="511" priority="119" operator="greaterThan">
      <formula>0</formula>
    </cfRule>
  </conditionalFormatting>
  <conditionalFormatting sqref="N89 P89">
    <cfRule type="cellIs" dxfId="510" priority="58" operator="lessThan">
      <formula>0</formula>
    </cfRule>
    <cfRule type="cellIs" dxfId="509" priority="59" operator="greaterThan">
      <formula>0</formula>
    </cfRule>
    <cfRule type="cellIs" dxfId="508" priority="60" operator="equal">
      <formula>0</formula>
    </cfRule>
  </conditionalFormatting>
  <conditionalFormatting sqref="N105 P105">
    <cfRule type="cellIs" dxfId="507" priority="56" operator="greaterThan">
      <formula>0</formula>
    </cfRule>
    <cfRule type="cellIs" dxfId="506" priority="55" operator="lessThan">
      <formula>0</formula>
    </cfRule>
    <cfRule type="cellIs" dxfId="505" priority="57" operator="equal">
      <formula>0</formula>
    </cfRule>
  </conditionalFormatting>
  <conditionalFormatting sqref="N121">
    <cfRule type="cellIs" dxfId="504" priority="148" operator="lessThan">
      <formula>0</formula>
    </cfRule>
    <cfRule type="cellIs" dxfId="503" priority="150" operator="equal">
      <formula>0</formula>
    </cfRule>
    <cfRule type="cellIs" dxfId="502" priority="149" operator="greaterThan">
      <formula>0</formula>
    </cfRule>
  </conditionalFormatting>
  <conditionalFormatting sqref="N135">
    <cfRule type="cellIs" dxfId="501" priority="103" operator="lessThan">
      <formula>0</formula>
    </cfRule>
    <cfRule type="cellIs" dxfId="500" priority="105" operator="equal">
      <formula>0</formula>
    </cfRule>
    <cfRule type="cellIs" dxfId="499" priority="104" operator="greaterThan">
      <formula>0</formula>
    </cfRule>
  </conditionalFormatting>
  <conditionalFormatting sqref="N149">
    <cfRule type="cellIs" dxfId="498" priority="16" operator="lessThan">
      <formula>0</formula>
    </cfRule>
    <cfRule type="cellIs" dxfId="497" priority="17" operator="greaterThan">
      <formula>0</formula>
    </cfRule>
    <cfRule type="cellIs" dxfId="496" priority="18" operator="equal">
      <formula>0</formula>
    </cfRule>
  </conditionalFormatting>
  <conditionalFormatting sqref="P121">
    <cfRule type="cellIs" dxfId="495" priority="146" operator="greaterThan">
      <formula>0</formula>
    </cfRule>
    <cfRule type="cellIs" dxfId="494" priority="147" operator="equal">
      <formula>0</formula>
    </cfRule>
    <cfRule type="cellIs" dxfId="493" priority="145" operator="lessThan">
      <formula>0</formula>
    </cfRule>
  </conditionalFormatting>
  <conditionalFormatting sqref="P149">
    <cfRule type="cellIs" dxfId="492" priority="7" operator="lessThan">
      <formula>0</formula>
    </cfRule>
    <cfRule type="cellIs" dxfId="491" priority="8" operator="greaterThan">
      <formula>0</formula>
    </cfRule>
    <cfRule type="cellIs" dxfId="490" priority="9" operator="equal">
      <formula>0</formula>
    </cfRule>
  </conditionalFormatting>
  <conditionalFormatting sqref="T149">
    <cfRule type="cellIs" dxfId="489" priority="4" operator="lessThan">
      <formula>0</formula>
    </cfRule>
    <cfRule type="cellIs" dxfId="488" priority="5" operator="greaterThan">
      <formula>0</formula>
    </cfRule>
    <cfRule type="cellIs" dxfId="487" priority="6" operator="equal">
      <formula>0</formula>
    </cfRule>
  </conditionalFormatting>
  <conditionalFormatting sqref="V149">
    <cfRule type="cellIs" dxfId="486" priority="2" operator="greaterThan">
      <formula>0</formula>
    </cfRule>
    <cfRule type="cellIs" dxfId="485" priority="3" operator="equal">
      <formula>0</formula>
    </cfRule>
    <cfRule type="cellIs" dxfId="484" priority="1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D95F-ABD1-40AC-901C-3E7E91150F00}">
  <sheetPr>
    <tabColor rgb="FF002060"/>
  </sheetPr>
  <dimension ref="A2:T220"/>
  <sheetViews>
    <sheetView workbookViewId="0"/>
  </sheetViews>
  <sheetFormatPr defaultColWidth="8.26953125" defaultRowHeight="12.5"/>
  <cols>
    <col min="1" max="1" width="4" style="172" customWidth="1"/>
    <col min="2" max="2" width="26" style="172" bestFit="1" customWidth="1"/>
    <col min="3" max="3" width="12.1796875" style="172" customWidth="1"/>
    <col min="4" max="4" width="18.7265625" style="172" bestFit="1" customWidth="1"/>
    <col min="5" max="5" width="2.1796875" style="172" customWidth="1"/>
    <col min="6" max="6" width="18.81640625" style="172" bestFit="1" customWidth="1"/>
    <col min="7" max="7" width="2.1796875" style="172" customWidth="1"/>
    <col min="8" max="8" width="18.7265625" style="172" bestFit="1" customWidth="1"/>
    <col min="9" max="9" width="2.1796875" style="172" customWidth="1"/>
    <col min="10" max="10" width="18.7265625" style="172" bestFit="1" customWidth="1"/>
    <col min="11" max="11" width="2.1796875" style="172" customWidth="1"/>
    <col min="12" max="12" width="18.7265625" style="172" bestFit="1" customWidth="1"/>
    <col min="13" max="13" width="2.1796875" style="172" customWidth="1"/>
    <col min="14" max="14" width="19" style="172" customWidth="1"/>
    <col min="15" max="15" width="3" style="172" customWidth="1"/>
    <col min="16" max="16" width="18.81640625" style="172" bestFit="1" customWidth="1"/>
    <col min="17" max="17" width="2.81640625" style="172" customWidth="1"/>
    <col min="18" max="18" width="18.1796875" style="172" bestFit="1" customWidth="1"/>
    <col min="19" max="19" width="3" style="172" customWidth="1"/>
    <col min="20" max="20" width="18.81640625" style="172" bestFit="1" customWidth="1"/>
    <col min="21" max="21" width="14.453125" style="172" bestFit="1" customWidth="1"/>
    <col min="22" max="22" width="3.54296875" style="172" customWidth="1"/>
    <col min="23" max="23" width="16.54296875" style="172" bestFit="1" customWidth="1"/>
    <col min="24" max="24" width="4.453125" style="172" customWidth="1"/>
    <col min="25" max="25" width="26.1796875" style="172" customWidth="1"/>
    <col min="26" max="16384" width="8.26953125" style="172"/>
  </cols>
  <sheetData>
    <row r="2" spans="1:16" ht="13">
      <c r="A2" s="152" t="s">
        <v>643</v>
      </c>
      <c r="B2" s="153"/>
    </row>
    <row r="3" spans="1:16" ht="13">
      <c r="A3" s="152" t="s">
        <v>201</v>
      </c>
      <c r="B3" s="153"/>
    </row>
    <row r="4" spans="1:16" ht="13">
      <c r="A4" s="152" t="s">
        <v>202</v>
      </c>
      <c r="B4" s="153"/>
    </row>
    <row r="7" spans="1:16" s="173" customFormat="1">
      <c r="B7" s="174" t="s">
        <v>203</v>
      </c>
    </row>
    <row r="9" spans="1:16" s="471" customFormat="1">
      <c r="B9" s="474">
        <v>2022</v>
      </c>
    </row>
    <row r="10" spans="1:16" s="187" customFormat="1">
      <c r="B10" s="513"/>
    </row>
    <row r="11" spans="1:16" s="176" customFormat="1" ht="13">
      <c r="D11" s="177">
        <v>3.3000000000000002E-2</v>
      </c>
      <c r="F11" s="177">
        <v>0.51</v>
      </c>
      <c r="H11" s="177">
        <v>0.51</v>
      </c>
      <c r="J11" s="177">
        <v>0.51</v>
      </c>
      <c r="L11" s="177">
        <v>0.51</v>
      </c>
      <c r="O11" s="177"/>
    </row>
    <row r="12" spans="1:16" s="176" customFormat="1" ht="13">
      <c r="D12" s="178" t="s">
        <v>688</v>
      </c>
      <c r="F12" s="178" t="s">
        <v>740</v>
      </c>
      <c r="H12" s="178" t="s">
        <v>465</v>
      </c>
      <c r="J12" s="178" t="s">
        <v>609</v>
      </c>
      <c r="L12" s="178" t="s">
        <v>461</v>
      </c>
      <c r="N12" s="178" t="s">
        <v>204</v>
      </c>
      <c r="P12" s="178" t="s">
        <v>13</v>
      </c>
    </row>
    <row r="13" spans="1:16" ht="13">
      <c r="D13" s="179"/>
      <c r="F13" s="179"/>
      <c r="H13" s="179"/>
      <c r="J13" s="179"/>
      <c r="L13" s="179"/>
      <c r="N13" s="179"/>
      <c r="P13" s="179"/>
    </row>
    <row r="14" spans="1:16">
      <c r="B14" s="172" t="s">
        <v>205</v>
      </c>
      <c r="D14" s="180">
        <f>'Consol SoFP 23 &amp; 22'!AM93</f>
        <v>-217283295600</v>
      </c>
      <c r="F14" s="180">
        <f>'Consol SoFP 23 &amp; 22'!AP93</f>
        <v>-23625000</v>
      </c>
      <c r="H14" s="180">
        <f>'Consol SoFP 23 &amp; 22'!AS93</f>
        <v>-984375000</v>
      </c>
      <c r="J14" s="180">
        <f>'Consol SoFP 23 &amp; 22'!AV93</f>
        <v>-472500000</v>
      </c>
      <c r="L14" s="180"/>
      <c r="N14" s="180"/>
      <c r="P14" s="180">
        <f>SUM(D14,F14,H14,J14,L14,N14)</f>
        <v>-218763795600</v>
      </c>
    </row>
    <row r="15" spans="1:16">
      <c r="B15" s="172" t="s">
        <v>206</v>
      </c>
      <c r="D15" s="180">
        <f>'Consol SoFP 23 &amp; 22'!AM101</f>
        <v>129961640658.14999</v>
      </c>
      <c r="F15" s="180">
        <v>0</v>
      </c>
      <c r="H15" s="180">
        <f>'Consol SoFP 23 &amp; 22'!AS101</f>
        <v>-11332579376.475</v>
      </c>
      <c r="J15" s="180">
        <f>'Consol SoFP 23 &amp; 22'!AV101</f>
        <v>-20240927228</v>
      </c>
      <c r="L15" s="180"/>
      <c r="N15" s="180"/>
      <c r="P15" s="180">
        <f t="shared" ref="P15:P28" si="0">SUM(D15,F15,H15,J15,L15,N15)</f>
        <v>98388134053.674988</v>
      </c>
    </row>
    <row r="16" spans="1:16">
      <c r="B16" s="172" t="s">
        <v>207</v>
      </c>
      <c r="D16" s="180">
        <f>'Consol SoFP 23 &amp; 22'!AM102</f>
        <v>382074481738.04993</v>
      </c>
      <c r="F16" s="180">
        <f>'Consol SoFP 23 &amp; 22'!AP102</f>
        <v>282618817.42500013</v>
      </c>
      <c r="H16" s="180">
        <f>'Consol SoFP 23 &amp; 22'!AS102</f>
        <v>574553968</v>
      </c>
      <c r="J16" s="180">
        <f>'Consol SoFP 23 &amp; 22'!AT102</f>
        <v>39420351553.376801</v>
      </c>
      <c r="L16" s="180"/>
      <c r="N16" s="180"/>
      <c r="P16" s="180">
        <f t="shared" si="0"/>
        <v>422352006076.85168</v>
      </c>
    </row>
    <row r="17" spans="2:16">
      <c r="B17" s="172" t="s">
        <v>208</v>
      </c>
      <c r="D17" s="180">
        <f>'Consol SoFP 23 &amp; 22'!AM97</f>
        <v>-1287204345</v>
      </c>
      <c r="F17" s="180"/>
      <c r="H17" s="180">
        <v>0</v>
      </c>
      <c r="J17" s="180"/>
      <c r="L17" s="180"/>
      <c r="N17" s="180"/>
      <c r="P17" s="180">
        <f t="shared" si="0"/>
        <v>-1287204345</v>
      </c>
    </row>
    <row r="18" spans="2:16">
      <c r="B18" s="172" t="s">
        <v>209</v>
      </c>
      <c r="D18" s="180">
        <f>'Consol SoFP 23 &amp; 22'!AM98</f>
        <v>-3259321146.9000001</v>
      </c>
      <c r="F18" s="180"/>
      <c r="H18" s="180">
        <v>0</v>
      </c>
      <c r="J18" s="180"/>
      <c r="L18" s="180"/>
      <c r="N18" s="180"/>
      <c r="P18" s="180">
        <f t="shared" si="0"/>
        <v>-3259321146.9000001</v>
      </c>
    </row>
    <row r="19" spans="2:16">
      <c r="B19" s="172" t="s">
        <v>210</v>
      </c>
      <c r="D19" s="180">
        <f>'Consol SoFP 23 &amp; 22'!AM104</f>
        <v>0</v>
      </c>
      <c r="F19" s="180"/>
      <c r="H19" s="180">
        <v>0</v>
      </c>
      <c r="J19" s="180"/>
      <c r="L19" s="180"/>
      <c r="N19" s="180"/>
      <c r="P19" s="180">
        <f t="shared" si="0"/>
        <v>0</v>
      </c>
    </row>
    <row r="20" spans="2:16">
      <c r="B20" s="172" t="s">
        <v>211</v>
      </c>
      <c r="D20" s="180">
        <f>'Consol SoFP 23 &amp; 22'!AM105</f>
        <v>-1737361929.9346149</v>
      </c>
      <c r="F20" s="180"/>
      <c r="H20" s="180">
        <f>'Consol SoFP 23 &amp; 22'!AS104</f>
        <v>0</v>
      </c>
      <c r="J20" s="180"/>
      <c r="L20" s="180"/>
      <c r="N20" s="180"/>
      <c r="P20" s="180">
        <f t="shared" si="0"/>
        <v>-1737361929.9346149</v>
      </c>
    </row>
    <row r="21" spans="2:16">
      <c r="B21" s="172" t="s">
        <v>101</v>
      </c>
      <c r="D21" s="180">
        <v>0</v>
      </c>
      <c r="F21" s="180"/>
      <c r="H21" s="180">
        <f>'Consol SoFP 23 &amp; 22'!AS105</f>
        <v>0</v>
      </c>
      <c r="J21" s="180"/>
      <c r="L21" s="180"/>
      <c r="N21" s="180"/>
      <c r="P21" s="180">
        <f t="shared" si="0"/>
        <v>0</v>
      </c>
    </row>
    <row r="22" spans="2:16">
      <c r="B22" s="172" t="s">
        <v>89</v>
      </c>
      <c r="D22" s="181">
        <f>'Consol SoFP 23 &amp; 22'!AM94</f>
        <v>-430082429984.54999</v>
      </c>
      <c r="F22" s="181"/>
      <c r="H22" s="181">
        <f>'Consol SoFP 23 &amp; 22'!AS95</f>
        <v>-2165625000</v>
      </c>
      <c r="J22" s="181"/>
      <c r="L22" s="181"/>
      <c r="N22" s="181"/>
      <c r="P22" s="181">
        <f t="shared" si="0"/>
        <v>-432248054984.54999</v>
      </c>
    </row>
    <row r="23" spans="2:16" ht="13">
      <c r="B23" s="176" t="s">
        <v>478</v>
      </c>
      <c r="D23" s="182"/>
      <c r="F23" s="182"/>
      <c r="H23" s="182"/>
      <c r="J23" s="182"/>
      <c r="L23" s="182"/>
      <c r="N23" s="182"/>
      <c r="P23" s="182"/>
    </row>
    <row r="24" spans="2:16" ht="13">
      <c r="B24" s="176" t="s">
        <v>479</v>
      </c>
      <c r="D24" s="180">
        <f>SUM(D14:D22)</f>
        <v>-141613490610.18469</v>
      </c>
      <c r="F24" s="180">
        <f>SUM(F14:F22)</f>
        <v>258993817.42500013</v>
      </c>
      <c r="H24" s="180">
        <f>SUM(H14:H22)</f>
        <v>-13908025408.475</v>
      </c>
      <c r="J24" s="180">
        <f>SUM(J14:J22)</f>
        <v>18706924325.376801</v>
      </c>
      <c r="L24" s="180">
        <f>SUM(L14:L22)</f>
        <v>0</v>
      </c>
      <c r="N24" s="180">
        <f>SUM(N14:N22)</f>
        <v>0</v>
      </c>
      <c r="P24" s="181">
        <f t="shared" si="0"/>
        <v>-136555597875.85791</v>
      </c>
    </row>
    <row r="25" spans="2:16">
      <c r="D25" s="182"/>
      <c r="F25" s="182"/>
      <c r="H25" s="182"/>
      <c r="J25" s="182"/>
      <c r="L25" s="182"/>
      <c r="N25" s="182"/>
      <c r="P25" s="182"/>
    </row>
    <row r="26" spans="2:16">
      <c r="B26" s="172" t="s">
        <v>480</v>
      </c>
      <c r="D26" s="182"/>
      <c r="F26" s="182"/>
      <c r="H26" s="182"/>
      <c r="J26" s="180">
        <v>-378000000</v>
      </c>
      <c r="L26" s="182"/>
      <c r="N26" s="182"/>
      <c r="P26" s="181">
        <f t="shared" si="0"/>
        <v>-378000000</v>
      </c>
    </row>
    <row r="27" spans="2:16">
      <c r="B27" s="172" t="s">
        <v>481</v>
      </c>
      <c r="D27" s="182"/>
      <c r="F27" s="182"/>
      <c r="H27" s="182"/>
      <c r="J27" s="180"/>
      <c r="L27" s="182"/>
      <c r="N27" s="182"/>
      <c r="P27" s="180"/>
    </row>
    <row r="28" spans="2:16">
      <c r="B28" s="172" t="s">
        <v>482</v>
      </c>
      <c r="D28" s="182"/>
      <c r="F28" s="182"/>
      <c r="H28" s="182"/>
      <c r="J28" s="182">
        <v>171863733.09419999</v>
      </c>
      <c r="L28" s="182"/>
      <c r="N28" s="182"/>
      <c r="P28" s="181">
        <f t="shared" si="0"/>
        <v>171863733.09419999</v>
      </c>
    </row>
    <row r="29" spans="2:16">
      <c r="D29" s="475"/>
      <c r="F29" s="475"/>
      <c r="H29" s="475"/>
      <c r="J29" s="475"/>
      <c r="L29" s="475"/>
      <c r="N29" s="475"/>
      <c r="P29" s="475"/>
    </row>
    <row r="30" spans="2:16" ht="13">
      <c r="B30" s="176" t="s">
        <v>104</v>
      </c>
      <c r="D30" s="183">
        <f>SUM(D14:D22)</f>
        <v>-141613490610.18469</v>
      </c>
      <c r="F30" s="183">
        <f>SUM(F14:F22)</f>
        <v>258993817.42500013</v>
      </c>
      <c r="H30" s="183">
        <f>SUM(H24,H26:H28)</f>
        <v>-13908025408.475</v>
      </c>
      <c r="J30" s="183">
        <f>SUM(J24,J26:J28)</f>
        <v>18500788058.471001</v>
      </c>
      <c r="L30" s="183">
        <f>SUM(L14:L22)</f>
        <v>0</v>
      </c>
      <c r="N30" s="183">
        <f>SUM(N14:N22)</f>
        <v>0</v>
      </c>
      <c r="P30" s="183">
        <f>SUM(P24,P26:P28)</f>
        <v>-136761734142.76372</v>
      </c>
    </row>
    <row r="31" spans="2:16" ht="13">
      <c r="B31" s="176"/>
      <c r="D31" s="183">
        <f>'Consol SoFP 23 &amp; 22'!AM109</f>
        <v>-141613490610.18472</v>
      </c>
      <c r="F31" s="183">
        <f>'Consol SoFP 23 &amp; 22'!AP109</f>
        <v>258993817.42500013</v>
      </c>
      <c r="H31" s="183">
        <f>'Consol SoFP 23 &amp; 22'!AS109</f>
        <v>-13908025408.475</v>
      </c>
      <c r="J31" s="183">
        <f>'Consol SoFP 23 &amp; 22'!AT112</f>
        <v>18500788058.471001</v>
      </c>
      <c r="L31" s="183"/>
      <c r="N31" s="183"/>
      <c r="P31" s="183"/>
    </row>
    <row r="32" spans="2:16" ht="13">
      <c r="B32" s="184" t="s">
        <v>212</v>
      </c>
      <c r="D32" s="179">
        <f>D30-D31</f>
        <v>0</v>
      </c>
      <c r="F32" s="179">
        <f>F30-F31</f>
        <v>0</v>
      </c>
      <c r="H32" s="179">
        <f>H30-H31</f>
        <v>0</v>
      </c>
      <c r="J32" s="179">
        <f>J30-J31</f>
        <v>0</v>
      </c>
      <c r="L32" s="179"/>
      <c r="N32" s="179"/>
      <c r="P32" s="179"/>
    </row>
    <row r="33" spans="2:16" ht="13">
      <c r="D33" s="179"/>
      <c r="F33" s="179"/>
      <c r="H33" s="179"/>
      <c r="J33" s="179"/>
      <c r="L33" s="179"/>
      <c r="N33" s="179"/>
      <c r="P33" s="179"/>
    </row>
    <row r="34" spans="2:16" ht="13">
      <c r="B34" s="185" t="s">
        <v>213</v>
      </c>
      <c r="D34" s="179"/>
      <c r="F34" s="179"/>
      <c r="H34" s="179"/>
      <c r="J34" s="179"/>
      <c r="L34" s="179"/>
      <c r="N34" s="179"/>
      <c r="P34" s="179"/>
    </row>
    <row r="35" spans="2:16">
      <c r="B35" s="172" t="s">
        <v>205</v>
      </c>
      <c r="D35" s="180">
        <f t="shared" ref="D35:D41" si="1">D14*D$11</f>
        <v>-7170348754.8000002</v>
      </c>
      <c r="F35" s="180">
        <f t="shared" ref="F35:F41" si="2">F14*F$11</f>
        <v>-12048750</v>
      </c>
      <c r="H35" s="180">
        <f t="shared" ref="H35:H41" si="3">H14*H$11</f>
        <v>-502031250</v>
      </c>
      <c r="J35" s="180">
        <f t="shared" ref="J35:J41" si="4">J14*J$11</f>
        <v>-240975000</v>
      </c>
      <c r="L35" s="180">
        <f>L14*L$11</f>
        <v>0</v>
      </c>
      <c r="N35" s="180"/>
      <c r="P35" s="180">
        <f t="shared" ref="P35:P43" si="5">SUM(D35,F35,H35,J35,L35,N35)</f>
        <v>-7925403754.8000002</v>
      </c>
    </row>
    <row r="36" spans="2:16">
      <c r="B36" s="172" t="s">
        <v>206</v>
      </c>
      <c r="D36" s="180">
        <f t="shared" si="1"/>
        <v>4288734141.7189498</v>
      </c>
      <c r="F36" s="180">
        <f t="shared" si="2"/>
        <v>0</v>
      </c>
      <c r="H36" s="180">
        <f t="shared" si="3"/>
        <v>-5779615482.0022507</v>
      </c>
      <c r="J36" s="180">
        <f t="shared" si="4"/>
        <v>-10322872886.280001</v>
      </c>
      <c r="L36" s="180">
        <f>L15*L$11</f>
        <v>0</v>
      </c>
      <c r="N36" s="180"/>
      <c r="P36" s="180">
        <f t="shared" si="5"/>
        <v>-11813754226.563301</v>
      </c>
    </row>
    <row r="37" spans="2:16">
      <c r="B37" s="172" t="s">
        <v>207</v>
      </c>
      <c r="D37" s="180">
        <f t="shared" si="1"/>
        <v>12608457897.355648</v>
      </c>
      <c r="F37" s="180">
        <f t="shared" si="2"/>
        <v>144135596.88675007</v>
      </c>
      <c r="H37" s="180">
        <f t="shared" si="3"/>
        <v>293022523.68000001</v>
      </c>
      <c r="J37" s="180">
        <f t="shared" si="4"/>
        <v>20104379292.222168</v>
      </c>
      <c r="L37" s="180">
        <f>L16*L$11</f>
        <v>0</v>
      </c>
      <c r="N37" s="180"/>
      <c r="P37" s="180">
        <f t="shared" si="5"/>
        <v>33149995310.144566</v>
      </c>
    </row>
    <row r="38" spans="2:16">
      <c r="B38" s="172" t="s">
        <v>208</v>
      </c>
      <c r="D38" s="180">
        <f t="shared" si="1"/>
        <v>-42477743.385000005</v>
      </c>
      <c r="F38" s="180">
        <f t="shared" si="2"/>
        <v>0</v>
      </c>
      <c r="H38" s="180">
        <f t="shared" si="3"/>
        <v>0</v>
      </c>
      <c r="J38" s="180">
        <f t="shared" si="4"/>
        <v>0</v>
      </c>
      <c r="L38" s="180">
        <f>L14*L$11</f>
        <v>0</v>
      </c>
      <c r="N38" s="180"/>
      <c r="P38" s="180">
        <f t="shared" si="5"/>
        <v>-42477743.385000005</v>
      </c>
    </row>
    <row r="39" spans="2:16">
      <c r="B39" s="172" t="s">
        <v>209</v>
      </c>
      <c r="D39" s="180">
        <f t="shared" si="1"/>
        <v>-107557597.84770001</v>
      </c>
      <c r="F39" s="180">
        <f t="shared" si="2"/>
        <v>0</v>
      </c>
      <c r="H39" s="180">
        <f t="shared" si="3"/>
        <v>0</v>
      </c>
      <c r="J39" s="180">
        <f t="shared" si="4"/>
        <v>0</v>
      </c>
      <c r="L39" s="180">
        <f>L15*L$11</f>
        <v>0</v>
      </c>
      <c r="N39" s="180"/>
      <c r="P39" s="180">
        <f t="shared" si="5"/>
        <v>-107557597.84770001</v>
      </c>
    </row>
    <row r="40" spans="2:16">
      <c r="B40" s="172" t="s">
        <v>210</v>
      </c>
      <c r="D40" s="180">
        <f t="shared" si="1"/>
        <v>0</v>
      </c>
      <c r="F40" s="180">
        <f t="shared" si="2"/>
        <v>0</v>
      </c>
      <c r="H40" s="180">
        <f t="shared" si="3"/>
        <v>0</v>
      </c>
      <c r="J40" s="180">
        <f t="shared" si="4"/>
        <v>0</v>
      </c>
      <c r="L40" s="180">
        <f>L16*L$11</f>
        <v>0</v>
      </c>
      <c r="N40" s="180"/>
      <c r="P40" s="180">
        <f t="shared" si="5"/>
        <v>0</v>
      </c>
    </row>
    <row r="41" spans="2:16">
      <c r="B41" s="172" t="s">
        <v>211</v>
      </c>
      <c r="D41" s="180">
        <f t="shared" si="1"/>
        <v>-57332943.687842295</v>
      </c>
      <c r="F41" s="180">
        <f t="shared" si="2"/>
        <v>0</v>
      </c>
      <c r="H41" s="180">
        <f t="shared" si="3"/>
        <v>0</v>
      </c>
      <c r="J41" s="180">
        <f t="shared" si="4"/>
        <v>0</v>
      </c>
      <c r="L41" s="180">
        <f>L17*L$11</f>
        <v>0</v>
      </c>
      <c r="N41" s="180"/>
      <c r="P41" s="180">
        <f t="shared" si="5"/>
        <v>-57332943.687842295</v>
      </c>
    </row>
    <row r="42" spans="2:16">
      <c r="B42" s="172" t="s">
        <v>101</v>
      </c>
      <c r="D42" s="180">
        <f>D21*D$11*0</f>
        <v>0</v>
      </c>
      <c r="F42" s="180">
        <f>F21*F$11*0</f>
        <v>0</v>
      </c>
      <c r="H42" s="180">
        <f>H21*H$11*0</f>
        <v>0</v>
      </c>
      <c r="J42" s="180">
        <f>J21*J$11*0</f>
        <v>0</v>
      </c>
      <c r="L42" s="180">
        <f>L18*L$11</f>
        <v>0</v>
      </c>
      <c r="N42" s="180"/>
      <c r="P42" s="180">
        <f t="shared" si="5"/>
        <v>0</v>
      </c>
    </row>
    <row r="43" spans="2:16">
      <c r="B43" s="172" t="s">
        <v>89</v>
      </c>
      <c r="D43" s="181">
        <f>D22*D$11</f>
        <v>-14192720189.49015</v>
      </c>
      <c r="F43" s="181">
        <f>F22*F$11*0</f>
        <v>0</v>
      </c>
      <c r="H43" s="181">
        <f>'Elimination 22'!H43</f>
        <v>-1104468750</v>
      </c>
      <c r="J43" s="181">
        <f>J22*J$11*0</f>
        <v>0</v>
      </c>
      <c r="L43" s="181">
        <f>L22*L$11</f>
        <v>0</v>
      </c>
      <c r="N43" s="181">
        <f>N22*N$11</f>
        <v>0</v>
      </c>
      <c r="P43" s="181">
        <f t="shared" si="5"/>
        <v>-15297188939.49015</v>
      </c>
    </row>
    <row r="44" spans="2:16">
      <c r="D44" s="182"/>
      <c r="F44" s="182"/>
      <c r="H44" s="182"/>
      <c r="J44" s="182"/>
      <c r="L44" s="182"/>
      <c r="N44" s="182"/>
      <c r="P44" s="182"/>
    </row>
    <row r="45" spans="2:16" s="176" customFormat="1" ht="13">
      <c r="B45" s="176" t="s">
        <v>214</v>
      </c>
      <c r="D45" s="183">
        <f>SUM(D35:D43)</f>
        <v>-4673245190.136095</v>
      </c>
      <c r="F45" s="183">
        <f>SUM(F35:F43)</f>
        <v>132086846.88675007</v>
      </c>
      <c r="H45" s="183">
        <f>SUM(H35:H43)</f>
        <v>-7093092958.3222504</v>
      </c>
      <c r="J45" s="183">
        <f>SUM(J35:J43)</f>
        <v>9540531405.9421673</v>
      </c>
      <c r="L45" s="183">
        <f>SUM(L35:L43)</f>
        <v>0</v>
      </c>
      <c r="N45" s="183">
        <f>SUM(N35:N43)</f>
        <v>0</v>
      </c>
      <c r="P45" s="183">
        <f>SUM(P35:P43)</f>
        <v>-2093719895.629427</v>
      </c>
    </row>
    <row r="46" spans="2:16" ht="13">
      <c r="D46" s="179"/>
      <c r="F46" s="179"/>
      <c r="H46" s="179"/>
      <c r="J46" s="179"/>
      <c r="L46" s="179"/>
      <c r="N46" s="179"/>
      <c r="P46" s="179"/>
    </row>
    <row r="47" spans="2:16" ht="13">
      <c r="B47" s="185" t="s">
        <v>215</v>
      </c>
      <c r="D47" s="189"/>
      <c r="F47" s="189"/>
      <c r="H47" s="189"/>
      <c r="J47" s="189"/>
      <c r="L47" s="189"/>
      <c r="N47" s="189"/>
      <c r="P47" s="189"/>
    </row>
    <row r="48" spans="2:16">
      <c r="B48" s="172" t="s">
        <v>205</v>
      </c>
      <c r="D48" s="189">
        <f t="shared" ref="D48:D54" si="6">D14-D35</f>
        <v>-210112946845.20001</v>
      </c>
      <c r="F48" s="189">
        <f>F14-F35</f>
        <v>-11576250</v>
      </c>
      <c r="H48" s="189">
        <f>H14-H35</f>
        <v>-482343750</v>
      </c>
      <c r="J48" s="189">
        <f>J14-J35+J26</f>
        <v>-609525000</v>
      </c>
      <c r="L48" s="189">
        <f>L14-L35</f>
        <v>0</v>
      </c>
      <c r="N48" s="190"/>
      <c r="P48" s="180">
        <f t="shared" ref="P48:P56" si="7">SUM(D48,F48,H48,J48,L48,N48)</f>
        <v>-211216391845.20001</v>
      </c>
    </row>
    <row r="49" spans="2:16">
      <c r="B49" s="172" t="s">
        <v>206</v>
      </c>
      <c r="D49" s="189">
        <f t="shared" si="6"/>
        <v>125672906516.43105</v>
      </c>
      <c r="F49" s="189">
        <f>F15-F36</f>
        <v>0</v>
      </c>
      <c r="H49" s="189">
        <f>H15-H36</f>
        <v>-5552963894.4727497</v>
      </c>
      <c r="J49" s="189">
        <f>J15-J36</f>
        <v>-9918054341.7199993</v>
      </c>
      <c r="L49" s="189">
        <f>L15-L36</f>
        <v>0</v>
      </c>
      <c r="N49" s="190"/>
      <c r="P49" s="180">
        <f t="shared" si="7"/>
        <v>110201888280.2383</v>
      </c>
    </row>
    <row r="50" spans="2:16">
      <c r="B50" s="172" t="s">
        <v>207</v>
      </c>
      <c r="D50" s="189">
        <f t="shared" si="6"/>
        <v>369466023840.69427</v>
      </c>
      <c r="F50" s="189">
        <f>F16-F37</f>
        <v>138483220.53825006</v>
      </c>
      <c r="H50" s="189">
        <f>H16-H37</f>
        <v>281531444.31999999</v>
      </c>
      <c r="J50" s="189">
        <f>J16-J37+J28</f>
        <v>19487835994.248833</v>
      </c>
      <c r="L50" s="189">
        <f>L16-L37</f>
        <v>0</v>
      </c>
      <c r="N50" s="190"/>
      <c r="P50" s="180">
        <f t="shared" si="7"/>
        <v>389373874499.80139</v>
      </c>
    </row>
    <row r="51" spans="2:16">
      <c r="B51" s="172" t="s">
        <v>208</v>
      </c>
      <c r="D51" s="189">
        <f t="shared" si="6"/>
        <v>-1244726601.615</v>
      </c>
      <c r="F51" s="189">
        <f t="shared" ref="F51:F56" si="8">F17-F39</f>
        <v>0</v>
      </c>
      <c r="H51" s="189">
        <f>H17-H39</f>
        <v>0</v>
      </c>
      <c r="J51" s="189">
        <f>J17-J39</f>
        <v>0</v>
      </c>
      <c r="L51" s="189">
        <f>L17-L39</f>
        <v>0</v>
      </c>
      <c r="N51" s="190"/>
      <c r="P51" s="180">
        <f t="shared" si="7"/>
        <v>-1244726601.615</v>
      </c>
    </row>
    <row r="52" spans="2:16">
      <c r="B52" s="172" t="s">
        <v>209</v>
      </c>
      <c r="D52" s="189">
        <f t="shared" si="6"/>
        <v>-3151763549.0523</v>
      </c>
      <c r="F52" s="189">
        <f t="shared" si="8"/>
        <v>0</v>
      </c>
      <c r="H52" s="189">
        <f>H18-H40</f>
        <v>0</v>
      </c>
      <c r="J52" s="189">
        <f>J18-J40</f>
        <v>0</v>
      </c>
      <c r="L52" s="189">
        <f>L18-L40</f>
        <v>0</v>
      </c>
      <c r="N52" s="190"/>
      <c r="P52" s="180">
        <f t="shared" si="7"/>
        <v>-3151763549.0523</v>
      </c>
    </row>
    <row r="53" spans="2:16">
      <c r="B53" s="172" t="s">
        <v>210</v>
      </c>
      <c r="D53" s="189">
        <f t="shared" si="6"/>
        <v>0</v>
      </c>
      <c r="F53" s="189">
        <f t="shared" si="8"/>
        <v>0</v>
      </c>
      <c r="H53" s="189">
        <f>H19-H41</f>
        <v>0</v>
      </c>
      <c r="J53" s="189">
        <f>J19-J41</f>
        <v>0</v>
      </c>
      <c r="L53" s="189">
        <f>L19-L41</f>
        <v>0</v>
      </c>
      <c r="N53" s="190"/>
      <c r="P53" s="180">
        <f t="shared" si="7"/>
        <v>0</v>
      </c>
    </row>
    <row r="54" spans="2:16">
      <c r="B54" s="172" t="s">
        <v>211</v>
      </c>
      <c r="D54" s="189">
        <f t="shared" si="6"/>
        <v>-1680028986.2467725</v>
      </c>
      <c r="F54" s="189">
        <f t="shared" si="8"/>
        <v>0</v>
      </c>
      <c r="H54" s="189">
        <f>H20-H42</f>
        <v>0</v>
      </c>
      <c r="J54" s="189">
        <f>J20-J42</f>
        <v>0</v>
      </c>
      <c r="L54" s="189">
        <f>L20-L42</f>
        <v>0</v>
      </c>
      <c r="N54" s="190"/>
      <c r="P54" s="180">
        <f t="shared" si="7"/>
        <v>-1680028986.2467725</v>
      </c>
    </row>
    <row r="55" spans="2:16">
      <c r="B55" s="172" t="s">
        <v>101</v>
      </c>
      <c r="D55" s="189">
        <v>0</v>
      </c>
      <c r="F55" s="189">
        <f t="shared" si="8"/>
        <v>0</v>
      </c>
      <c r="H55" s="189">
        <v>0</v>
      </c>
      <c r="J55" s="189">
        <f>J21-J43</f>
        <v>0</v>
      </c>
      <c r="L55" s="189">
        <v>0</v>
      </c>
      <c r="N55" s="190"/>
      <c r="P55" s="180">
        <f t="shared" si="7"/>
        <v>0</v>
      </c>
    </row>
    <row r="56" spans="2:16">
      <c r="B56" s="172" t="s">
        <v>89</v>
      </c>
      <c r="D56" s="191">
        <f>D22-D43</f>
        <v>-415889709795.05981</v>
      </c>
      <c r="F56" s="191">
        <f t="shared" si="8"/>
        <v>0</v>
      </c>
      <c r="H56" s="181">
        <f>H22-H43</f>
        <v>-1061156250</v>
      </c>
      <c r="J56" s="181">
        <f>J22-J43</f>
        <v>0</v>
      </c>
      <c r="L56" s="181">
        <f>L22-L43</f>
        <v>0</v>
      </c>
      <c r="N56" s="181">
        <f>N22-N43</f>
        <v>0</v>
      </c>
      <c r="P56" s="181">
        <f t="shared" si="7"/>
        <v>-416950866045.05981</v>
      </c>
    </row>
    <row r="57" spans="2:16">
      <c r="D57" s="189"/>
      <c r="F57" s="189"/>
      <c r="H57" s="189"/>
      <c r="J57" s="189"/>
      <c r="L57" s="189"/>
      <c r="N57" s="189"/>
      <c r="P57" s="189"/>
    </row>
    <row r="58" spans="2:16" s="176" customFormat="1" ht="13">
      <c r="B58" s="176" t="s">
        <v>216</v>
      </c>
      <c r="D58" s="183">
        <f>SUM(D48:D56)</f>
        <v>-136940245420.04858</v>
      </c>
      <c r="F58" s="183">
        <f>SUM(F48:F56)</f>
        <v>126906970.53825006</v>
      </c>
      <c r="H58" s="183">
        <f>SUM(H48:H56)</f>
        <v>-6814932450.15275</v>
      </c>
      <c r="J58" s="183">
        <f>SUM(J48:J56)</f>
        <v>8960256652.5288334</v>
      </c>
      <c r="L58" s="183">
        <f>SUM(L48:L56)</f>
        <v>0</v>
      </c>
      <c r="N58" s="183">
        <f>SUM(N48:N56)</f>
        <v>0</v>
      </c>
      <c r="P58" s="183">
        <f>SUM(P48:P56)</f>
        <v>-134668014247.13422</v>
      </c>
    </row>
    <row r="59" spans="2:16" ht="13">
      <c r="B59" s="184" t="s">
        <v>435</v>
      </c>
      <c r="D59" s="189">
        <f>SUM('Elimination 22'!H10,'Elimination 22'!G16:G17,'Elimination 22'!H24,'Elimination 22'!H28)</f>
        <v>-136940245420.25929</v>
      </c>
      <c r="F59" s="189">
        <f>'Elimination 22'!H32+'Elimination 22'!G35</f>
        <v>126906970.53825006</v>
      </c>
      <c r="H59" s="189">
        <f>SUM('Elimination 22'!H40,'Elimination 22'!H44,'Elimination 22'!H49,'Elimination 22'!H50)</f>
        <v>-6814932450.15275</v>
      </c>
      <c r="J59" s="189">
        <f>SUM('Elimination 22'!H54,'Elimination 22'!H59,'Elimination 22'!H60)+SUM(J26,J28)</f>
        <v>8960256652.5288334</v>
      </c>
      <c r="L59" s="189"/>
      <c r="N59" s="190"/>
      <c r="P59" s="180">
        <f>'Consol SoFP 23 &amp; 22'!BF110</f>
        <v>-134668014247</v>
      </c>
    </row>
    <row r="60" spans="2:16" ht="13">
      <c r="B60" s="184" t="s">
        <v>483</v>
      </c>
      <c r="D60" s="179">
        <f>ROUND(D58-D59,0)</f>
        <v>0</v>
      </c>
      <c r="F60" s="179">
        <f t="shared" ref="F60" si="9">ROUND(F58-F59,0)</f>
        <v>0</v>
      </c>
      <c r="H60" s="179">
        <f t="shared" ref="H60" si="10">ROUND(H58-H59,0)</f>
        <v>0</v>
      </c>
      <c r="J60" s="179">
        <f t="shared" ref="J60" si="11">ROUND(J58-J59,0)</f>
        <v>0</v>
      </c>
      <c r="L60" s="179">
        <f t="shared" ref="L60" si="12">ROUND(L58-L59,0)</f>
        <v>0</v>
      </c>
      <c r="N60" s="179">
        <f t="shared" ref="N60" si="13">ROUND(N58-N59,0)</f>
        <v>0</v>
      </c>
      <c r="P60" s="179">
        <f t="shared" ref="P60" si="14">ROUND(P58-P59,0)</f>
        <v>0</v>
      </c>
    </row>
    <row r="61" spans="2:16">
      <c r="D61" s="189"/>
      <c r="F61" s="189"/>
      <c r="H61" s="189"/>
      <c r="J61" s="189"/>
      <c r="L61" s="189"/>
      <c r="N61" s="189"/>
      <c r="P61" s="189"/>
    </row>
    <row r="62" spans="2:16" ht="13">
      <c r="B62" s="184" t="s">
        <v>217</v>
      </c>
      <c r="D62" s="179">
        <f>D30-SUM(D45,D58)</f>
        <v>0</v>
      </c>
      <c r="F62" s="179">
        <f>F30-SUM(F45,F58)</f>
        <v>0</v>
      </c>
      <c r="H62" s="179">
        <f>H30-SUM(H45,H58)</f>
        <v>0</v>
      </c>
      <c r="J62" s="179">
        <f>J30-SUM(J45,J58)</f>
        <v>0</v>
      </c>
      <c r="L62" s="179">
        <f>L30-SUM(L45,L58)</f>
        <v>0</v>
      </c>
      <c r="N62" s="179">
        <f>N30-SUM(N45,N58)</f>
        <v>0</v>
      </c>
      <c r="P62" s="179">
        <f>P30-SUM(P45,P58)</f>
        <v>0</v>
      </c>
    </row>
    <row r="64" spans="2:16" s="471" customFormat="1">
      <c r="B64" s="474">
        <v>2023</v>
      </c>
    </row>
    <row r="65" spans="2:16">
      <c r="B65" s="175"/>
    </row>
    <row r="66" spans="2:16" s="176" customFormat="1" ht="13">
      <c r="D66" s="177">
        <v>3.3000000000000002E-2</v>
      </c>
      <c r="F66" s="177">
        <v>0.51</v>
      </c>
      <c r="H66" s="177">
        <v>0.51</v>
      </c>
      <c r="J66" s="177">
        <f>'Capital Proforma Control'!J10</f>
        <v>0.51</v>
      </c>
      <c r="L66" s="177">
        <v>0.51</v>
      </c>
      <c r="O66" s="177"/>
    </row>
    <row r="67" spans="2:16" s="176" customFormat="1" ht="13">
      <c r="D67" s="178" t="s">
        <v>688</v>
      </c>
      <c r="F67" s="178" t="s">
        <v>740</v>
      </c>
      <c r="H67" s="178" t="s">
        <v>465</v>
      </c>
      <c r="J67" s="178" t="s">
        <v>609</v>
      </c>
      <c r="L67" s="178" t="s">
        <v>461</v>
      </c>
      <c r="N67" s="178" t="s">
        <v>204</v>
      </c>
      <c r="P67" s="178" t="s">
        <v>13</v>
      </c>
    </row>
    <row r="68" spans="2:16" ht="13">
      <c r="D68" s="179"/>
      <c r="F68" s="179"/>
      <c r="H68" s="179"/>
      <c r="J68" s="179"/>
      <c r="L68" s="179"/>
      <c r="N68" s="179"/>
      <c r="P68" s="179"/>
    </row>
    <row r="69" spans="2:16">
      <c r="B69" s="172" t="s">
        <v>205</v>
      </c>
      <c r="D69" s="180">
        <v>-651665345625</v>
      </c>
      <c r="F69" s="180">
        <v>-23625000</v>
      </c>
      <c r="H69" s="180">
        <f>'Consol SoFP 23 &amp; 22'!Q93</f>
        <v>-4921875000</v>
      </c>
      <c r="J69" s="180">
        <f>-300000000*1.575</f>
        <v>-472500000</v>
      </c>
      <c r="L69" s="180"/>
      <c r="N69" s="180"/>
      <c r="P69" s="180">
        <f t="shared" ref="P69:P77" si="15">SUM(D69,F69,H69,J69,L69,N69)</f>
        <v>-657083345625</v>
      </c>
    </row>
    <row r="70" spans="2:16">
      <c r="B70" s="172" t="s">
        <v>206</v>
      </c>
      <c r="D70" s="180">
        <f>'Consol SoFP 23 &amp; 22'!K101</f>
        <v>512036122394.47498</v>
      </c>
      <c r="F70" s="180">
        <f>'Consol SoFP 23 &amp; 22'!N101</f>
        <v>282618817.42500001</v>
      </c>
      <c r="H70" s="180">
        <f>'Consol SoFP 23 &amp; 22'!Q101</f>
        <v>-10758025408.725</v>
      </c>
      <c r="J70" s="180">
        <f>'Consol SoFP 23 &amp; 22'!T101</f>
        <v>19179424326</v>
      </c>
      <c r="L70" s="180"/>
      <c r="N70" s="180"/>
      <c r="P70" s="180">
        <f t="shared" si="15"/>
        <v>520740140129.17499</v>
      </c>
    </row>
    <row r="71" spans="2:16">
      <c r="B71" s="172" t="s">
        <v>207</v>
      </c>
      <c r="D71" s="180">
        <f>'Consol SoFP 23 &amp; 22'!K102</f>
        <v>603198187479.59229</v>
      </c>
      <c r="F71" s="180">
        <f>'Consol SoFP 23 &amp; 22'!N102</f>
        <v>-2677772539</v>
      </c>
      <c r="H71" s="180">
        <f>'Consol SoFP 23 &amp; 22'!Q102</f>
        <v>-1013465132</v>
      </c>
      <c r="J71" s="180">
        <f>'Consol SoFP 23 &amp; 22'!T102</f>
        <v>79178338799.328873</v>
      </c>
      <c r="L71" s="180"/>
      <c r="N71" s="180"/>
      <c r="P71" s="180">
        <f t="shared" si="15"/>
        <v>678685288607.92114</v>
      </c>
    </row>
    <row r="72" spans="2:16">
      <c r="B72" s="172" t="s">
        <v>208</v>
      </c>
      <c r="D72" s="180">
        <f>'Consol SoFP 23 &amp; 22'!K97</f>
        <v>-4546525491.8999996</v>
      </c>
      <c r="F72" s="180">
        <v>0</v>
      </c>
      <c r="H72" s="180">
        <v>0</v>
      </c>
      <c r="J72" s="180">
        <v>0</v>
      </c>
      <c r="L72" s="180"/>
      <c r="N72" s="180"/>
      <c r="P72" s="180">
        <f t="shared" si="15"/>
        <v>-4546525491.8999996</v>
      </c>
    </row>
    <row r="73" spans="2:16">
      <c r="B73" s="172" t="s">
        <v>209</v>
      </c>
      <c r="D73" s="180">
        <f>'Consol SoFP 23 &amp; 22'!K98</f>
        <v>-7005370700.4749994</v>
      </c>
      <c r="F73" s="180">
        <v>0</v>
      </c>
      <c r="H73" s="180">
        <v>0</v>
      </c>
      <c r="J73" s="180">
        <v>0</v>
      </c>
      <c r="L73" s="180"/>
      <c r="N73" s="180"/>
      <c r="P73" s="180">
        <f t="shared" si="15"/>
        <v>-7005370700.4749994</v>
      </c>
    </row>
    <row r="74" spans="2:16">
      <c r="B74" s="172" t="s">
        <v>210</v>
      </c>
      <c r="D74" s="180">
        <f>'Consol SoFP 23 &amp; 22'!K104</f>
        <v>-1737361930.5</v>
      </c>
      <c r="F74" s="180">
        <v>0</v>
      </c>
      <c r="H74" s="180">
        <v>0</v>
      </c>
      <c r="J74" s="180">
        <v>0</v>
      </c>
      <c r="L74" s="180"/>
      <c r="N74" s="180"/>
      <c r="P74" s="180">
        <f t="shared" si="15"/>
        <v>-1737361930.5</v>
      </c>
    </row>
    <row r="75" spans="2:16">
      <c r="B75" s="172" t="s">
        <v>211</v>
      </c>
      <c r="D75" s="180">
        <f>'Consol SoFP 23 &amp; 22'!K105</f>
        <v>-841103516.92499995</v>
      </c>
      <c r="F75" s="180">
        <v>0</v>
      </c>
      <c r="H75" s="180">
        <v>0</v>
      </c>
      <c r="J75" s="180">
        <v>0</v>
      </c>
      <c r="L75" s="180"/>
      <c r="N75" s="180"/>
      <c r="P75" s="180">
        <f t="shared" si="15"/>
        <v>-841103516.92499995</v>
      </c>
    </row>
    <row r="76" spans="2:16">
      <c r="B76" s="172" t="s">
        <v>101</v>
      </c>
      <c r="D76" s="180">
        <v>0</v>
      </c>
      <c r="F76" s="180"/>
      <c r="H76" s="180"/>
      <c r="J76" s="180"/>
      <c r="L76" s="180"/>
      <c r="N76" s="180"/>
      <c r="P76" s="180">
        <f t="shared" si="15"/>
        <v>0</v>
      </c>
    </row>
    <row r="77" spans="2:16">
      <c r="B77" s="172" t="s">
        <v>89</v>
      </c>
      <c r="D77" s="181"/>
      <c r="F77" s="181"/>
      <c r="H77" s="181"/>
      <c r="J77" s="181"/>
      <c r="L77" s="181"/>
      <c r="N77" s="181"/>
      <c r="P77" s="181">
        <f t="shared" si="15"/>
        <v>0</v>
      </c>
    </row>
    <row r="78" spans="2:16">
      <c r="D78" s="182"/>
      <c r="F78" s="182"/>
      <c r="H78" s="182"/>
      <c r="J78" s="182"/>
      <c r="L78" s="182"/>
      <c r="N78" s="182"/>
      <c r="P78" s="182"/>
    </row>
    <row r="79" spans="2:16" ht="13">
      <c r="B79" s="176" t="s">
        <v>478</v>
      </c>
      <c r="D79" s="182"/>
      <c r="F79" s="182"/>
      <c r="H79" s="182"/>
      <c r="J79" s="182"/>
      <c r="L79" s="182"/>
      <c r="N79" s="182"/>
      <c r="P79" s="182"/>
    </row>
    <row r="80" spans="2:16" ht="13">
      <c r="B80" s="176" t="s">
        <v>479</v>
      </c>
      <c r="D80" s="180">
        <f>SUM(D69:D76)</f>
        <v>449438602609.26727</v>
      </c>
      <c r="F80" s="180">
        <f>SUM(F69:F76)</f>
        <v>-2418778721.5749998</v>
      </c>
      <c r="H80" s="180">
        <f>SUM(H69:H76)</f>
        <v>-16693365540.725</v>
      </c>
      <c r="J80" s="180">
        <f>SUM(J69:J76)</f>
        <v>97885263125.328873</v>
      </c>
      <c r="L80" s="180">
        <f>SUM(L70:L78)</f>
        <v>0</v>
      </c>
      <c r="N80" s="180">
        <f>SUM(N70:N78)</f>
        <v>0</v>
      </c>
      <c r="P80" s="180">
        <f t="shared" ref="P80:P84" si="16">SUM(D80,F80,H80,J80,L80,N80)</f>
        <v>528211721472.29614</v>
      </c>
    </row>
    <row r="81" spans="2:18">
      <c r="D81" s="182"/>
      <c r="F81" s="182"/>
      <c r="H81" s="182"/>
      <c r="J81" s="182"/>
      <c r="L81" s="182"/>
      <c r="N81" s="182"/>
      <c r="P81" s="182"/>
    </row>
    <row r="82" spans="2:18">
      <c r="B82" s="172" t="s">
        <v>480</v>
      </c>
      <c r="D82" s="182"/>
      <c r="F82" s="182"/>
      <c r="H82" s="182"/>
      <c r="J82" s="180">
        <v>-378000000</v>
      </c>
      <c r="L82" s="182"/>
      <c r="N82" s="182"/>
      <c r="P82" s="180">
        <f t="shared" si="16"/>
        <v>-378000000</v>
      </c>
    </row>
    <row r="83" spans="2:18">
      <c r="B83" s="172" t="s">
        <v>481</v>
      </c>
      <c r="D83" s="182"/>
      <c r="F83" s="182"/>
      <c r="H83" s="182"/>
      <c r="J83" s="180">
        <v>171863733.09419999</v>
      </c>
      <c r="L83" s="182"/>
      <c r="N83" s="182"/>
      <c r="P83" s="180">
        <f t="shared" si="16"/>
        <v>171863733.09419999</v>
      </c>
    </row>
    <row r="84" spans="2:18">
      <c r="B84" s="172" t="s">
        <v>482</v>
      </c>
      <c r="D84" s="182"/>
      <c r="F84" s="182"/>
      <c r="H84" s="182"/>
      <c r="J84" s="182">
        <v>208781084.52661905</v>
      </c>
      <c r="L84" s="182"/>
      <c r="N84" s="182"/>
      <c r="P84" s="180">
        <f t="shared" si="16"/>
        <v>208781084.52661905</v>
      </c>
    </row>
    <row r="85" spans="2:18">
      <c r="D85" s="475"/>
      <c r="F85" s="475"/>
      <c r="H85" s="475"/>
      <c r="J85" s="475"/>
      <c r="L85" s="475"/>
      <c r="N85" s="475"/>
      <c r="P85" s="475"/>
    </row>
    <row r="86" spans="2:18" ht="13">
      <c r="B86" s="176" t="s">
        <v>104</v>
      </c>
      <c r="D86" s="183">
        <f>D80+SUM(D82:D84)</f>
        <v>449438602609.26727</v>
      </c>
      <c r="F86" s="183">
        <f>F80+SUM(F82:F84)</f>
        <v>-2418778721.5749998</v>
      </c>
      <c r="H86" s="183">
        <f>H80+SUM(H82:H84)</f>
        <v>-16693365540.725</v>
      </c>
      <c r="J86" s="183">
        <f>J80+SUM(J82:J84)</f>
        <v>97887907942.949692</v>
      </c>
      <c r="L86" s="183">
        <f>L80+SUM(L82:L84)</f>
        <v>0</v>
      </c>
      <c r="N86" s="183">
        <f>SUM(N69:N77)</f>
        <v>0</v>
      </c>
      <c r="P86" s="183">
        <f>P80+SUM(P82:P84)</f>
        <v>528214366289.91693</v>
      </c>
    </row>
    <row r="87" spans="2:18" ht="13">
      <c r="B87" s="476" t="s">
        <v>435</v>
      </c>
      <c r="D87" s="183">
        <f>'Consol SoFP 23 &amp; 22'!K109</f>
        <v>449438602609.26727</v>
      </c>
      <c r="F87" s="183">
        <f>'Consol SoFP 23 &amp; 22'!L109</f>
        <v>-2418778721.5749998</v>
      </c>
      <c r="H87" s="183">
        <f>'Consol SoFP 23 &amp; 22'!Q109</f>
        <v>-16693365540.725</v>
      </c>
      <c r="J87" s="183">
        <f>'Consol SoFP 23 &amp; 22'!R112</f>
        <v>97887907943.328873</v>
      </c>
      <c r="L87" s="183"/>
      <c r="N87" s="183"/>
      <c r="P87" s="183"/>
    </row>
    <row r="88" spans="2:18" ht="13">
      <c r="B88" s="184" t="s">
        <v>212</v>
      </c>
      <c r="D88" s="179">
        <f>D86-D87</f>
        <v>0</v>
      </c>
      <c r="F88" s="179">
        <f>F86-F87</f>
        <v>0</v>
      </c>
      <c r="H88" s="179">
        <f>H86-H87</f>
        <v>0</v>
      </c>
      <c r="J88" s="179">
        <f>J86-J87</f>
        <v>-0.379180908203125</v>
      </c>
      <c r="L88" s="179"/>
      <c r="N88" s="179"/>
      <c r="P88" s="179"/>
    </row>
    <row r="89" spans="2:18" ht="13">
      <c r="D89" s="179"/>
      <c r="F89" s="179"/>
      <c r="H89" s="179"/>
      <c r="J89" s="179"/>
      <c r="L89" s="179"/>
      <c r="N89" s="179"/>
      <c r="P89" s="179"/>
    </row>
    <row r="90" spans="2:18" ht="13">
      <c r="B90" s="185" t="s">
        <v>213</v>
      </c>
      <c r="D90" s="179"/>
      <c r="F90" s="179"/>
      <c r="H90" s="179"/>
      <c r="J90" s="179"/>
      <c r="L90" s="179"/>
      <c r="N90" s="179"/>
      <c r="P90" s="179"/>
    </row>
    <row r="91" spans="2:18">
      <c r="B91" s="172" t="s">
        <v>205</v>
      </c>
      <c r="D91" s="180">
        <f t="shared" ref="D91:D97" si="17">D69*D$11</f>
        <v>-21504956405.625</v>
      </c>
      <c r="F91" s="180">
        <f>F69*F$11</f>
        <v>-12048750</v>
      </c>
      <c r="H91" s="180">
        <f>H69*H$66</f>
        <v>-2510156250</v>
      </c>
      <c r="J91" s="180">
        <f>J69*J$11</f>
        <v>-240975000</v>
      </c>
      <c r="L91" s="180"/>
      <c r="N91" s="180"/>
      <c r="P91" s="180">
        <f t="shared" ref="P91:P99" si="18">SUM(D91,F91,H91,J91,L91,N91)</f>
        <v>-24268136405.625</v>
      </c>
      <c r="R91" s="186"/>
    </row>
    <row r="92" spans="2:18">
      <c r="B92" s="172" t="s">
        <v>206</v>
      </c>
      <c r="D92" s="180">
        <f t="shared" si="17"/>
        <v>16897192039.017675</v>
      </c>
      <c r="F92" s="180">
        <f>F70*F$11</f>
        <v>144135596.88675001</v>
      </c>
      <c r="H92" s="180">
        <f>H70*H$11</f>
        <v>-5486592958.4497499</v>
      </c>
      <c r="J92" s="180">
        <f>J70*J$11</f>
        <v>9781506406.2600002</v>
      </c>
      <c r="L92" s="180">
        <f>L70*L$11</f>
        <v>0</v>
      </c>
      <c r="N92" s="180"/>
      <c r="P92" s="180">
        <f t="shared" si="18"/>
        <v>21336241083.714676</v>
      </c>
      <c r="R92" s="186"/>
    </row>
    <row r="93" spans="2:18">
      <c r="B93" s="172" t="s">
        <v>207</v>
      </c>
      <c r="D93" s="180">
        <f t="shared" si="17"/>
        <v>19905540186.826546</v>
      </c>
      <c r="F93" s="180">
        <f>F71*F$11</f>
        <v>-1365663994.8900001</v>
      </c>
      <c r="H93" s="180">
        <f>H71*H$11</f>
        <v>-516867217.31999999</v>
      </c>
      <c r="J93" s="180">
        <f>J71*J$11</f>
        <v>40380952787.657722</v>
      </c>
      <c r="L93" s="180">
        <f>L71*L$11</f>
        <v>0</v>
      </c>
      <c r="N93" s="180"/>
      <c r="P93" s="180">
        <f t="shared" si="18"/>
        <v>58403961762.274269</v>
      </c>
      <c r="R93" s="187"/>
    </row>
    <row r="94" spans="2:18">
      <c r="B94" s="172" t="s">
        <v>208</v>
      </c>
      <c r="D94" s="180">
        <f t="shared" si="17"/>
        <v>-150035341.23269999</v>
      </c>
      <c r="F94" s="180">
        <f>F76*F$11</f>
        <v>0</v>
      </c>
      <c r="H94" s="180">
        <f>H76*H$11</f>
        <v>0</v>
      </c>
      <c r="J94" s="180">
        <f>J76*J$11</f>
        <v>0</v>
      </c>
      <c r="L94" s="180">
        <f>L76*L$11</f>
        <v>0</v>
      </c>
      <c r="N94" s="180"/>
      <c r="P94" s="180">
        <f t="shared" si="18"/>
        <v>-150035341.23269999</v>
      </c>
      <c r="R94" s="187"/>
    </row>
    <row r="95" spans="2:18">
      <c r="B95" s="172" t="s">
        <v>209</v>
      </c>
      <c r="D95" s="180">
        <f t="shared" si="17"/>
        <v>-231177233.115675</v>
      </c>
      <c r="F95" s="180">
        <f>F77*F$11</f>
        <v>0</v>
      </c>
      <c r="H95" s="180">
        <f>H77*H$11</f>
        <v>0</v>
      </c>
      <c r="J95" s="180">
        <f>J77*J$11</f>
        <v>0</v>
      </c>
      <c r="L95" s="180">
        <f>L77*L$11</f>
        <v>0</v>
      </c>
      <c r="N95" s="180"/>
      <c r="P95" s="180">
        <f t="shared" si="18"/>
        <v>-231177233.115675</v>
      </c>
      <c r="R95" s="187"/>
    </row>
    <row r="96" spans="2:18">
      <c r="B96" s="172" t="s">
        <v>210</v>
      </c>
      <c r="D96" s="180">
        <f t="shared" si="17"/>
        <v>-57332943.706500001</v>
      </c>
      <c r="F96" s="180">
        <f>F78*F$11</f>
        <v>0</v>
      </c>
      <c r="H96" s="180">
        <f>H78*H$11</f>
        <v>0</v>
      </c>
      <c r="J96" s="180">
        <f>J78*J$11</f>
        <v>0</v>
      </c>
      <c r="L96" s="180">
        <f>L78*L$11</f>
        <v>0</v>
      </c>
      <c r="N96" s="180"/>
      <c r="P96" s="180">
        <f t="shared" si="18"/>
        <v>-57332943.706500001</v>
      </c>
      <c r="R96" s="187"/>
    </row>
    <row r="97" spans="2:18">
      <c r="B97" s="172" t="s">
        <v>211</v>
      </c>
      <c r="D97" s="180">
        <f t="shared" si="17"/>
        <v>-27756416.058525</v>
      </c>
      <c r="F97" s="180">
        <v>0</v>
      </c>
      <c r="H97" s="180">
        <v>0</v>
      </c>
      <c r="J97" s="180">
        <v>0</v>
      </c>
      <c r="L97" s="180">
        <f>L86*L$11</f>
        <v>0</v>
      </c>
      <c r="N97" s="180"/>
      <c r="P97" s="180">
        <f t="shared" si="18"/>
        <v>-27756416.058525</v>
      </c>
      <c r="R97" s="187"/>
    </row>
    <row r="98" spans="2:18">
      <c r="B98" s="172" t="s">
        <v>101</v>
      </c>
      <c r="D98" s="180">
        <v>0</v>
      </c>
      <c r="F98" s="180">
        <f>F76*F$11</f>
        <v>0</v>
      </c>
      <c r="H98" s="180">
        <f>H76*H$11</f>
        <v>0</v>
      </c>
      <c r="J98" s="180">
        <f>J76*J$11</f>
        <v>0</v>
      </c>
      <c r="L98" s="180">
        <f>L76*L$11</f>
        <v>0</v>
      </c>
      <c r="N98" s="180"/>
      <c r="P98" s="180">
        <f t="shared" si="18"/>
        <v>0</v>
      </c>
    </row>
    <row r="99" spans="2:18">
      <c r="B99" s="172" t="s">
        <v>89</v>
      </c>
      <c r="D99" s="181">
        <f>D77*D$11</f>
        <v>0</v>
      </c>
      <c r="F99" s="181">
        <f>F77*F$11</f>
        <v>0</v>
      </c>
      <c r="H99" s="181">
        <f>H77*H$11</f>
        <v>0</v>
      </c>
      <c r="J99" s="181">
        <f>J77*J$11</f>
        <v>0</v>
      </c>
      <c r="L99" s="181">
        <f>L77*L$11</f>
        <v>0</v>
      </c>
      <c r="N99" s="181">
        <f>N77*N$11</f>
        <v>0</v>
      </c>
      <c r="P99" s="181">
        <f t="shared" si="18"/>
        <v>0</v>
      </c>
    </row>
    <row r="100" spans="2:18">
      <c r="D100" s="182"/>
      <c r="F100" s="182"/>
      <c r="H100" s="182"/>
      <c r="J100" s="182"/>
      <c r="L100" s="182"/>
      <c r="N100" s="182"/>
      <c r="P100" s="182"/>
    </row>
    <row r="101" spans="2:18" s="176" customFormat="1" ht="13">
      <c r="B101" s="176" t="s">
        <v>214</v>
      </c>
      <c r="D101" s="183">
        <f>SUM(D91:D99)</f>
        <v>14831473886.105822</v>
      </c>
      <c r="F101" s="183">
        <f>SUM(F91:F99)</f>
        <v>-1233577148.0032501</v>
      </c>
      <c r="H101" s="183">
        <f>SUM(H91:H99)</f>
        <v>-8513616425.7697496</v>
      </c>
      <c r="J101" s="183">
        <f>SUM(J91:J99)</f>
        <v>49921484193.917725</v>
      </c>
      <c r="L101" s="183">
        <f>SUM(L91:L99)</f>
        <v>0</v>
      </c>
      <c r="N101" s="183">
        <f>SUM(N91:N99)</f>
        <v>0</v>
      </c>
      <c r="P101" s="183">
        <f>SUM(P91:P99)</f>
        <v>55005764506.250549</v>
      </c>
      <c r="Q101" s="188"/>
    </row>
    <row r="102" spans="2:18" ht="13">
      <c r="D102" s="179"/>
      <c r="F102" s="179"/>
      <c r="H102" s="179"/>
      <c r="J102" s="179"/>
      <c r="L102" s="179"/>
      <c r="N102" s="179"/>
      <c r="P102" s="179"/>
    </row>
    <row r="103" spans="2:18" ht="13">
      <c r="B103" s="185" t="s">
        <v>644</v>
      </c>
      <c r="D103" s="189"/>
      <c r="F103" s="189"/>
      <c r="H103" s="189"/>
      <c r="J103" s="189"/>
      <c r="L103" s="189"/>
      <c r="N103" s="189"/>
      <c r="P103" s="189"/>
      <c r="Q103" s="189"/>
    </row>
    <row r="104" spans="2:18">
      <c r="B104" s="172" t="s">
        <v>205</v>
      </c>
      <c r="D104" s="189">
        <f t="shared" ref="D104:D110" si="19">D69-D91</f>
        <v>-630160389219.375</v>
      </c>
      <c r="F104" s="189">
        <f>F69*49%</f>
        <v>-11576250</v>
      </c>
      <c r="H104" s="189">
        <f>H69-H91</f>
        <v>-2411718750</v>
      </c>
      <c r="J104" s="189">
        <f>J69-J91+J82</f>
        <v>-609525000</v>
      </c>
      <c r="L104" s="189">
        <f>L69-L91</f>
        <v>0</v>
      </c>
      <c r="N104" s="190"/>
      <c r="P104" s="180">
        <f t="shared" ref="P104:P112" si="20">SUM(D104,F104,H104,J104,L104,N104)</f>
        <v>-633193209219.375</v>
      </c>
      <c r="Q104" s="189"/>
    </row>
    <row r="105" spans="2:18">
      <c r="B105" s="172" t="s">
        <v>206</v>
      </c>
      <c r="D105" s="189">
        <f t="shared" si="19"/>
        <v>495138930355.45728</v>
      </c>
      <c r="F105" s="189">
        <f>F70-F92</f>
        <v>138483220.53825</v>
      </c>
      <c r="H105" s="189">
        <f>H70-H92</f>
        <v>-5271432450.2752504</v>
      </c>
      <c r="J105" s="189">
        <f>J70-J92+J83</f>
        <v>9569781652.8341999</v>
      </c>
      <c r="L105" s="189">
        <f>L70-L92</f>
        <v>0</v>
      </c>
      <c r="N105" s="190"/>
      <c r="P105" s="180">
        <f t="shared" si="20"/>
        <v>499575762778.5545</v>
      </c>
      <c r="Q105" s="189"/>
    </row>
    <row r="106" spans="2:18">
      <c r="B106" s="172" t="s">
        <v>207</v>
      </c>
      <c r="D106" s="189">
        <f t="shared" si="19"/>
        <v>583292647292.76575</v>
      </c>
      <c r="F106" s="189">
        <f>F71-F93</f>
        <v>-1312108544.1099999</v>
      </c>
      <c r="H106" s="189">
        <f>H71-H93</f>
        <v>-496597914.68000001</v>
      </c>
      <c r="J106" s="189">
        <f>J71-J93+J84</f>
        <v>39006167096.197769</v>
      </c>
      <c r="L106" s="189">
        <f>L71-L93</f>
        <v>0</v>
      </c>
      <c r="N106" s="190"/>
      <c r="P106" s="180">
        <f t="shared" si="20"/>
        <v>620490107930.17346</v>
      </c>
      <c r="Q106" s="189"/>
    </row>
    <row r="107" spans="2:18">
      <c r="B107" s="172" t="s">
        <v>208</v>
      </c>
      <c r="D107" s="189">
        <f t="shared" si="19"/>
        <v>-4396490150.6672993</v>
      </c>
      <c r="F107" s="189">
        <f>F72-F94</f>
        <v>0</v>
      </c>
      <c r="H107" s="189">
        <f>H72-H94</f>
        <v>0</v>
      </c>
      <c r="J107" s="189">
        <f>J72-J94</f>
        <v>0</v>
      </c>
      <c r="L107" s="189">
        <f>L70-L92</f>
        <v>0</v>
      </c>
      <c r="N107" s="190"/>
      <c r="P107" s="180">
        <f t="shared" si="20"/>
        <v>-4396490150.6672993</v>
      </c>
      <c r="Q107" s="189"/>
    </row>
    <row r="108" spans="2:18">
      <c r="B108" s="172" t="s">
        <v>209</v>
      </c>
      <c r="D108" s="189">
        <f t="shared" si="19"/>
        <v>-6774193467.3593245</v>
      </c>
      <c r="F108" s="189">
        <f>F73-F95</f>
        <v>0</v>
      </c>
      <c r="H108" s="189">
        <f>H73-H95</f>
        <v>0</v>
      </c>
      <c r="J108" s="189">
        <f>J73-J95</f>
        <v>0</v>
      </c>
      <c r="L108" s="189">
        <f>L71-L93</f>
        <v>0</v>
      </c>
      <c r="N108" s="190"/>
      <c r="P108" s="180">
        <f t="shared" si="20"/>
        <v>-6774193467.3593245</v>
      </c>
      <c r="Q108" s="189"/>
    </row>
    <row r="109" spans="2:18">
      <c r="B109" s="172" t="s">
        <v>210</v>
      </c>
      <c r="D109" s="189">
        <f t="shared" si="19"/>
        <v>-1680028986.7934999</v>
      </c>
      <c r="F109" s="189">
        <f>F72-F94</f>
        <v>0</v>
      </c>
      <c r="H109" s="189">
        <f>H72-H94</f>
        <v>0</v>
      </c>
      <c r="J109" s="189">
        <f>J72-J94</f>
        <v>0</v>
      </c>
      <c r="L109" s="189">
        <f>L72-L94</f>
        <v>0</v>
      </c>
      <c r="N109" s="190"/>
      <c r="P109" s="180">
        <f t="shared" si="20"/>
        <v>-1680028986.7934999</v>
      </c>
      <c r="Q109" s="189"/>
    </row>
    <row r="110" spans="2:18">
      <c r="B110" s="172" t="s">
        <v>211</v>
      </c>
      <c r="D110" s="189">
        <f t="shared" si="19"/>
        <v>-813347100.86647499</v>
      </c>
      <c r="F110" s="189">
        <f>F73-F95</f>
        <v>0</v>
      </c>
      <c r="H110" s="189">
        <f>H73-H95</f>
        <v>0</v>
      </c>
      <c r="J110" s="189">
        <f>J73-J95</f>
        <v>0</v>
      </c>
      <c r="L110" s="189">
        <f>L73-L95</f>
        <v>0</v>
      </c>
      <c r="N110" s="190"/>
      <c r="P110" s="180">
        <f t="shared" si="20"/>
        <v>-813347100.86647499</v>
      </c>
      <c r="Q110" s="189"/>
    </row>
    <row r="111" spans="2:18">
      <c r="B111" s="172" t="s">
        <v>101</v>
      </c>
      <c r="D111" s="189">
        <v>0</v>
      </c>
      <c r="F111" s="189">
        <f>F76-F98</f>
        <v>0</v>
      </c>
      <c r="H111" s="189">
        <f>H76-H98</f>
        <v>0</v>
      </c>
      <c r="J111" s="189">
        <f>J76-J98</f>
        <v>0</v>
      </c>
      <c r="L111" s="189">
        <f>L76-L98</f>
        <v>0</v>
      </c>
      <c r="N111" s="190"/>
      <c r="P111" s="180">
        <f t="shared" si="20"/>
        <v>0</v>
      </c>
      <c r="Q111" s="189"/>
    </row>
    <row r="112" spans="2:18">
      <c r="B112" s="172" t="s">
        <v>89</v>
      </c>
      <c r="D112" s="181">
        <f>D77-D99</f>
        <v>0</v>
      </c>
      <c r="F112" s="181">
        <f>F77-F99</f>
        <v>0</v>
      </c>
      <c r="H112" s="181">
        <f>H77-H99</f>
        <v>0</v>
      </c>
      <c r="J112" s="181">
        <f>J77-J99</f>
        <v>0</v>
      </c>
      <c r="L112" s="181">
        <f>L77-L99</f>
        <v>0</v>
      </c>
      <c r="N112" s="181">
        <f>N77-N99</f>
        <v>0</v>
      </c>
      <c r="P112" s="181">
        <f t="shared" si="20"/>
        <v>0</v>
      </c>
    </row>
    <row r="114" spans="2:16" s="176" customFormat="1" ht="13">
      <c r="B114" s="176" t="s">
        <v>216</v>
      </c>
      <c r="D114" s="183">
        <f>SUM(D104:D112)</f>
        <v>434607128723.16144</v>
      </c>
      <c r="F114" s="183">
        <f>SUM(F104:F112)</f>
        <v>-1185201573.5717499</v>
      </c>
      <c r="H114" s="183">
        <f>SUM(H104:H112)</f>
        <v>-8179749114.9552507</v>
      </c>
      <c r="J114" s="183">
        <f>SUM(J104:J112)</f>
        <v>47966423749.031967</v>
      </c>
      <c r="L114" s="183">
        <f>SUM(L104:L112)</f>
        <v>0</v>
      </c>
      <c r="N114" s="183">
        <f>SUM(N104:N112)</f>
        <v>0</v>
      </c>
      <c r="P114" s="183">
        <f>SUM(P104:P112)</f>
        <v>473208601783.66638</v>
      </c>
    </row>
    <row r="115" spans="2:16">
      <c r="D115" s="189"/>
      <c r="F115" s="189"/>
      <c r="H115" s="189"/>
      <c r="J115" s="189"/>
      <c r="L115" s="189"/>
      <c r="N115" s="189"/>
      <c r="P115" s="189">
        <f>'Consol SoFP 23 &amp; 22'!AE110</f>
        <v>473208601783.68762</v>
      </c>
    </row>
    <row r="116" spans="2:16" ht="13">
      <c r="B116" s="184" t="s">
        <v>217</v>
      </c>
      <c r="D116" s="179">
        <f>D86-SUM(D101,D114)-D76</f>
        <v>0</v>
      </c>
      <c r="F116" s="179">
        <f>F86-SUM(F101,F114)-F76</f>
        <v>0</v>
      </c>
      <c r="H116" s="179">
        <f>H86-SUM(H101,H114)-H76</f>
        <v>0</v>
      </c>
      <c r="J116" s="179">
        <f>J86-SUM(J101,J114)-J76</f>
        <v>0</v>
      </c>
      <c r="L116" s="179">
        <f>L86-SUM(L101,L114)-L76</f>
        <v>0</v>
      </c>
      <c r="N116" s="179">
        <f>N86-SUM(N101,N114)-N76</f>
        <v>0</v>
      </c>
      <c r="P116" s="179">
        <f>P114-P115</f>
        <v>-2.1240234375E-2</v>
      </c>
    </row>
    <row r="119" spans="2:16" s="471" customFormat="1">
      <c r="B119" s="474">
        <v>2024</v>
      </c>
    </row>
    <row r="120" spans="2:16">
      <c r="B120" s="175"/>
    </row>
    <row r="121" spans="2:16" s="176" customFormat="1" ht="13">
      <c r="D121" s="177">
        <v>3.3000000000000002E-2</v>
      </c>
      <c r="F121" s="177">
        <v>0.51</v>
      </c>
      <c r="H121" s="177">
        <v>0.51</v>
      </c>
      <c r="J121" s="177">
        <f>'Capital Proforma Control'!J65</f>
        <v>0</v>
      </c>
      <c r="L121" s="177">
        <v>0.51</v>
      </c>
      <c r="O121" s="177"/>
    </row>
    <row r="122" spans="2:16" s="176" customFormat="1" ht="13">
      <c r="D122" s="178" t="s">
        <v>688</v>
      </c>
      <c r="F122" s="178" t="s">
        <v>740</v>
      </c>
      <c r="H122" s="178" t="s">
        <v>465</v>
      </c>
      <c r="J122" s="178" t="s">
        <v>609</v>
      </c>
      <c r="L122" s="178" t="s">
        <v>461</v>
      </c>
      <c r="N122" s="178" t="s">
        <v>204</v>
      </c>
      <c r="P122" s="178" t="s">
        <v>13</v>
      </c>
    </row>
    <row r="123" spans="2:16" ht="13">
      <c r="D123" s="179"/>
      <c r="F123" s="179"/>
      <c r="H123" s="179"/>
      <c r="J123" s="179"/>
      <c r="L123" s="179"/>
      <c r="N123" s="179"/>
      <c r="P123" s="179"/>
    </row>
    <row r="124" spans="2:16">
      <c r="B124" s="172" t="s">
        <v>205</v>
      </c>
      <c r="D124" s="180">
        <f>'Consol SoFP 24'!L93</f>
        <v>-651665345625</v>
      </c>
      <c r="F124" s="180">
        <v>-23625000</v>
      </c>
      <c r="H124" s="180">
        <f>'Consol SoFP 24'!S93</f>
        <v>-4921875000</v>
      </c>
      <c r="J124" s="180">
        <f>'Consol SoFP 24'!V93</f>
        <v>-472500000</v>
      </c>
      <c r="L124" s="180"/>
      <c r="N124" s="180"/>
      <c r="P124" s="180">
        <f t="shared" ref="P124:P132" si="21">SUM(D124,F124,H124,J124,L124,N124)</f>
        <v>-657083345625</v>
      </c>
    </row>
    <row r="125" spans="2:16">
      <c r="B125" s="172" t="s">
        <v>206</v>
      </c>
      <c r="D125" s="180">
        <f>'Consol SoFP 24'!L101</f>
        <v>1115234309864.7766</v>
      </c>
      <c r="F125" s="180">
        <f>'Consol SoFP 24'!O101</f>
        <v>-2395153721.5749998</v>
      </c>
      <c r="H125" s="180">
        <f>'Consol SoFP 24'!S101</f>
        <v>-11771490539.875502</v>
      </c>
      <c r="J125" s="180">
        <f>'Consol SoFP 24'!V101</f>
        <v>98357763125</v>
      </c>
      <c r="L125" s="180"/>
      <c r="N125" s="180"/>
      <c r="P125" s="180">
        <f t="shared" si="21"/>
        <v>1199425428728.3262</v>
      </c>
    </row>
    <row r="126" spans="2:16">
      <c r="B126" s="172" t="s">
        <v>207</v>
      </c>
      <c r="D126" s="180">
        <f>'Consol SoFP 24'!L102</f>
        <v>243676524429.64999</v>
      </c>
      <c r="F126" s="180">
        <f>'Consol SoFP 24'!O102</f>
        <v>10891649906</v>
      </c>
      <c r="H126" s="180">
        <f>'Consol SoFP 24'!S102</f>
        <v>36098801827</v>
      </c>
      <c r="J126" s="180">
        <f>'Consol SoFP 24'!V102</f>
        <v>9124405937.9247017</v>
      </c>
      <c r="L126" s="180"/>
      <c r="N126" s="180"/>
      <c r="P126" s="180">
        <f t="shared" si="21"/>
        <v>299791382100.57471</v>
      </c>
    </row>
    <row r="127" spans="2:16">
      <c r="B127" s="172" t="s">
        <v>208</v>
      </c>
      <c r="D127" s="180">
        <f>'Consol SoFP 24'!L98</f>
        <v>-11551896192.375</v>
      </c>
      <c r="F127" s="180">
        <v>0</v>
      </c>
      <c r="H127" s="180">
        <v>0</v>
      </c>
      <c r="J127" s="180">
        <v>0</v>
      </c>
      <c r="L127" s="180"/>
      <c r="N127" s="180"/>
      <c r="P127" s="180">
        <f t="shared" si="21"/>
        <v>-11551896192.375</v>
      </c>
    </row>
    <row r="128" spans="2:16">
      <c r="B128" s="172" t="s">
        <v>209</v>
      </c>
      <c r="D128" s="180">
        <f>'Consol SoFP 23 &amp; 22'!K153</f>
        <v>0</v>
      </c>
      <c r="F128" s="180">
        <v>0</v>
      </c>
      <c r="H128" s="180">
        <v>0</v>
      </c>
      <c r="J128" s="180">
        <v>0</v>
      </c>
      <c r="L128" s="180"/>
      <c r="N128" s="180"/>
      <c r="P128" s="180">
        <f t="shared" si="21"/>
        <v>0</v>
      </c>
    </row>
    <row r="129" spans="2:16">
      <c r="B129" s="172" t="s">
        <v>210</v>
      </c>
      <c r="D129" s="180">
        <f>'Consol SoFP 24'!L104</f>
        <v>-2578465447.4250002</v>
      </c>
      <c r="F129" s="180">
        <v>0</v>
      </c>
      <c r="H129" s="180">
        <v>0</v>
      </c>
      <c r="J129" s="180">
        <v>0</v>
      </c>
      <c r="L129" s="180"/>
      <c r="N129" s="180"/>
      <c r="P129" s="180">
        <f t="shared" si="21"/>
        <v>-2578465447.4250002</v>
      </c>
    </row>
    <row r="130" spans="2:16">
      <c r="B130" s="172" t="s">
        <v>211</v>
      </c>
      <c r="D130" s="180">
        <f>'Consol SoFP 23 &amp; 22'!K160</f>
        <v>0</v>
      </c>
      <c r="F130" s="180">
        <v>0</v>
      </c>
      <c r="H130" s="180">
        <v>0</v>
      </c>
      <c r="J130" s="180">
        <v>0</v>
      </c>
      <c r="L130" s="180"/>
      <c r="N130" s="180"/>
      <c r="P130" s="180">
        <f t="shared" si="21"/>
        <v>0</v>
      </c>
    </row>
    <row r="131" spans="2:16">
      <c r="B131" s="172" t="s">
        <v>101</v>
      </c>
      <c r="D131" s="180">
        <v>0</v>
      </c>
      <c r="F131" s="180"/>
      <c r="H131" s="180"/>
      <c r="J131" s="180"/>
      <c r="L131" s="180"/>
      <c r="N131" s="180"/>
      <c r="P131" s="180">
        <f t="shared" si="21"/>
        <v>0</v>
      </c>
    </row>
    <row r="132" spans="2:16">
      <c r="B132" s="172" t="s">
        <v>89</v>
      </c>
      <c r="D132" s="181"/>
      <c r="F132" s="181"/>
      <c r="H132" s="181"/>
      <c r="J132" s="181"/>
      <c r="L132" s="181"/>
      <c r="N132" s="181"/>
      <c r="P132" s="181">
        <f t="shared" si="21"/>
        <v>0</v>
      </c>
    </row>
    <row r="133" spans="2:16">
      <c r="D133" s="182"/>
      <c r="F133" s="182"/>
      <c r="H133" s="182"/>
      <c r="J133" s="182"/>
      <c r="L133" s="182"/>
      <c r="N133" s="182"/>
      <c r="P133" s="182"/>
    </row>
    <row r="134" spans="2:16" ht="13">
      <c r="B134" s="176" t="s">
        <v>478</v>
      </c>
      <c r="D134" s="182"/>
      <c r="F134" s="182"/>
      <c r="H134" s="182"/>
      <c r="J134" s="182"/>
      <c r="L134" s="182"/>
      <c r="N134" s="182"/>
      <c r="P134" s="182"/>
    </row>
    <row r="135" spans="2:16" ht="13">
      <c r="B135" s="176" t="s">
        <v>479</v>
      </c>
      <c r="D135" s="180">
        <f>SUM(D124:D131)</f>
        <v>693115127029.62659</v>
      </c>
      <c r="F135" s="180">
        <f>SUM(F124:F131)</f>
        <v>8472871184.4250002</v>
      </c>
      <c r="H135" s="180">
        <f>SUM(H124:H131)</f>
        <v>19405436287.124496</v>
      </c>
      <c r="J135" s="180">
        <f>SUM(J124:J131)</f>
        <v>107009669062.9247</v>
      </c>
      <c r="L135" s="180">
        <f>SUM(L125:L133)</f>
        <v>0</v>
      </c>
      <c r="N135" s="180">
        <f>SUM(N125:N133)</f>
        <v>0</v>
      </c>
      <c r="P135" s="180">
        <f t="shared" ref="P135:P139" si="22">SUM(D135,F135,H135,J135,L135,N135)</f>
        <v>828003103564.10083</v>
      </c>
    </row>
    <row r="136" spans="2:16">
      <c r="D136" s="182"/>
      <c r="F136" s="182"/>
      <c r="H136" s="182"/>
      <c r="J136" s="182"/>
      <c r="L136" s="182"/>
      <c r="N136" s="182"/>
      <c r="P136" s="182"/>
    </row>
    <row r="137" spans="2:16">
      <c r="B137" s="172" t="s">
        <v>480</v>
      </c>
      <c r="D137" s="182"/>
      <c r="F137" s="182"/>
      <c r="H137" s="182"/>
      <c r="J137" s="180">
        <v>-378000000</v>
      </c>
      <c r="L137" s="182"/>
      <c r="N137" s="182"/>
      <c r="P137" s="180">
        <f t="shared" si="22"/>
        <v>-378000000</v>
      </c>
    </row>
    <row r="138" spans="2:16">
      <c r="B138" s="172" t="s">
        <v>481</v>
      </c>
      <c r="D138" s="182"/>
      <c r="F138" s="182"/>
      <c r="H138" s="182"/>
      <c r="J138" s="180">
        <f>171863733.0942+208781084.526619</f>
        <v>380644817.62081897</v>
      </c>
      <c r="L138" s="182"/>
      <c r="N138" s="182"/>
      <c r="P138" s="180">
        <f t="shared" si="22"/>
        <v>380644817.62081897</v>
      </c>
    </row>
    <row r="139" spans="2:16">
      <c r="B139" s="172" t="s">
        <v>482</v>
      </c>
      <c r="D139" s="182"/>
      <c r="F139" s="182"/>
      <c r="H139" s="182"/>
      <c r="J139" s="182">
        <f>-33497476.3037015</f>
        <v>-33497476.303701501</v>
      </c>
      <c r="L139" s="182"/>
      <c r="N139" s="182"/>
      <c r="P139" s="180">
        <f t="shared" si="22"/>
        <v>-33497476.303701501</v>
      </c>
    </row>
    <row r="140" spans="2:16">
      <c r="D140" s="475"/>
      <c r="F140" s="475"/>
      <c r="H140" s="475"/>
      <c r="J140" s="475"/>
      <c r="L140" s="475"/>
      <c r="N140" s="475"/>
      <c r="P140" s="475"/>
    </row>
    <row r="141" spans="2:16" ht="13">
      <c r="B141" s="176" t="s">
        <v>104</v>
      </c>
      <c r="D141" s="183">
        <f>D135+SUM(D137:D139)</f>
        <v>693115127029.62659</v>
      </c>
      <c r="F141" s="183">
        <f>F135+SUM(F137:F139)</f>
        <v>8472871184.4250002</v>
      </c>
      <c r="H141" s="183">
        <f>H135+SUM(H137:H139)</f>
        <v>19405436287.124496</v>
      </c>
      <c r="J141" s="183">
        <f>J135+SUM(J137:J139)</f>
        <v>106978816404.24182</v>
      </c>
      <c r="L141" s="183">
        <f>L135+SUM(L137:L139)</f>
        <v>0</v>
      </c>
      <c r="N141" s="183">
        <f>SUM(N124:N132)</f>
        <v>0</v>
      </c>
      <c r="P141" s="183">
        <f>P135+SUM(P137:P139)</f>
        <v>827972250905.41797</v>
      </c>
    </row>
    <row r="142" spans="2:16" ht="13">
      <c r="B142" s="476" t="s">
        <v>435</v>
      </c>
      <c r="D142" s="183">
        <f>'Consol SoFP 24'!L109</f>
        <v>693115127029.62659</v>
      </c>
      <c r="F142" s="183">
        <f>'Consol SoFP 24'!O109</f>
        <v>8472871184.4250002</v>
      </c>
      <c r="H142" s="183">
        <f>'Consol SoFP 24'!S109</f>
        <v>19405436287.124496</v>
      </c>
      <c r="J142" s="183">
        <f>'Consol SoFP 24'!V112</f>
        <v>106978816403.6747</v>
      </c>
      <c r="L142" s="183"/>
      <c r="N142" s="183"/>
      <c r="P142" s="183"/>
    </row>
    <row r="143" spans="2:16" ht="13">
      <c r="B143" s="184" t="s">
        <v>212</v>
      </c>
      <c r="D143" s="179">
        <f>D141-D142</f>
        <v>0</v>
      </c>
      <c r="F143" s="179">
        <f>F141-F142</f>
        <v>0</v>
      </c>
      <c r="H143" s="179">
        <f>H141-H142</f>
        <v>0</v>
      </c>
      <c r="J143" s="179">
        <f>J141-J142</f>
        <v>0.5671234130859375</v>
      </c>
      <c r="L143" s="179"/>
      <c r="N143" s="179"/>
      <c r="P143" s="179"/>
    </row>
    <row r="144" spans="2:16" ht="13">
      <c r="D144" s="179"/>
      <c r="F144" s="179"/>
      <c r="H144" s="179"/>
      <c r="J144" s="179"/>
      <c r="L144" s="179"/>
      <c r="N144" s="179"/>
      <c r="P144" s="179"/>
    </row>
    <row r="145" spans="2:18" ht="13">
      <c r="B145" s="185" t="s">
        <v>213</v>
      </c>
      <c r="D145" s="179"/>
      <c r="F145" s="179"/>
      <c r="H145" s="179"/>
      <c r="J145" s="179"/>
      <c r="L145" s="179"/>
      <c r="N145" s="179"/>
      <c r="P145" s="179"/>
    </row>
    <row r="146" spans="2:18">
      <c r="B146" s="172" t="s">
        <v>205</v>
      </c>
      <c r="D146" s="180">
        <f t="shared" ref="D146:D152" si="23">D124*D$11</f>
        <v>-21504956405.625</v>
      </c>
      <c r="F146" s="180">
        <f>F124*F$11</f>
        <v>-12048750</v>
      </c>
      <c r="H146" s="180">
        <f>H124*H$66</f>
        <v>-2510156250</v>
      </c>
      <c r="J146" s="180">
        <f>J124*J$11</f>
        <v>-240975000</v>
      </c>
      <c r="L146" s="180"/>
      <c r="N146" s="180"/>
      <c r="P146" s="180">
        <f t="shared" ref="P146:P154" si="24">SUM(D146,F146,H146,J146,L146,N146)</f>
        <v>-24268136405.625</v>
      </c>
      <c r="R146" s="186"/>
    </row>
    <row r="147" spans="2:18">
      <c r="B147" s="172" t="s">
        <v>206</v>
      </c>
      <c r="D147" s="180">
        <f t="shared" si="23"/>
        <v>36802732225.537628</v>
      </c>
      <c r="F147" s="180">
        <f>F125*F$11</f>
        <v>-1221528398.0032499</v>
      </c>
      <c r="H147" s="180">
        <f>H125*H$11</f>
        <v>-6003460175.3365059</v>
      </c>
      <c r="J147" s="180">
        <f>J125*J$11</f>
        <v>50162459193.75</v>
      </c>
      <c r="L147" s="180">
        <f>L125*L$11</f>
        <v>0</v>
      </c>
      <c r="N147" s="180"/>
      <c r="P147" s="180">
        <f t="shared" si="24"/>
        <v>79740202845.947876</v>
      </c>
      <c r="R147" s="186"/>
    </row>
    <row r="148" spans="2:18">
      <c r="B148" s="172" t="s">
        <v>207</v>
      </c>
      <c r="D148" s="180">
        <f t="shared" si="23"/>
        <v>8041325306.1784506</v>
      </c>
      <c r="F148" s="180">
        <f>F126*F$11</f>
        <v>5554741452.0600004</v>
      </c>
      <c r="H148" s="180">
        <f>H126*H$11</f>
        <v>18410388931.77</v>
      </c>
      <c r="J148" s="180">
        <f>J126*J$11</f>
        <v>4653447028.3415976</v>
      </c>
      <c r="L148" s="180">
        <f>L126*L$11</f>
        <v>0</v>
      </c>
      <c r="N148" s="180"/>
      <c r="P148" s="180">
        <f t="shared" si="24"/>
        <v>36659902718.350052</v>
      </c>
      <c r="R148" s="187"/>
    </row>
    <row r="149" spans="2:18">
      <c r="B149" s="172" t="s">
        <v>208</v>
      </c>
      <c r="D149" s="180">
        <f t="shared" si="23"/>
        <v>-381212574.34837502</v>
      </c>
      <c r="F149" s="180">
        <f>F131*F$11</f>
        <v>0</v>
      </c>
      <c r="H149" s="180">
        <f>H131*H$11</f>
        <v>0</v>
      </c>
      <c r="J149" s="180">
        <f>J131*J$11</f>
        <v>0</v>
      </c>
      <c r="L149" s="180">
        <f>L131*L$11</f>
        <v>0</v>
      </c>
      <c r="N149" s="180"/>
      <c r="P149" s="180">
        <f t="shared" si="24"/>
        <v>-381212574.34837502</v>
      </c>
      <c r="R149" s="187"/>
    </row>
    <row r="150" spans="2:18">
      <c r="B150" s="172" t="s">
        <v>209</v>
      </c>
      <c r="D150" s="180">
        <f t="shared" si="23"/>
        <v>0</v>
      </c>
      <c r="F150" s="180">
        <f>F132*F$11</f>
        <v>0</v>
      </c>
      <c r="H150" s="180">
        <f>H132*H$11</f>
        <v>0</v>
      </c>
      <c r="J150" s="180">
        <f>J132*J$11</f>
        <v>0</v>
      </c>
      <c r="L150" s="180">
        <f>L132*L$11</f>
        <v>0</v>
      </c>
      <c r="N150" s="180"/>
      <c r="P150" s="180">
        <f t="shared" si="24"/>
        <v>0</v>
      </c>
      <c r="R150" s="187"/>
    </row>
    <row r="151" spans="2:18">
      <c r="B151" s="172" t="s">
        <v>210</v>
      </c>
      <c r="D151" s="180">
        <f t="shared" si="23"/>
        <v>-85089359.765025005</v>
      </c>
      <c r="F151" s="180">
        <f>F133*F$11</f>
        <v>0</v>
      </c>
      <c r="H151" s="180">
        <f>H133*H$11</f>
        <v>0</v>
      </c>
      <c r="J151" s="180">
        <f>J133*J$11</f>
        <v>0</v>
      </c>
      <c r="L151" s="180">
        <f>L133*L$11</f>
        <v>0</v>
      </c>
      <c r="N151" s="180"/>
      <c r="P151" s="180">
        <f t="shared" si="24"/>
        <v>-85089359.765025005</v>
      </c>
      <c r="R151" s="187"/>
    </row>
    <row r="152" spans="2:18">
      <c r="B152" s="172" t="s">
        <v>211</v>
      </c>
      <c r="D152" s="180">
        <f t="shared" si="23"/>
        <v>0</v>
      </c>
      <c r="F152" s="180">
        <v>0</v>
      </c>
      <c r="H152" s="180">
        <v>0</v>
      </c>
      <c r="J152" s="180">
        <v>0</v>
      </c>
      <c r="L152" s="180">
        <f>L141*L$11</f>
        <v>0</v>
      </c>
      <c r="N152" s="180"/>
      <c r="P152" s="180">
        <f t="shared" si="24"/>
        <v>0</v>
      </c>
      <c r="R152" s="187"/>
    </row>
    <row r="153" spans="2:18">
      <c r="B153" s="172" t="s">
        <v>101</v>
      </c>
      <c r="D153" s="180">
        <v>0</v>
      </c>
      <c r="F153" s="180">
        <f>F131*F$11</f>
        <v>0</v>
      </c>
      <c r="H153" s="180">
        <f>H131*H$11</f>
        <v>0</v>
      </c>
      <c r="J153" s="180">
        <f>J131*J$11</f>
        <v>0</v>
      </c>
      <c r="L153" s="180">
        <f>L131*L$11</f>
        <v>0</v>
      </c>
      <c r="N153" s="180"/>
      <c r="P153" s="180">
        <f t="shared" si="24"/>
        <v>0</v>
      </c>
    </row>
    <row r="154" spans="2:18">
      <c r="B154" s="172" t="s">
        <v>89</v>
      </c>
      <c r="D154" s="181">
        <f>D132*D$11</f>
        <v>0</v>
      </c>
      <c r="F154" s="181">
        <f>F132*F$11</f>
        <v>0</v>
      </c>
      <c r="H154" s="181">
        <f>H132*H$11</f>
        <v>0</v>
      </c>
      <c r="J154" s="181">
        <f>J132*J$11</f>
        <v>0</v>
      </c>
      <c r="L154" s="181">
        <f>L132*L$11</f>
        <v>0</v>
      </c>
      <c r="N154" s="181">
        <f>N132*N$11</f>
        <v>0</v>
      </c>
      <c r="P154" s="181">
        <f t="shared" si="24"/>
        <v>0</v>
      </c>
    </row>
    <row r="155" spans="2:18">
      <c r="D155" s="182"/>
      <c r="F155" s="182"/>
      <c r="H155" s="182"/>
      <c r="J155" s="182"/>
      <c r="L155" s="182"/>
      <c r="N155" s="182"/>
      <c r="P155" s="182"/>
    </row>
    <row r="156" spans="2:18" s="176" customFormat="1" ht="13">
      <c r="B156" s="176" t="s">
        <v>214</v>
      </c>
      <c r="D156" s="183">
        <f>SUM(D146:D154)</f>
        <v>22872799191.97768</v>
      </c>
      <c r="F156" s="183">
        <f>SUM(F146:F154)</f>
        <v>4321164304.0567503</v>
      </c>
      <c r="H156" s="183">
        <f>SUM(H146:H154)</f>
        <v>9896772506.4334946</v>
      </c>
      <c r="J156" s="183">
        <f>SUM(J146:J154)</f>
        <v>54574931222.091599</v>
      </c>
      <c r="L156" s="183">
        <f>SUM(L146:L154)</f>
        <v>0</v>
      </c>
      <c r="N156" s="183">
        <f>SUM(N146:N154)</f>
        <v>0</v>
      </c>
      <c r="P156" s="183">
        <f>SUM(P146:P154)</f>
        <v>91665667224.559525</v>
      </c>
      <c r="Q156" s="188"/>
    </row>
    <row r="157" spans="2:18" ht="13">
      <c r="D157" s="179"/>
      <c r="F157" s="179"/>
      <c r="H157" s="179"/>
      <c r="J157" s="179"/>
      <c r="L157" s="179"/>
      <c r="N157" s="179"/>
      <c r="P157" s="179"/>
    </row>
    <row r="158" spans="2:18" ht="13">
      <c r="B158" s="185" t="s">
        <v>644</v>
      </c>
      <c r="D158" s="189"/>
      <c r="F158" s="189"/>
      <c r="H158" s="189"/>
      <c r="J158" s="189"/>
      <c r="L158" s="189"/>
      <c r="N158" s="189"/>
      <c r="P158" s="189"/>
      <c r="Q158" s="189"/>
    </row>
    <row r="159" spans="2:18">
      <c r="B159" s="172" t="s">
        <v>205</v>
      </c>
      <c r="D159" s="189">
        <f t="shared" ref="D159:D165" si="25">D124-D146</f>
        <v>-630160389219.375</v>
      </c>
      <c r="F159" s="189">
        <f>F124*49%</f>
        <v>-11576250</v>
      </c>
      <c r="H159" s="189">
        <f>H124-H146</f>
        <v>-2411718750</v>
      </c>
      <c r="J159" s="189">
        <f>J124-J146+J137</f>
        <v>-609525000</v>
      </c>
      <c r="L159" s="189">
        <f>L124-L146</f>
        <v>0</v>
      </c>
      <c r="N159" s="190"/>
      <c r="P159" s="180">
        <f t="shared" ref="P159:P167" si="26">SUM(D159,F159,H159,J159,L159,N159)</f>
        <v>-633193209219.375</v>
      </c>
      <c r="Q159" s="189"/>
    </row>
    <row r="160" spans="2:18">
      <c r="B160" s="172" t="s">
        <v>206</v>
      </c>
      <c r="D160" s="189">
        <f t="shared" si="25"/>
        <v>1078431577639.239</v>
      </c>
      <c r="F160" s="189">
        <f>F125-F147</f>
        <v>-1173625323.5717499</v>
      </c>
      <c r="H160" s="189">
        <f>H125-H147</f>
        <v>-5768030364.5389957</v>
      </c>
      <c r="J160" s="189">
        <f>J125-J147+J138</f>
        <v>48575948748.870819</v>
      </c>
      <c r="L160" s="189">
        <f>L125-L147</f>
        <v>0</v>
      </c>
      <c r="N160" s="190"/>
      <c r="P160" s="180">
        <f t="shared" si="26"/>
        <v>1120065870699.999</v>
      </c>
      <c r="Q160" s="189"/>
    </row>
    <row r="161" spans="2:17">
      <c r="B161" s="172" t="s">
        <v>207</v>
      </c>
      <c r="D161" s="189">
        <f t="shared" si="25"/>
        <v>235635199123.47156</v>
      </c>
      <c r="F161" s="189">
        <f>F126-F148</f>
        <v>5336908453.9399996</v>
      </c>
      <c r="H161" s="189">
        <f>H126-H148</f>
        <v>17688412895.23</v>
      </c>
      <c r="J161" s="189">
        <f>J126-J148+J139</f>
        <v>4437461433.2794027</v>
      </c>
      <c r="L161" s="189">
        <f>L126-L148</f>
        <v>0</v>
      </c>
      <c r="N161" s="190"/>
      <c r="P161" s="180">
        <f t="shared" si="26"/>
        <v>263097981905.92096</v>
      </c>
      <c r="Q161" s="189"/>
    </row>
    <row r="162" spans="2:17">
      <c r="B162" s="172" t="s">
        <v>208</v>
      </c>
      <c r="D162" s="189">
        <f t="shared" si="25"/>
        <v>-11170683618.026625</v>
      </c>
      <c r="F162" s="189">
        <f>F127-F149</f>
        <v>0</v>
      </c>
      <c r="H162" s="189">
        <f>H127-H149</f>
        <v>0</v>
      </c>
      <c r="J162" s="189">
        <f>J127-J149</f>
        <v>0</v>
      </c>
      <c r="L162" s="189">
        <f>L125-L147</f>
        <v>0</v>
      </c>
      <c r="N162" s="190"/>
      <c r="P162" s="180">
        <f t="shared" si="26"/>
        <v>-11170683618.026625</v>
      </c>
      <c r="Q162" s="189"/>
    </row>
    <row r="163" spans="2:17">
      <c r="B163" s="172" t="s">
        <v>209</v>
      </c>
      <c r="D163" s="189">
        <f t="shared" si="25"/>
        <v>0</v>
      </c>
      <c r="F163" s="189">
        <f>F128-F150</f>
        <v>0</v>
      </c>
      <c r="H163" s="189">
        <f>H128-H150</f>
        <v>0</v>
      </c>
      <c r="J163" s="189">
        <f>J128-J150</f>
        <v>0</v>
      </c>
      <c r="L163" s="189">
        <f>L126-L148</f>
        <v>0</v>
      </c>
      <c r="N163" s="190"/>
      <c r="P163" s="180">
        <f t="shared" si="26"/>
        <v>0</v>
      </c>
      <c r="Q163" s="189"/>
    </row>
    <row r="164" spans="2:17">
      <c r="B164" s="172" t="s">
        <v>210</v>
      </c>
      <c r="D164" s="189">
        <f t="shared" si="25"/>
        <v>-2493376087.6599751</v>
      </c>
      <c r="F164" s="189">
        <f>F127-F149</f>
        <v>0</v>
      </c>
      <c r="H164" s="189">
        <f>H127-H149</f>
        <v>0</v>
      </c>
      <c r="J164" s="189">
        <f>J127-J149</f>
        <v>0</v>
      </c>
      <c r="L164" s="189">
        <f>L127-L149</f>
        <v>0</v>
      </c>
      <c r="N164" s="190"/>
      <c r="P164" s="180">
        <f t="shared" si="26"/>
        <v>-2493376087.6599751</v>
      </c>
      <c r="Q164" s="189"/>
    </row>
    <row r="165" spans="2:17">
      <c r="B165" s="172" t="s">
        <v>211</v>
      </c>
      <c r="D165" s="189">
        <f t="shared" si="25"/>
        <v>0</v>
      </c>
      <c r="F165" s="189">
        <f>F128-F150</f>
        <v>0</v>
      </c>
      <c r="H165" s="189">
        <f>H128-H150</f>
        <v>0</v>
      </c>
      <c r="J165" s="189">
        <f>J128-J150</f>
        <v>0</v>
      </c>
      <c r="L165" s="189">
        <f>L128-L150</f>
        <v>0</v>
      </c>
      <c r="N165" s="190"/>
      <c r="P165" s="180">
        <f t="shared" si="26"/>
        <v>0</v>
      </c>
      <c r="Q165" s="189"/>
    </row>
    <row r="166" spans="2:17">
      <c r="B166" s="172" t="s">
        <v>101</v>
      </c>
      <c r="D166" s="189">
        <v>0</v>
      </c>
      <c r="F166" s="189">
        <f>F131-F153</f>
        <v>0</v>
      </c>
      <c r="H166" s="189">
        <f>H131-H153</f>
        <v>0</v>
      </c>
      <c r="J166" s="189">
        <f>J131-J153</f>
        <v>0</v>
      </c>
      <c r="L166" s="189">
        <f>L131-L153</f>
        <v>0</v>
      </c>
      <c r="N166" s="190"/>
      <c r="P166" s="180">
        <f t="shared" si="26"/>
        <v>0</v>
      </c>
      <c r="Q166" s="189"/>
    </row>
    <row r="167" spans="2:17">
      <c r="B167" s="172" t="s">
        <v>89</v>
      </c>
      <c r="D167" s="181">
        <f>D132-D154</f>
        <v>0</v>
      </c>
      <c r="F167" s="181">
        <f>F132-F154</f>
        <v>0</v>
      </c>
      <c r="H167" s="181">
        <f>H132-H154</f>
        <v>0</v>
      </c>
      <c r="J167" s="181">
        <f>J132-J154</f>
        <v>0</v>
      </c>
      <c r="L167" s="181">
        <f>L132-L154</f>
        <v>0</v>
      </c>
      <c r="N167" s="181">
        <f>N132-N154</f>
        <v>0</v>
      </c>
      <c r="P167" s="181">
        <f t="shared" si="26"/>
        <v>0</v>
      </c>
    </row>
    <row r="169" spans="2:17" s="176" customFormat="1" ht="13">
      <c r="B169" s="176" t="s">
        <v>216</v>
      </c>
      <c r="D169" s="183">
        <f>SUM(D159:D167)</f>
        <v>670242327837.64893</v>
      </c>
      <c r="F169" s="183">
        <f>SUM(F159:F167)</f>
        <v>4151706880.3682499</v>
      </c>
      <c r="H169" s="183">
        <f>SUM(H159:H167)</f>
        <v>9508663780.6910038</v>
      </c>
      <c r="J169" s="183">
        <f>SUM(J159:J167)</f>
        <v>52403885182.150223</v>
      </c>
      <c r="L169" s="183">
        <f>SUM(L159:L167)</f>
        <v>0</v>
      </c>
      <c r="N169" s="183">
        <f>SUM(N159:N167)</f>
        <v>0</v>
      </c>
      <c r="P169" s="183">
        <f>SUM(P159:P167)</f>
        <v>736306583680.85828</v>
      </c>
    </row>
    <row r="170" spans="2:17">
      <c r="D170" s="189"/>
      <c r="F170" s="189"/>
      <c r="H170" s="189"/>
      <c r="J170" s="189"/>
      <c r="L170" s="189"/>
      <c r="N170" s="189"/>
      <c r="P170" s="189">
        <f>'Consol SoFP 23 &amp; 22'!AE165</f>
        <v>0</v>
      </c>
    </row>
    <row r="171" spans="2:17" ht="13">
      <c r="B171" s="184" t="s">
        <v>217</v>
      </c>
      <c r="D171" s="179">
        <f>D141-SUM(D156,D169)-D131</f>
        <v>0</v>
      </c>
      <c r="F171" s="179">
        <f>F141-SUM(F156,F169)-F131</f>
        <v>0</v>
      </c>
      <c r="H171" s="179">
        <f>H141-SUM(H156,H169)-H131</f>
        <v>0</v>
      </c>
      <c r="J171" s="179">
        <f>J141-SUM(J156,J169)-J131</f>
        <v>0</v>
      </c>
      <c r="L171" s="179">
        <f>L141-SUM(L156,L169)-L131</f>
        <v>0</v>
      </c>
      <c r="N171" s="179">
        <f>N141-SUM(N156,N169)-N131</f>
        <v>0</v>
      </c>
      <c r="P171" s="179">
        <f>P169-P170</f>
        <v>736306583680.85828</v>
      </c>
    </row>
    <row r="174" spans="2:17" s="173" customFormat="1">
      <c r="B174" s="174" t="s">
        <v>218</v>
      </c>
    </row>
    <row r="176" spans="2:17" s="477" customFormat="1">
      <c r="B176" s="474">
        <v>2022</v>
      </c>
      <c r="G176" s="478"/>
      <c r="N176" s="478"/>
      <c r="O176" s="478"/>
      <c r="P176" s="478"/>
    </row>
    <row r="178" spans="2:20" s="153" customFormat="1" ht="38">
      <c r="B178" s="152"/>
      <c r="D178" s="193" t="s">
        <v>219</v>
      </c>
      <c r="E178" s="194"/>
      <c r="F178" s="193" t="s">
        <v>9</v>
      </c>
      <c r="G178" s="194"/>
      <c r="H178" s="195" t="s">
        <v>220</v>
      </c>
      <c r="J178" s="193" t="s">
        <v>221</v>
      </c>
      <c r="K178" s="194"/>
      <c r="L178" s="193" t="s">
        <v>222</v>
      </c>
      <c r="N178" s="193" t="s">
        <v>209</v>
      </c>
      <c r="P178" s="193" t="s">
        <v>11</v>
      </c>
      <c r="Q178" s="194"/>
      <c r="R178" s="193" t="s">
        <v>223</v>
      </c>
      <c r="S178" s="194"/>
      <c r="T178" s="193" t="s">
        <v>224</v>
      </c>
    </row>
    <row r="179" spans="2:20" s="152" customFormat="1" ht="13">
      <c r="C179" s="153"/>
      <c r="D179" s="196"/>
      <c r="E179" s="153"/>
      <c r="G179" s="153"/>
      <c r="H179" s="196"/>
      <c r="J179" s="196"/>
      <c r="K179" s="153"/>
      <c r="L179" s="196"/>
      <c r="P179" s="196"/>
      <c r="Q179" s="153"/>
      <c r="R179" s="196"/>
      <c r="S179" s="153"/>
      <c r="T179" s="197"/>
    </row>
    <row r="180" spans="2:20" s="153" customFormat="1" ht="14">
      <c r="B180" s="152" t="s">
        <v>688</v>
      </c>
      <c r="D180" s="198"/>
      <c r="F180" s="198">
        <f>SUM(D48:D49,D51,D56)</f>
        <v>-501574476725.44379</v>
      </c>
      <c r="H180" s="198">
        <v>0</v>
      </c>
      <c r="J180" s="198">
        <f>D50</f>
        <v>369466023840.69427</v>
      </c>
      <c r="L180" s="198">
        <f>D54</f>
        <v>-1680028986.2467725</v>
      </c>
      <c r="N180" s="198">
        <f>D52</f>
        <v>-3151763549.0523</v>
      </c>
      <c r="P180" s="198">
        <f t="shared" ref="P180:P184" si="27">SUM(D180,F180,H180,J180,L180,N180)</f>
        <v>-136940245420.04858</v>
      </c>
      <c r="R180" s="198"/>
      <c r="T180" s="199">
        <f>SUM(P180,R180)</f>
        <v>-136940245420.04858</v>
      </c>
    </row>
    <row r="181" spans="2:20" s="153" customFormat="1" ht="14">
      <c r="B181" s="152" t="s">
        <v>740</v>
      </c>
      <c r="D181" s="198"/>
      <c r="F181" s="198">
        <f>SUM(F48:F49)</f>
        <v>-11576250</v>
      </c>
      <c r="H181" s="198">
        <v>0</v>
      </c>
      <c r="J181" s="198">
        <f>F50</f>
        <v>138483220.53825006</v>
      </c>
      <c r="L181" s="198">
        <v>0</v>
      </c>
      <c r="N181" s="198">
        <v>0</v>
      </c>
      <c r="P181" s="198">
        <f t="shared" si="27"/>
        <v>126906970.53825006</v>
      </c>
      <c r="R181" s="198"/>
      <c r="T181" s="199">
        <f t="shared" ref="T181:T184" si="28">SUM(P181,R181)</f>
        <v>126906970.53825006</v>
      </c>
    </row>
    <row r="182" spans="2:20" s="153" customFormat="1" ht="14">
      <c r="B182" s="152" t="s">
        <v>465</v>
      </c>
      <c r="D182" s="198"/>
      <c r="F182" s="198">
        <f>SUM(H48:H49)+H56</f>
        <v>-7096463894.4727497</v>
      </c>
      <c r="H182" s="198">
        <v>0</v>
      </c>
      <c r="J182" s="198">
        <f>H50</f>
        <v>281531444.31999999</v>
      </c>
      <c r="L182" s="198">
        <v>0</v>
      </c>
      <c r="N182" s="198">
        <v>0</v>
      </c>
      <c r="P182" s="198">
        <f t="shared" si="27"/>
        <v>-6814932450.15275</v>
      </c>
      <c r="R182" s="198"/>
      <c r="T182" s="199">
        <f t="shared" si="28"/>
        <v>-6814932450.15275</v>
      </c>
    </row>
    <row r="183" spans="2:20" s="153" customFormat="1" ht="14">
      <c r="B183" s="152" t="s">
        <v>609</v>
      </c>
      <c r="D183" s="198"/>
      <c r="F183" s="198">
        <f>SUM(J48:J49)</f>
        <v>-10527579341.719999</v>
      </c>
      <c r="H183" s="198">
        <v>0</v>
      </c>
      <c r="J183" s="198">
        <f>J50</f>
        <v>19487835994.248833</v>
      </c>
      <c r="L183" s="198">
        <v>0</v>
      </c>
      <c r="N183" s="198">
        <v>0</v>
      </c>
      <c r="P183" s="198">
        <f t="shared" si="27"/>
        <v>8960256652.5288334</v>
      </c>
      <c r="R183" s="198"/>
      <c r="T183" s="199">
        <f t="shared" si="28"/>
        <v>8960256652.5288334</v>
      </c>
    </row>
    <row r="184" spans="2:20" s="153" customFormat="1" ht="14">
      <c r="B184" s="152" t="s">
        <v>461</v>
      </c>
      <c r="D184" s="198"/>
      <c r="F184" s="198"/>
      <c r="H184" s="198"/>
      <c r="J184" s="198"/>
      <c r="L184" s="198">
        <v>0</v>
      </c>
      <c r="N184" s="198">
        <v>0</v>
      </c>
      <c r="P184" s="198">
        <f t="shared" si="27"/>
        <v>0</v>
      </c>
      <c r="R184" s="198"/>
      <c r="T184" s="199">
        <f t="shared" si="28"/>
        <v>0</v>
      </c>
    </row>
    <row r="185" spans="2:20" s="153" customFormat="1" ht="14">
      <c r="B185" s="152"/>
      <c r="D185" s="200"/>
      <c r="F185" s="200"/>
      <c r="H185" s="200"/>
      <c r="J185" s="200"/>
      <c r="L185" s="200"/>
      <c r="N185" s="200"/>
      <c r="P185" s="200"/>
      <c r="R185" s="200"/>
      <c r="T185" s="200"/>
    </row>
    <row r="186" spans="2:20" s="153" customFormat="1" ht="14.5" thickBot="1">
      <c r="B186" s="152" t="s">
        <v>225</v>
      </c>
      <c r="D186" s="201">
        <f>SUM(D180:D184)</f>
        <v>0</v>
      </c>
      <c r="F186" s="201">
        <f>SUM(F180:F184)</f>
        <v>-519210096211.63654</v>
      </c>
      <c r="H186" s="201">
        <f>SUM(H180:H184)</f>
        <v>0</v>
      </c>
      <c r="J186" s="201">
        <f>SUM(J180:J184)</f>
        <v>389373874499.80139</v>
      </c>
      <c r="L186" s="201">
        <f>SUM(L180:L184)</f>
        <v>-1680028986.2467725</v>
      </c>
      <c r="N186" s="201">
        <f>SUM(N180:N184)</f>
        <v>-3151763549.0523</v>
      </c>
      <c r="P186" s="201">
        <f>SUM(P180:P184)</f>
        <v>-134668014247.13425</v>
      </c>
      <c r="R186" s="201">
        <f>SUM(R180:R184)</f>
        <v>0</v>
      </c>
      <c r="T186" s="201">
        <f>SUM(T180:T184)</f>
        <v>-134668014247.13425</v>
      </c>
    </row>
    <row r="187" spans="2:20" s="153" customFormat="1" ht="13.5" thickTop="1">
      <c r="B187" s="152" t="s">
        <v>226</v>
      </c>
      <c r="D187" s="183"/>
      <c r="E187" s="176"/>
      <c r="F187" s="183">
        <f>-('SoCE Consol '!V14)</f>
        <v>-519210096211.63654</v>
      </c>
      <c r="G187" s="176"/>
      <c r="H187" s="183">
        <f>-'SoCE Consol '!V12</f>
        <v>0</v>
      </c>
      <c r="J187" s="183">
        <f>-'SoCE Consol '!V17</f>
        <v>389373874499.80139</v>
      </c>
      <c r="K187" s="176"/>
      <c r="L187" s="183">
        <f>-'SoCE Consol '!V23</f>
        <v>-1680028986.2467725</v>
      </c>
      <c r="N187" s="183">
        <f>-'SoCE Consol '!V20</f>
        <v>-3151763549.0523</v>
      </c>
      <c r="P187" s="183">
        <f>-'SoCE Consol '!V25</f>
        <v>-134668014247.13422</v>
      </c>
      <c r="Q187" s="176"/>
      <c r="R187" s="183">
        <v>0</v>
      </c>
      <c r="S187" s="176"/>
      <c r="T187" s="183">
        <f>-('SoCE Consol '!V25)</f>
        <v>-134668014247.13422</v>
      </c>
    </row>
    <row r="188" spans="2:20" s="153" customFormat="1" ht="13">
      <c r="B188" s="152" t="s">
        <v>109</v>
      </c>
      <c r="D188" s="179">
        <f>ROUND(D186-D187,0)</f>
        <v>0</v>
      </c>
      <c r="E188" s="172"/>
      <c r="F188" s="179">
        <f>ROUND(F186-F187,0)</f>
        <v>0</v>
      </c>
      <c r="G188" s="172"/>
      <c r="H188" s="179">
        <f>ROUND(H186-H187,0)</f>
        <v>0</v>
      </c>
      <c r="J188" s="179">
        <f>ROUND(J186-J187,0)</f>
        <v>0</v>
      </c>
      <c r="K188" s="172"/>
      <c r="L188" s="179">
        <f>ROUND(L186-L187,0)</f>
        <v>0</v>
      </c>
      <c r="N188" s="179">
        <f>ROUND(N186-N187,0)</f>
        <v>0</v>
      </c>
      <c r="P188" s="179">
        <f>ROUND(P186-P187,0)</f>
        <v>0</v>
      </c>
      <c r="Q188" s="172"/>
      <c r="R188" s="179">
        <f>ROUND(R186-R187,0)</f>
        <v>0</v>
      </c>
      <c r="S188" s="172"/>
      <c r="T188" s="179">
        <f>ROUND(T186-T187,0)</f>
        <v>0</v>
      </c>
    </row>
    <row r="189" spans="2:20" s="153" customFormat="1" ht="13">
      <c r="B189" s="152"/>
      <c r="P189" s="202"/>
      <c r="Q189" s="192"/>
    </row>
    <row r="190" spans="2:20" s="477" customFormat="1">
      <c r="B190" s="474">
        <v>2023</v>
      </c>
      <c r="G190" s="478"/>
      <c r="N190" s="478"/>
      <c r="O190" s="478"/>
      <c r="P190" s="478"/>
    </row>
    <row r="191" spans="2:20" s="153" customFormat="1">
      <c r="H191" s="203"/>
      <c r="J191" s="203"/>
      <c r="L191" s="203"/>
      <c r="N191" s="192"/>
      <c r="O191" s="192"/>
      <c r="P191" s="192"/>
    </row>
    <row r="192" spans="2:20" s="153" customFormat="1" ht="25.5">
      <c r="B192" s="152"/>
      <c r="D192" s="193" t="s">
        <v>219</v>
      </c>
      <c r="E192" s="194"/>
      <c r="F192" s="195" t="s">
        <v>227</v>
      </c>
      <c r="G192" s="194"/>
      <c r="H192" s="193" t="s">
        <v>221</v>
      </c>
      <c r="I192" s="194"/>
      <c r="J192" s="193" t="s">
        <v>222</v>
      </c>
      <c r="L192" s="193" t="s">
        <v>209</v>
      </c>
      <c r="N192" s="193" t="s">
        <v>11</v>
      </c>
      <c r="O192" s="194"/>
      <c r="P192" s="193" t="s">
        <v>204</v>
      </c>
      <c r="Q192" s="194"/>
      <c r="R192" s="193" t="s">
        <v>224</v>
      </c>
    </row>
    <row r="193" spans="2:18" s="152" customFormat="1" ht="13">
      <c r="C193" s="153"/>
      <c r="D193" s="196"/>
      <c r="E193" s="153"/>
      <c r="G193" s="153"/>
      <c r="H193" s="196"/>
      <c r="I193" s="153"/>
      <c r="J193" s="196"/>
      <c r="K193" s="153"/>
      <c r="L193" s="196"/>
      <c r="M193" s="153"/>
      <c r="N193" s="197"/>
      <c r="O193" s="192"/>
      <c r="P193" s="192"/>
    </row>
    <row r="194" spans="2:18" s="153" customFormat="1" ht="14">
      <c r="B194" s="152" t="s">
        <v>688</v>
      </c>
      <c r="D194" s="198">
        <f>T180</f>
        <v>-136940245420.04858</v>
      </c>
      <c r="F194" s="198">
        <f>'Proforma Adjustment'!M83</f>
        <v>-4157732579.1151619</v>
      </c>
      <c r="H194" s="198">
        <f>D106</f>
        <v>583292647292.76575</v>
      </c>
      <c r="J194" s="198">
        <f>D110</f>
        <v>-813347100.86647499</v>
      </c>
      <c r="L194" s="198">
        <f>D108</f>
        <v>-6774193467.3593245</v>
      </c>
      <c r="N194" s="198">
        <f>SUM(D194,F194,H194,J194,L194)</f>
        <v>434607128725.37622</v>
      </c>
      <c r="O194" s="192"/>
      <c r="P194" s="199"/>
      <c r="R194" s="199">
        <f t="shared" ref="R194:R198" si="29">SUM(N194,P194)</f>
        <v>434607128725.37622</v>
      </c>
    </row>
    <row r="195" spans="2:18" s="153" customFormat="1" ht="14">
      <c r="B195" s="152" t="s">
        <v>740</v>
      </c>
      <c r="D195" s="198">
        <f>T181</f>
        <v>126906970.53825006</v>
      </c>
      <c r="F195" s="198"/>
      <c r="H195" s="198">
        <f>F106</f>
        <v>-1312108544.1099999</v>
      </c>
      <c r="J195" s="198"/>
      <c r="L195" s="198"/>
      <c r="N195" s="198">
        <f t="shared" ref="N195:N198" si="30">SUM(D195,F195,H195,J195,L195)</f>
        <v>-1185201573.5717499</v>
      </c>
      <c r="O195" s="192"/>
      <c r="P195" s="199"/>
      <c r="R195" s="199">
        <f t="shared" si="29"/>
        <v>-1185201573.5717499</v>
      </c>
    </row>
    <row r="196" spans="2:18" s="153" customFormat="1" ht="14">
      <c r="B196" s="152" t="s">
        <v>465</v>
      </c>
      <c r="D196" s="198">
        <f>T182</f>
        <v>-6814932450.15275</v>
      </c>
      <c r="F196" s="198">
        <f>'Proforma Adjustment'!N83</f>
        <v>-868218750</v>
      </c>
      <c r="H196" s="198">
        <f>H106</f>
        <v>-496597914.68000001</v>
      </c>
      <c r="J196" s="198"/>
      <c r="L196" s="198"/>
      <c r="N196" s="198">
        <f t="shared" si="30"/>
        <v>-8179749114.8327503</v>
      </c>
      <c r="O196" s="192"/>
      <c r="P196" s="199"/>
      <c r="R196" s="199">
        <f t="shared" si="29"/>
        <v>-8179749114.8327503</v>
      </c>
    </row>
    <row r="197" spans="2:18" s="153" customFormat="1" ht="14">
      <c r="B197" s="152" t="s">
        <v>609</v>
      </c>
      <c r="D197" s="198">
        <f>T183</f>
        <v>8960256652.5288334</v>
      </c>
      <c r="F197" s="198"/>
      <c r="H197" s="198">
        <f>J106</f>
        <v>39006167096.197769</v>
      </c>
      <c r="J197" s="198"/>
      <c r="L197" s="198"/>
      <c r="N197" s="198">
        <f t="shared" si="30"/>
        <v>47966423748.726601</v>
      </c>
      <c r="O197" s="192"/>
      <c r="P197" s="199"/>
      <c r="R197" s="199">
        <f t="shared" si="29"/>
        <v>47966423748.726601</v>
      </c>
    </row>
    <row r="198" spans="2:18" s="153" customFormat="1" ht="14">
      <c r="B198" s="152" t="s">
        <v>461</v>
      </c>
      <c r="D198" s="198">
        <f>T184</f>
        <v>0</v>
      </c>
      <c r="F198" s="198">
        <v>0</v>
      </c>
      <c r="H198" s="198">
        <f>L106</f>
        <v>0</v>
      </c>
      <c r="J198" s="198"/>
      <c r="L198" s="198"/>
      <c r="N198" s="198">
        <f t="shared" si="30"/>
        <v>0</v>
      </c>
      <c r="O198" s="192"/>
      <c r="P198" s="199"/>
      <c r="R198" s="199">
        <f t="shared" si="29"/>
        <v>0</v>
      </c>
    </row>
    <row r="199" spans="2:18" s="153" customFormat="1" ht="14">
      <c r="B199" s="152"/>
      <c r="D199" s="198"/>
      <c r="F199" s="198"/>
      <c r="H199" s="198"/>
      <c r="J199" s="198"/>
      <c r="L199" s="198"/>
      <c r="N199" s="199"/>
      <c r="O199" s="192"/>
      <c r="P199" s="199"/>
      <c r="R199" s="199"/>
    </row>
    <row r="200" spans="2:18" s="153" customFormat="1" ht="14.5" thickBot="1">
      <c r="B200" s="152" t="s">
        <v>225</v>
      </c>
      <c r="D200" s="201">
        <f>SUM(D194:D198)</f>
        <v>-134668014247.13425</v>
      </c>
      <c r="F200" s="201">
        <f>SUM(F194:F198)</f>
        <v>-5025951329.1151619</v>
      </c>
      <c r="H200" s="201">
        <f>SUM(H194:H198)</f>
        <v>620490107930.17346</v>
      </c>
      <c r="J200" s="201">
        <f>SUM(J194:J198)</f>
        <v>-813347100.86647499</v>
      </c>
      <c r="L200" s="201">
        <f>SUM(L194:L198)</f>
        <v>-6774193467.3593245</v>
      </c>
      <c r="N200" s="201">
        <f>SUM(N194:N198)</f>
        <v>473208601785.6983</v>
      </c>
      <c r="P200" s="201">
        <f>SUM(P194:P198)</f>
        <v>0</v>
      </c>
      <c r="R200" s="201">
        <f>SUM(R194:R198)</f>
        <v>473208601785.6983</v>
      </c>
    </row>
    <row r="201" spans="2:18" s="153" customFormat="1" ht="13.5" thickTop="1">
      <c r="B201" s="152"/>
      <c r="H201" s="203"/>
      <c r="J201" s="203"/>
      <c r="L201" s="203"/>
      <c r="N201" s="202"/>
      <c r="O201" s="192"/>
      <c r="P201" s="202"/>
      <c r="R201" s="202"/>
    </row>
    <row r="202" spans="2:18" s="153" customFormat="1" ht="13">
      <c r="B202" s="152" t="s">
        <v>226</v>
      </c>
      <c r="D202" s="183">
        <f>T187</f>
        <v>-134668014247.13422</v>
      </c>
      <c r="E202" s="176"/>
      <c r="F202" s="183">
        <v>0</v>
      </c>
      <c r="G202" s="176"/>
      <c r="H202" s="183">
        <f>'Consol SoPL-OCI 23 &amp; 22'!AC87</f>
        <v>620490107930.3269</v>
      </c>
      <c r="I202" s="176"/>
      <c r="J202" s="183">
        <f>'Consol SoPL-OCI 23 &amp; 22'!AB94-'Consol SoPL-OCI 23 &amp; 22'!AB87</f>
        <v>-813347100.99999976</v>
      </c>
      <c r="K202" s="176"/>
      <c r="L202" s="183">
        <f>D108</f>
        <v>-6774193467.3593245</v>
      </c>
      <c r="M202" s="176"/>
      <c r="N202" s="183">
        <f>'Consol SoFP 23 &amp; 22'!AE110</f>
        <v>473208601783.68762</v>
      </c>
      <c r="O202" s="192"/>
      <c r="P202" s="183">
        <v>0</v>
      </c>
      <c r="R202" s="183">
        <f>N202</f>
        <v>473208601783.68762</v>
      </c>
    </row>
    <row r="203" spans="2:18" s="153" customFormat="1" ht="13">
      <c r="B203" s="152" t="s">
        <v>109</v>
      </c>
      <c r="D203" s="179">
        <f>ROUND(D200-D202,0)</f>
        <v>0</v>
      </c>
      <c r="E203" s="172"/>
      <c r="F203" s="179">
        <f t="shared" ref="F203" si="31">ROUND(F200-F202,0)</f>
        <v>-5025951329</v>
      </c>
      <c r="G203" s="172"/>
      <c r="H203" s="179">
        <f t="shared" ref="H203:J203" si="32">ROUND(H200-H202,0)</f>
        <v>0</v>
      </c>
      <c r="I203" s="172"/>
      <c r="J203" s="179">
        <f t="shared" si="32"/>
        <v>0</v>
      </c>
      <c r="K203" s="172"/>
      <c r="L203" s="179">
        <f t="shared" ref="L203" si="33">ROUND(L200-L202,0)</f>
        <v>0</v>
      </c>
      <c r="M203" s="172"/>
      <c r="N203" s="179">
        <f t="shared" ref="N203:P203" si="34">ROUND(N200-N202,0)</f>
        <v>2</v>
      </c>
      <c r="O203" s="192"/>
      <c r="P203" s="179">
        <f t="shared" si="34"/>
        <v>0</v>
      </c>
      <c r="R203" s="179">
        <f t="shared" ref="R203" si="35">ROUND(R200-R202,0)</f>
        <v>2</v>
      </c>
    </row>
    <row r="205" spans="2:18" s="477" customFormat="1">
      <c r="B205" s="474">
        <v>2023</v>
      </c>
      <c r="G205" s="478"/>
      <c r="N205" s="478"/>
      <c r="O205" s="478"/>
      <c r="P205" s="478"/>
    </row>
    <row r="206" spans="2:18" s="153" customFormat="1">
      <c r="H206" s="203"/>
      <c r="J206" s="203"/>
      <c r="L206" s="203"/>
      <c r="N206" s="192"/>
      <c r="O206" s="192"/>
      <c r="P206" s="192"/>
    </row>
    <row r="207" spans="2:18" s="153" customFormat="1" ht="25.5">
      <c r="B207" s="152"/>
      <c r="D207" s="193" t="s">
        <v>219</v>
      </c>
      <c r="E207" s="194"/>
      <c r="F207" s="195" t="s">
        <v>227</v>
      </c>
      <c r="G207" s="194"/>
      <c r="H207" s="193" t="s">
        <v>221</v>
      </c>
      <c r="I207" s="194"/>
      <c r="J207" s="193" t="s">
        <v>222</v>
      </c>
      <c r="L207" s="193" t="s">
        <v>209</v>
      </c>
      <c r="N207" s="193" t="s">
        <v>11</v>
      </c>
      <c r="O207" s="194"/>
      <c r="P207" s="193" t="s">
        <v>204</v>
      </c>
      <c r="Q207" s="194"/>
      <c r="R207" s="193" t="s">
        <v>224</v>
      </c>
    </row>
    <row r="208" spans="2:18" s="152" customFormat="1" ht="13">
      <c r="C208" s="153"/>
      <c r="D208" s="196"/>
      <c r="E208" s="153"/>
      <c r="G208" s="153"/>
      <c r="H208" s="196"/>
      <c r="I208" s="153"/>
      <c r="J208" s="196"/>
      <c r="K208" s="153"/>
      <c r="L208" s="196"/>
      <c r="M208" s="153"/>
      <c r="N208" s="197"/>
      <c r="O208" s="192"/>
      <c r="P208" s="192"/>
    </row>
    <row r="209" spans="2:18" s="153" customFormat="1" ht="14">
      <c r="B209" s="152" t="s">
        <v>688</v>
      </c>
      <c r="D209" s="198">
        <f>R194</f>
        <v>434607128725.37622</v>
      </c>
      <c r="F209" s="198">
        <f>'Proforma Adjustment'!M98</f>
        <v>0</v>
      </c>
      <c r="H209" s="198">
        <f>D161</f>
        <v>235635199123.47156</v>
      </c>
      <c r="J209" s="198"/>
      <c r="L209" s="198">
        <f>D123</f>
        <v>0</v>
      </c>
      <c r="N209" s="198">
        <f>SUM(D209,F209,H209,J209,L209)</f>
        <v>670242327848.84778</v>
      </c>
      <c r="O209" s="192"/>
      <c r="P209" s="199"/>
      <c r="R209" s="199">
        <f t="shared" ref="R209:R213" si="36">SUM(N209,P209)</f>
        <v>670242327848.84778</v>
      </c>
    </row>
    <row r="210" spans="2:18" s="153" customFormat="1" ht="14">
      <c r="B210" s="152" t="s">
        <v>740</v>
      </c>
      <c r="D210" s="198">
        <f t="shared" ref="D210:D213" si="37">R195</f>
        <v>-1185201573.5717499</v>
      </c>
      <c r="F210" s="198"/>
      <c r="H210" s="198">
        <f>F161</f>
        <v>5336908453.9399996</v>
      </c>
      <c r="J210" s="198"/>
      <c r="L210" s="198"/>
      <c r="N210" s="198">
        <f t="shared" ref="N210:N213" si="38">SUM(D210,F210,H210,J210,L210)</f>
        <v>4151706880.3682499</v>
      </c>
      <c r="O210" s="192"/>
      <c r="P210" s="199"/>
      <c r="R210" s="199">
        <f t="shared" si="36"/>
        <v>4151706880.3682499</v>
      </c>
    </row>
    <row r="211" spans="2:18" s="153" customFormat="1" ht="14">
      <c r="B211" s="152" t="s">
        <v>465</v>
      </c>
      <c r="D211" s="198">
        <f t="shared" si="37"/>
        <v>-8179749114.8327503</v>
      </c>
      <c r="F211" s="198">
        <f>'Proforma Adjustment'!N98</f>
        <v>0</v>
      </c>
      <c r="H211" s="198">
        <f>H161</f>
        <v>17688412895.23</v>
      </c>
      <c r="J211" s="198"/>
      <c r="L211" s="198"/>
      <c r="N211" s="198">
        <f t="shared" si="38"/>
        <v>9508663780.3972492</v>
      </c>
      <c r="O211" s="192"/>
      <c r="P211" s="199"/>
      <c r="R211" s="199">
        <f t="shared" si="36"/>
        <v>9508663780.3972492</v>
      </c>
    </row>
    <row r="212" spans="2:18" s="153" customFormat="1" ht="14">
      <c r="B212" s="152" t="s">
        <v>609</v>
      </c>
      <c r="D212" s="198">
        <f t="shared" si="37"/>
        <v>47966423748.726601</v>
      </c>
      <c r="F212" s="198"/>
      <c r="H212" s="198">
        <f>J161</f>
        <v>4437461433.2794027</v>
      </c>
      <c r="J212" s="198"/>
      <c r="L212" s="198"/>
      <c r="N212" s="198">
        <f t="shared" si="38"/>
        <v>52403885182.006004</v>
      </c>
      <c r="O212" s="192"/>
      <c r="P212" s="199"/>
      <c r="R212" s="199">
        <f t="shared" si="36"/>
        <v>52403885182.006004</v>
      </c>
    </row>
    <row r="213" spans="2:18" s="153" customFormat="1" ht="14">
      <c r="B213" s="152" t="s">
        <v>461</v>
      </c>
      <c r="D213" s="198">
        <f t="shared" si="37"/>
        <v>0</v>
      </c>
      <c r="F213" s="198">
        <v>0</v>
      </c>
      <c r="H213" s="198">
        <v>0</v>
      </c>
      <c r="J213" s="198"/>
      <c r="L213" s="198"/>
      <c r="N213" s="198">
        <f t="shared" si="38"/>
        <v>0</v>
      </c>
      <c r="O213" s="192"/>
      <c r="P213" s="199"/>
      <c r="R213" s="199">
        <f t="shared" si="36"/>
        <v>0</v>
      </c>
    </row>
    <row r="214" spans="2:18" s="153" customFormat="1" ht="14">
      <c r="B214" s="152"/>
      <c r="D214" s="198"/>
      <c r="F214" s="198"/>
      <c r="H214" s="198"/>
      <c r="J214" s="198"/>
      <c r="L214" s="198"/>
      <c r="N214" s="199"/>
      <c r="O214" s="192"/>
      <c r="P214" s="199"/>
      <c r="R214" s="199"/>
    </row>
    <row r="215" spans="2:18" s="153" customFormat="1" ht="14.5" thickBot="1">
      <c r="B215" s="152" t="s">
        <v>225</v>
      </c>
      <c r="D215" s="201">
        <f>SUM(D209:D213)</f>
        <v>473208601785.6983</v>
      </c>
      <c r="F215" s="201">
        <f>SUM(F209:F213)</f>
        <v>0</v>
      </c>
      <c r="H215" s="201">
        <f>SUM(H209:H213)</f>
        <v>263097981905.92096</v>
      </c>
      <c r="J215" s="201">
        <f>SUM(J209:J213)</f>
        <v>0</v>
      </c>
      <c r="L215" s="201">
        <f>SUM(L209:L213)</f>
        <v>0</v>
      </c>
      <c r="N215" s="201">
        <f>SUM(N209:N213)</f>
        <v>736306583691.61926</v>
      </c>
      <c r="P215" s="201">
        <f>SUM(P209:P213)</f>
        <v>0</v>
      </c>
      <c r="R215" s="201">
        <f>SUM(R209:R213)</f>
        <v>736306583691.61926</v>
      </c>
    </row>
    <row r="216" spans="2:18" s="153" customFormat="1" ht="13.5" thickTop="1">
      <c r="B216" s="152"/>
      <c r="H216" s="203"/>
      <c r="J216" s="203"/>
      <c r="L216" s="203"/>
      <c r="N216" s="202"/>
      <c r="O216" s="192"/>
      <c r="P216" s="202"/>
      <c r="R216" s="202"/>
    </row>
    <row r="217" spans="2:18" s="153" customFormat="1" ht="13">
      <c r="B217" s="152" t="s">
        <v>226</v>
      </c>
      <c r="D217" s="183">
        <f>-'SoCE Consol '!V52</f>
        <v>473208601785.7182</v>
      </c>
      <c r="E217" s="176"/>
      <c r="F217" s="183">
        <v>0</v>
      </c>
      <c r="G217" s="176"/>
      <c r="H217" s="183">
        <f>'Consol SoPL-OCI 24'!AG88</f>
        <v>263097981905.69095</v>
      </c>
      <c r="I217" s="176"/>
      <c r="J217" s="183">
        <f>'Consol SoPL-OCI 23 &amp; 22'!AB109-'Consol SoPL-OCI 23 &amp; 22'!AB102</f>
        <v>0</v>
      </c>
      <c r="K217" s="176"/>
      <c r="L217" s="183">
        <f>D123</f>
        <v>0</v>
      </c>
      <c r="M217" s="176"/>
      <c r="N217" s="183">
        <f>'Consol SoFP 24'!AH110</f>
        <v>736306584348.53674</v>
      </c>
      <c r="O217" s="192"/>
      <c r="P217" s="183">
        <v>0</v>
      </c>
      <c r="R217" s="183">
        <f>N217</f>
        <v>736306584348.53674</v>
      </c>
    </row>
    <row r="218" spans="2:18" s="153" customFormat="1" ht="13">
      <c r="B218" s="152" t="s">
        <v>109</v>
      </c>
      <c r="D218" s="179">
        <f>ROUND(D215-D217,0)</f>
        <v>0</v>
      </c>
      <c r="E218" s="172"/>
      <c r="F218" s="179">
        <f t="shared" ref="F218" si="39">ROUND(F215-F217,0)</f>
        <v>0</v>
      </c>
      <c r="G218" s="172"/>
      <c r="H218" s="179">
        <f t="shared" ref="H218" si="40">ROUND(H215-H217,0)</f>
        <v>0</v>
      </c>
      <c r="I218" s="172"/>
      <c r="J218" s="179">
        <f t="shared" ref="J218" si="41">ROUND(J215-J217,0)</f>
        <v>0</v>
      </c>
      <c r="K218" s="172"/>
      <c r="L218" s="179">
        <f t="shared" ref="L218" si="42">ROUND(L215-L217,0)</f>
        <v>0</v>
      </c>
      <c r="M218" s="172"/>
      <c r="N218" s="179">
        <f t="shared" ref="N218" si="43">ROUND(N215-N217,0)</f>
        <v>-657</v>
      </c>
      <c r="O218" s="192"/>
      <c r="P218" s="179">
        <f t="shared" ref="P218" si="44">ROUND(P215-P217,0)</f>
        <v>0</v>
      </c>
      <c r="R218" s="179">
        <f t="shared" ref="R218" si="45">ROUND(R215-R217,0)</f>
        <v>-657</v>
      </c>
    </row>
    <row r="220" spans="2:18" s="477" customFormat="1">
      <c r="B220" s="474"/>
      <c r="G220" s="478"/>
      <c r="N220" s="478"/>
      <c r="O220" s="478"/>
      <c r="P220" s="478"/>
    </row>
  </sheetData>
  <conditionalFormatting sqref="D32">
    <cfRule type="cellIs" dxfId="483" priority="157" operator="lessThan">
      <formula>0</formula>
    </cfRule>
    <cfRule type="cellIs" dxfId="482" priority="159" operator="equal">
      <formula>0</formula>
    </cfRule>
    <cfRule type="cellIs" dxfId="481" priority="158" operator="greaterThan">
      <formula>0</formula>
    </cfRule>
  </conditionalFormatting>
  <conditionalFormatting sqref="D60">
    <cfRule type="cellIs" dxfId="480" priority="90" operator="equal">
      <formula>0</formula>
    </cfRule>
    <cfRule type="cellIs" dxfId="479" priority="89" operator="greaterThan">
      <formula>0</formula>
    </cfRule>
    <cfRule type="cellIs" dxfId="478" priority="88" operator="lessThan">
      <formula>0</formula>
    </cfRule>
  </conditionalFormatting>
  <conditionalFormatting sqref="D62">
    <cfRule type="cellIs" dxfId="477" priority="114" operator="equal">
      <formula>0</formula>
    </cfRule>
    <cfRule type="cellIs" dxfId="476" priority="113" operator="greaterThan">
      <formula>0</formula>
    </cfRule>
    <cfRule type="cellIs" dxfId="475" priority="112" operator="lessThan">
      <formula>0</formula>
    </cfRule>
  </conditionalFormatting>
  <conditionalFormatting sqref="D88">
    <cfRule type="cellIs" dxfId="474" priority="155" operator="greaterThan">
      <formula>0</formula>
    </cfRule>
    <cfRule type="cellIs" dxfId="473" priority="154" operator="lessThan">
      <formula>0</formula>
    </cfRule>
    <cfRule type="cellIs" dxfId="472" priority="156" operator="equal">
      <formula>0</formula>
    </cfRule>
  </conditionalFormatting>
  <conditionalFormatting sqref="D116">
    <cfRule type="cellIs" dxfId="471" priority="152" operator="greaterThan">
      <formula>0</formula>
    </cfRule>
    <cfRule type="cellIs" dxfId="470" priority="153" operator="equal">
      <formula>0</formula>
    </cfRule>
    <cfRule type="cellIs" dxfId="469" priority="151" operator="lessThan">
      <formula>0</formula>
    </cfRule>
  </conditionalFormatting>
  <conditionalFormatting sqref="D143">
    <cfRule type="cellIs" dxfId="468" priority="63" operator="equal">
      <formula>0</formula>
    </cfRule>
    <cfRule type="cellIs" dxfId="467" priority="61" operator="lessThan">
      <formula>0</formula>
    </cfRule>
    <cfRule type="cellIs" dxfId="466" priority="62" operator="greaterThan">
      <formula>0</formula>
    </cfRule>
  </conditionalFormatting>
  <conditionalFormatting sqref="D171">
    <cfRule type="cellIs" dxfId="465" priority="59" operator="greaterThan">
      <formula>0</formula>
    </cfRule>
    <cfRule type="cellIs" dxfId="464" priority="60" operator="equal">
      <formula>0</formula>
    </cfRule>
    <cfRule type="cellIs" dxfId="463" priority="58" operator="lessThan">
      <formula>0</formula>
    </cfRule>
  </conditionalFormatting>
  <conditionalFormatting sqref="D188">
    <cfRule type="cellIs" dxfId="462" priority="181" operator="lessThan">
      <formula>0</formula>
    </cfRule>
    <cfRule type="cellIs" dxfId="461" priority="182" operator="greaterThan">
      <formula>0</formula>
    </cfRule>
    <cfRule type="cellIs" dxfId="460" priority="183" operator="equal">
      <formula>0</formula>
    </cfRule>
  </conditionalFormatting>
  <conditionalFormatting sqref="D203">
    <cfRule type="cellIs" dxfId="459" priority="177" operator="equal">
      <formula>0</formula>
    </cfRule>
    <cfRule type="cellIs" dxfId="458" priority="175" operator="lessThan">
      <formula>0</formula>
    </cfRule>
    <cfRule type="cellIs" dxfId="457" priority="176" operator="greaterThan">
      <formula>0</formula>
    </cfRule>
  </conditionalFormatting>
  <conditionalFormatting sqref="D218">
    <cfRule type="cellIs" dxfId="456" priority="16" operator="lessThan">
      <formula>0</formula>
    </cfRule>
    <cfRule type="cellIs" dxfId="455" priority="18" operator="equal">
      <formula>0</formula>
    </cfRule>
    <cfRule type="cellIs" dxfId="454" priority="17" operator="greaterThan">
      <formula>0</formula>
    </cfRule>
  </conditionalFormatting>
  <conditionalFormatting sqref="F32 H32 J32 L32 N32 P32">
    <cfRule type="cellIs" dxfId="453" priority="116" operator="greaterThan">
      <formula>0</formula>
    </cfRule>
    <cfRule type="cellIs" dxfId="452" priority="117" operator="equal">
      <formula>0</formula>
    </cfRule>
    <cfRule type="cellIs" dxfId="451" priority="115" operator="lessThan">
      <formula>0</formula>
    </cfRule>
  </conditionalFormatting>
  <conditionalFormatting sqref="F60 H60 J60 L60 N60 P60">
    <cfRule type="cellIs" dxfId="450" priority="85" operator="lessThan">
      <formula>0</formula>
    </cfRule>
    <cfRule type="cellIs" dxfId="449" priority="86" operator="greaterThan">
      <formula>0</formula>
    </cfRule>
    <cfRule type="cellIs" dxfId="448" priority="87" operator="equal">
      <formula>0</formula>
    </cfRule>
  </conditionalFormatting>
  <conditionalFormatting sqref="F62">
    <cfRule type="cellIs" dxfId="447" priority="107" operator="greaterThan">
      <formula>0</formula>
    </cfRule>
    <cfRule type="cellIs" dxfId="446" priority="106" operator="lessThan">
      <formula>0</formula>
    </cfRule>
    <cfRule type="cellIs" dxfId="445" priority="108" operator="equal">
      <formula>0</formula>
    </cfRule>
  </conditionalFormatting>
  <conditionalFormatting sqref="F88">
    <cfRule type="cellIs" dxfId="444" priority="72" operator="equal">
      <formula>0</formula>
    </cfRule>
    <cfRule type="cellIs" dxfId="443" priority="71" operator="greaterThan">
      <formula>0</formula>
    </cfRule>
    <cfRule type="cellIs" dxfId="442" priority="70" operator="lessThan">
      <formula>0</formula>
    </cfRule>
  </conditionalFormatting>
  <conditionalFormatting sqref="F116">
    <cfRule type="cellIs" dxfId="441" priority="84" operator="equal">
      <formula>0</formula>
    </cfRule>
    <cfRule type="cellIs" dxfId="440" priority="83" operator="greaterThan">
      <formula>0</formula>
    </cfRule>
    <cfRule type="cellIs" dxfId="439" priority="82" operator="lessThan">
      <formula>0</formula>
    </cfRule>
  </conditionalFormatting>
  <conditionalFormatting sqref="F143">
    <cfRule type="cellIs" dxfId="438" priority="27" operator="equal">
      <formula>0</formula>
    </cfRule>
    <cfRule type="cellIs" dxfId="437" priority="26" operator="greaterThan">
      <formula>0</formula>
    </cfRule>
    <cfRule type="cellIs" dxfId="436" priority="25" operator="lessThan">
      <formula>0</formula>
    </cfRule>
  </conditionalFormatting>
  <conditionalFormatting sqref="F171">
    <cfRule type="cellIs" dxfId="435" priority="37" operator="lessThan">
      <formula>0</formula>
    </cfRule>
    <cfRule type="cellIs" dxfId="434" priority="38" operator="greaterThan">
      <formula>0</formula>
    </cfRule>
    <cfRule type="cellIs" dxfId="433" priority="39" operator="equal">
      <formula>0</formula>
    </cfRule>
  </conditionalFormatting>
  <conditionalFormatting sqref="F188 J188 T188">
    <cfRule type="cellIs" dxfId="432" priority="178" operator="lessThan">
      <formula>0</formula>
    </cfRule>
    <cfRule type="cellIs" dxfId="431" priority="179" operator="greaterThan">
      <formula>0</formula>
    </cfRule>
    <cfRule type="cellIs" dxfId="430" priority="180" operator="equal">
      <formula>0</formula>
    </cfRule>
  </conditionalFormatting>
  <conditionalFormatting sqref="F203 H203 N203">
    <cfRule type="cellIs" dxfId="429" priority="172" operator="lessThan">
      <formula>0</formula>
    </cfRule>
    <cfRule type="cellIs" dxfId="428" priority="174" operator="equal">
      <formula>0</formula>
    </cfRule>
    <cfRule type="cellIs" dxfId="427" priority="173" operator="greaterThan">
      <formula>0</formula>
    </cfRule>
  </conditionalFormatting>
  <conditionalFormatting sqref="F218 H218 N218">
    <cfRule type="cellIs" dxfId="426" priority="15" operator="equal">
      <formula>0</formula>
    </cfRule>
    <cfRule type="cellIs" dxfId="425" priority="14" operator="greaterThan">
      <formula>0</formula>
    </cfRule>
    <cfRule type="cellIs" dxfId="424" priority="13" operator="lessThan">
      <formula>0</formula>
    </cfRule>
  </conditionalFormatting>
  <conditionalFormatting sqref="H62">
    <cfRule type="cellIs" dxfId="423" priority="105" operator="equal">
      <formula>0</formula>
    </cfRule>
    <cfRule type="cellIs" dxfId="422" priority="104" operator="greaterThan">
      <formula>0</formula>
    </cfRule>
    <cfRule type="cellIs" dxfId="421" priority="103" operator="lessThan">
      <formula>0</formula>
    </cfRule>
  </conditionalFormatting>
  <conditionalFormatting sqref="H88">
    <cfRule type="cellIs" dxfId="420" priority="69" operator="equal">
      <formula>0</formula>
    </cfRule>
    <cfRule type="cellIs" dxfId="419" priority="68" operator="greaterThan">
      <formula>0</formula>
    </cfRule>
    <cfRule type="cellIs" dxfId="418" priority="67" operator="lessThan">
      <formula>0</formula>
    </cfRule>
  </conditionalFormatting>
  <conditionalFormatting sqref="H116">
    <cfRule type="cellIs" dxfId="417" priority="81" operator="equal">
      <formula>0</formula>
    </cfRule>
    <cfRule type="cellIs" dxfId="416" priority="79" operator="lessThan">
      <formula>0</formula>
    </cfRule>
    <cfRule type="cellIs" dxfId="415" priority="80" operator="greaterThan">
      <formula>0</formula>
    </cfRule>
  </conditionalFormatting>
  <conditionalFormatting sqref="H143">
    <cfRule type="cellIs" dxfId="414" priority="24" operator="equal">
      <formula>0</formula>
    </cfRule>
    <cfRule type="cellIs" dxfId="413" priority="22" operator="lessThan">
      <formula>0</formula>
    </cfRule>
    <cfRule type="cellIs" dxfId="412" priority="23" operator="greaterThan">
      <formula>0</formula>
    </cfRule>
  </conditionalFormatting>
  <conditionalFormatting sqref="H171">
    <cfRule type="cellIs" dxfId="411" priority="35" operator="greaterThan">
      <formula>0</formula>
    </cfRule>
    <cfRule type="cellIs" dxfId="410" priority="36" operator="equal">
      <formula>0</formula>
    </cfRule>
    <cfRule type="cellIs" dxfId="409" priority="34" operator="lessThan">
      <formula>0</formula>
    </cfRule>
  </conditionalFormatting>
  <conditionalFormatting sqref="H188">
    <cfRule type="cellIs" dxfId="408" priority="118" operator="lessThan">
      <formula>0</formula>
    </cfRule>
    <cfRule type="cellIs" dxfId="407" priority="119" operator="greaterThan">
      <formula>0</formula>
    </cfRule>
    <cfRule type="cellIs" dxfId="406" priority="120" operator="equal">
      <formula>0</formula>
    </cfRule>
  </conditionalFormatting>
  <conditionalFormatting sqref="J62">
    <cfRule type="cellIs" dxfId="405" priority="101" operator="greaterThan">
      <formula>0</formula>
    </cfRule>
    <cfRule type="cellIs" dxfId="404" priority="102" operator="equal">
      <formula>0</formula>
    </cfRule>
    <cfRule type="cellIs" dxfId="403" priority="100" operator="lessThan">
      <formula>0</formula>
    </cfRule>
  </conditionalFormatting>
  <conditionalFormatting sqref="J88">
    <cfRule type="cellIs" dxfId="402" priority="65" operator="greaterThan">
      <formula>0</formula>
    </cfRule>
    <cfRule type="cellIs" dxfId="401" priority="64" operator="lessThan">
      <formula>0</formula>
    </cfRule>
    <cfRule type="cellIs" dxfId="400" priority="66" operator="equal">
      <formula>0</formula>
    </cfRule>
  </conditionalFormatting>
  <conditionalFormatting sqref="J116">
    <cfRule type="cellIs" dxfId="399" priority="78" operator="equal">
      <formula>0</formula>
    </cfRule>
    <cfRule type="cellIs" dxfId="398" priority="77" operator="greaterThan">
      <formula>0</formula>
    </cfRule>
    <cfRule type="cellIs" dxfId="397" priority="76" operator="lessThan">
      <formula>0</formula>
    </cfRule>
  </conditionalFormatting>
  <conditionalFormatting sqref="J143">
    <cfRule type="cellIs" dxfId="396" priority="21" operator="equal">
      <formula>0</formula>
    </cfRule>
    <cfRule type="cellIs" dxfId="395" priority="20" operator="greaterThan">
      <formula>0</formula>
    </cfRule>
    <cfRule type="cellIs" dxfId="394" priority="19" operator="lessThan">
      <formula>0</formula>
    </cfRule>
  </conditionalFormatting>
  <conditionalFormatting sqref="J171">
    <cfRule type="cellIs" dxfId="393" priority="33" operator="equal">
      <formula>0</formula>
    </cfRule>
    <cfRule type="cellIs" dxfId="392" priority="32" operator="greaterThan">
      <formula>0</formula>
    </cfRule>
    <cfRule type="cellIs" dxfId="391" priority="31" operator="lessThan">
      <formula>0</formula>
    </cfRule>
  </conditionalFormatting>
  <conditionalFormatting sqref="J203">
    <cfRule type="cellIs" dxfId="390" priority="166" operator="lessThan">
      <formula>0</formula>
    </cfRule>
    <cfRule type="cellIs" dxfId="389" priority="167" operator="greaterThan">
      <formula>0</formula>
    </cfRule>
    <cfRule type="cellIs" dxfId="388" priority="168" operator="equal">
      <formula>0</formula>
    </cfRule>
  </conditionalFormatting>
  <conditionalFormatting sqref="J218">
    <cfRule type="cellIs" dxfId="387" priority="12" operator="equal">
      <formula>0</formula>
    </cfRule>
    <cfRule type="cellIs" dxfId="386" priority="11" operator="greaterThan">
      <formula>0</formula>
    </cfRule>
    <cfRule type="cellIs" dxfId="385" priority="10" operator="lessThan">
      <formula>0</formula>
    </cfRule>
  </conditionalFormatting>
  <conditionalFormatting sqref="L62">
    <cfRule type="cellIs" dxfId="384" priority="97" operator="lessThan">
      <formula>0</formula>
    </cfRule>
    <cfRule type="cellIs" dxfId="383" priority="98" operator="greaterThan">
      <formula>0</formula>
    </cfRule>
    <cfRule type="cellIs" dxfId="382" priority="99" operator="equal">
      <formula>0</formula>
    </cfRule>
  </conditionalFormatting>
  <conditionalFormatting sqref="L88">
    <cfRule type="cellIs" dxfId="381" priority="144" operator="equal">
      <formula>0</formula>
    </cfRule>
    <cfRule type="cellIs" dxfId="380" priority="143" operator="greaterThan">
      <formula>0</formula>
    </cfRule>
    <cfRule type="cellIs" dxfId="379" priority="142" operator="lessThan">
      <formula>0</formula>
    </cfRule>
  </conditionalFormatting>
  <conditionalFormatting sqref="L116">
    <cfRule type="cellIs" dxfId="378" priority="73" operator="lessThan">
      <formula>0</formula>
    </cfRule>
    <cfRule type="cellIs" dxfId="377" priority="74" operator="greaterThan">
      <formula>0</formula>
    </cfRule>
    <cfRule type="cellIs" dxfId="376" priority="75" operator="equal">
      <formula>0</formula>
    </cfRule>
  </conditionalFormatting>
  <conditionalFormatting sqref="L143">
    <cfRule type="cellIs" dxfId="375" priority="49" operator="lessThan">
      <formula>0</formula>
    </cfRule>
    <cfRule type="cellIs" dxfId="374" priority="51" operator="equal">
      <formula>0</formula>
    </cfRule>
    <cfRule type="cellIs" dxfId="373" priority="50" operator="greaterThan">
      <formula>0</formula>
    </cfRule>
  </conditionalFormatting>
  <conditionalFormatting sqref="L171">
    <cfRule type="cellIs" dxfId="372" priority="30" operator="equal">
      <formula>0</formula>
    </cfRule>
    <cfRule type="cellIs" dxfId="371" priority="29" operator="greaterThan">
      <formula>0</formula>
    </cfRule>
    <cfRule type="cellIs" dxfId="370" priority="28" operator="lessThan">
      <formula>0</formula>
    </cfRule>
  </conditionalFormatting>
  <conditionalFormatting sqref="L188">
    <cfRule type="cellIs" dxfId="369" priority="140" operator="greaterThan">
      <formula>0</formula>
    </cfRule>
    <cfRule type="cellIs" dxfId="368" priority="141" operator="equal">
      <formula>0</formula>
    </cfRule>
    <cfRule type="cellIs" dxfId="367" priority="139" operator="lessThan">
      <formula>0</formula>
    </cfRule>
  </conditionalFormatting>
  <conditionalFormatting sqref="L203">
    <cfRule type="cellIs" dxfId="366" priority="161" operator="greaterThan">
      <formula>0</formula>
    </cfRule>
    <cfRule type="cellIs" dxfId="365" priority="162" operator="equal">
      <formula>0</formula>
    </cfRule>
    <cfRule type="cellIs" dxfId="364" priority="160" operator="lessThan">
      <formula>0</formula>
    </cfRule>
  </conditionalFormatting>
  <conditionalFormatting sqref="L218">
    <cfRule type="cellIs" dxfId="363" priority="9" operator="equal">
      <formula>0</formula>
    </cfRule>
    <cfRule type="cellIs" dxfId="362" priority="8" operator="greaterThan">
      <formula>0</formula>
    </cfRule>
    <cfRule type="cellIs" dxfId="361" priority="7" operator="lessThan">
      <formula>0</formula>
    </cfRule>
  </conditionalFormatting>
  <conditionalFormatting sqref="N62">
    <cfRule type="cellIs" dxfId="360" priority="96" operator="equal">
      <formula>0</formula>
    </cfRule>
    <cfRule type="cellIs" dxfId="359" priority="94" operator="lessThan">
      <formula>0</formula>
    </cfRule>
    <cfRule type="cellIs" dxfId="358" priority="95" operator="greaterThan">
      <formula>0</formula>
    </cfRule>
  </conditionalFormatting>
  <conditionalFormatting sqref="N88 P88">
    <cfRule type="cellIs" dxfId="357" priority="145" operator="lessThan">
      <formula>0</formula>
    </cfRule>
    <cfRule type="cellIs" dxfId="356" priority="146" operator="greaterThan">
      <formula>0</formula>
    </cfRule>
    <cfRule type="cellIs" dxfId="355" priority="147" operator="equal">
      <formula>0</formula>
    </cfRule>
  </conditionalFormatting>
  <conditionalFormatting sqref="N116">
    <cfRule type="cellIs" dxfId="354" priority="127" operator="lessThan">
      <formula>0</formula>
    </cfRule>
    <cfRule type="cellIs" dxfId="353" priority="129" operator="equal">
      <formula>0</formula>
    </cfRule>
    <cfRule type="cellIs" dxfId="352" priority="128" operator="greaterThan">
      <formula>0</formula>
    </cfRule>
  </conditionalFormatting>
  <conditionalFormatting sqref="N143 P143">
    <cfRule type="cellIs" dxfId="351" priority="54" operator="equal">
      <formula>0</formula>
    </cfRule>
    <cfRule type="cellIs" dxfId="350" priority="53" operator="greaterThan">
      <formula>0</formula>
    </cfRule>
    <cfRule type="cellIs" dxfId="349" priority="52" operator="lessThan">
      <formula>0</formula>
    </cfRule>
  </conditionalFormatting>
  <conditionalFormatting sqref="N171">
    <cfRule type="cellIs" dxfId="348" priority="48" operator="equal">
      <formula>0</formula>
    </cfRule>
    <cfRule type="cellIs" dxfId="347" priority="47" operator="greaterThan">
      <formula>0</formula>
    </cfRule>
    <cfRule type="cellIs" dxfId="346" priority="46" operator="lessThan">
      <formula>0</formula>
    </cfRule>
  </conditionalFormatting>
  <conditionalFormatting sqref="N188">
    <cfRule type="cellIs" dxfId="345" priority="137" operator="greaterThan">
      <formula>0</formula>
    </cfRule>
    <cfRule type="cellIs" dxfId="344" priority="138" operator="equal">
      <formula>0</formula>
    </cfRule>
    <cfRule type="cellIs" dxfId="343" priority="136" operator="lessThan">
      <formula>0</formula>
    </cfRule>
  </conditionalFormatting>
  <conditionalFormatting sqref="P62">
    <cfRule type="cellIs" dxfId="342" priority="91" operator="lessThan">
      <formula>0</formula>
    </cfRule>
    <cfRule type="cellIs" dxfId="341" priority="92" operator="greaterThan">
      <formula>0</formula>
    </cfRule>
    <cfRule type="cellIs" dxfId="340" priority="93" operator="equal">
      <formula>0</formula>
    </cfRule>
  </conditionalFormatting>
  <conditionalFormatting sqref="P116">
    <cfRule type="cellIs" dxfId="339" priority="124" operator="lessThan">
      <formula>0</formula>
    </cfRule>
    <cfRule type="cellIs" dxfId="338" priority="125" operator="greaterThan">
      <formula>0</formula>
    </cfRule>
    <cfRule type="cellIs" dxfId="337" priority="126" operator="equal">
      <formula>0</formula>
    </cfRule>
  </conditionalFormatting>
  <conditionalFormatting sqref="P171">
    <cfRule type="cellIs" dxfId="336" priority="43" operator="lessThan">
      <formula>0</formula>
    </cfRule>
    <cfRule type="cellIs" dxfId="335" priority="44" operator="greaterThan">
      <formula>0</formula>
    </cfRule>
    <cfRule type="cellIs" dxfId="334" priority="45" operator="equal">
      <formula>0</formula>
    </cfRule>
  </conditionalFormatting>
  <conditionalFormatting sqref="P188">
    <cfRule type="cellIs" dxfId="333" priority="169" operator="lessThan">
      <formula>0</formula>
    </cfRule>
    <cfRule type="cellIs" dxfId="332" priority="170" operator="greaterThan">
      <formula>0</formula>
    </cfRule>
    <cfRule type="cellIs" dxfId="331" priority="171" operator="equal">
      <formula>0</formula>
    </cfRule>
  </conditionalFormatting>
  <conditionalFormatting sqref="P203">
    <cfRule type="cellIs" dxfId="330" priority="134" operator="greaterThan">
      <formula>0</formula>
    </cfRule>
    <cfRule type="cellIs" dxfId="329" priority="135" operator="equal">
      <formula>0</formula>
    </cfRule>
    <cfRule type="cellIs" dxfId="328" priority="133" operator="lessThan">
      <formula>0</formula>
    </cfRule>
  </conditionalFormatting>
  <conditionalFormatting sqref="P218">
    <cfRule type="cellIs" dxfId="327" priority="5" operator="greaterThan">
      <formula>0</formula>
    </cfRule>
    <cfRule type="cellIs" dxfId="326" priority="6" operator="equal">
      <formula>0</formula>
    </cfRule>
    <cfRule type="cellIs" dxfId="325" priority="4" operator="lessThan">
      <formula>0</formula>
    </cfRule>
  </conditionalFormatting>
  <conditionalFormatting sqref="R188">
    <cfRule type="cellIs" dxfId="324" priority="163" operator="lessThan">
      <formula>0</formula>
    </cfRule>
    <cfRule type="cellIs" dxfId="323" priority="164" operator="greaterThan">
      <formula>0</formula>
    </cfRule>
    <cfRule type="cellIs" dxfId="322" priority="165" operator="equal">
      <formula>0</formula>
    </cfRule>
  </conditionalFormatting>
  <conditionalFormatting sqref="R203">
    <cfRule type="cellIs" dxfId="321" priority="130" operator="lessThan">
      <formula>0</formula>
    </cfRule>
    <cfRule type="cellIs" dxfId="320" priority="131" operator="greaterThan">
      <formula>0</formula>
    </cfRule>
    <cfRule type="cellIs" dxfId="319" priority="132" operator="equal">
      <formula>0</formula>
    </cfRule>
  </conditionalFormatting>
  <conditionalFormatting sqref="R218">
    <cfRule type="cellIs" dxfId="318" priority="1" operator="lessThan">
      <formula>0</formula>
    </cfRule>
    <cfRule type="cellIs" dxfId="317" priority="3" operator="equal">
      <formula>0</formula>
    </cfRule>
    <cfRule type="cellIs" dxfId="316" priority="2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CB14-AB58-4C13-AA1E-2856C7B7C2F8}">
  <sheetPr>
    <tabColor rgb="FF002060"/>
  </sheetPr>
  <dimension ref="B2:K16"/>
  <sheetViews>
    <sheetView workbookViewId="0"/>
  </sheetViews>
  <sheetFormatPr defaultColWidth="14.453125" defaultRowHeight="12.5"/>
  <cols>
    <col min="1" max="1" width="4.453125" style="206" customWidth="1"/>
    <col min="2" max="2" width="26.453125" style="206" bestFit="1" customWidth="1"/>
    <col min="3" max="3" width="11.81640625" style="206" customWidth="1"/>
    <col min="4" max="4" width="14.453125" style="206"/>
    <col min="5" max="5" width="47.54296875" style="206" hidden="1" customWidth="1"/>
    <col min="6" max="6" width="33.26953125" style="206" customWidth="1"/>
    <col min="7" max="7" width="20.1796875" style="206" customWidth="1"/>
    <col min="8" max="8" width="18.1796875" style="206" customWidth="1"/>
    <col min="9" max="9" width="18.81640625" style="206" bestFit="1" customWidth="1"/>
    <col min="10" max="10" width="31.81640625" style="206" customWidth="1"/>
    <col min="11" max="11" width="29.81640625" style="206" customWidth="1"/>
    <col min="12" max="16384" width="14.453125" style="206"/>
  </cols>
  <sheetData>
    <row r="2" spans="2:11" ht="14.5">
      <c r="E2" s="207" t="s">
        <v>228</v>
      </c>
      <c r="F2" s="207" t="s">
        <v>229</v>
      </c>
      <c r="G2" s="208">
        <f>SUMIFS(G4:G695,C4:C695,"Adjusting")</f>
        <v>0</v>
      </c>
      <c r="H2" s="208">
        <f>SUMIFS(H4:H695,D4:D695,"Adjusting")</f>
        <v>0</v>
      </c>
      <c r="I2" s="208">
        <f>G2+H2</f>
        <v>0</v>
      </c>
    </row>
    <row r="3" spans="2:11" ht="14.5">
      <c r="C3" s="209" t="s">
        <v>230</v>
      </c>
    </row>
    <row r="4" spans="2:11" ht="14.5">
      <c r="B4" s="210" t="s">
        <v>231</v>
      </c>
      <c r="C4" s="210" t="s">
        <v>232</v>
      </c>
      <c r="D4" s="210" t="s">
        <v>233</v>
      </c>
      <c r="E4" s="210" t="s">
        <v>4</v>
      </c>
      <c r="F4" s="210" t="s">
        <v>234</v>
      </c>
      <c r="G4" s="210" t="s">
        <v>235</v>
      </c>
      <c r="H4" s="210" t="s">
        <v>236</v>
      </c>
      <c r="I4" s="210" t="s">
        <v>111</v>
      </c>
      <c r="J4" s="210" t="s">
        <v>237</v>
      </c>
      <c r="K4" s="210" t="s">
        <v>238</v>
      </c>
    </row>
    <row r="5" spans="2:11" ht="15" customHeight="1">
      <c r="G5" s="211"/>
      <c r="H5" s="211"/>
      <c r="I5" s="211"/>
    </row>
    <row r="6" spans="2:11" s="479" customFormat="1" ht="15" customHeight="1">
      <c r="B6" s="479" t="s">
        <v>484</v>
      </c>
      <c r="G6" s="480"/>
      <c r="H6" s="480"/>
      <c r="I6" s="480"/>
    </row>
    <row r="7" spans="2:11" ht="15" customHeight="1">
      <c r="G7" s="211"/>
      <c r="H7" s="211"/>
      <c r="I7" s="211"/>
    </row>
    <row r="8" spans="2:11" ht="14.5">
      <c r="B8" s="206" t="s">
        <v>645</v>
      </c>
      <c r="C8" s="206" t="s">
        <v>640</v>
      </c>
      <c r="D8" s="206" t="s">
        <v>640</v>
      </c>
      <c r="E8" s="206" t="s">
        <v>709</v>
      </c>
      <c r="F8" s="206" t="s">
        <v>485</v>
      </c>
      <c r="G8" s="214">
        <f>-H9*0</f>
        <v>0</v>
      </c>
      <c r="H8" s="212"/>
    </row>
    <row r="9" spans="2:11" ht="15" customHeight="1">
      <c r="B9" s="206" t="s">
        <v>645</v>
      </c>
      <c r="C9" s="206" t="s">
        <v>640</v>
      </c>
      <c r="D9" s="206" t="s">
        <v>640</v>
      </c>
      <c r="E9" s="206" t="s">
        <v>709</v>
      </c>
      <c r="F9" s="213" t="s">
        <v>486</v>
      </c>
      <c r="G9" s="212"/>
      <c r="H9" s="212">
        <f>-2661446482.61816*0</f>
        <v>0</v>
      </c>
      <c r="I9" s="212">
        <f>SUM(G8:H9)</f>
        <v>0</v>
      </c>
    </row>
    <row r="10" spans="2:11" ht="15" customHeight="1">
      <c r="G10" s="212"/>
      <c r="H10" s="212"/>
      <c r="I10" s="211"/>
    </row>
    <row r="11" spans="2:11" ht="15" customHeight="1">
      <c r="B11" s="206" t="s">
        <v>646</v>
      </c>
      <c r="C11" s="206" t="s">
        <v>640</v>
      </c>
      <c r="D11" s="206" t="s">
        <v>640</v>
      </c>
      <c r="E11" s="206" t="s">
        <v>709</v>
      </c>
      <c r="F11" s="206" t="s">
        <v>487</v>
      </c>
      <c r="G11" s="214">
        <f>-H12</f>
        <v>0</v>
      </c>
      <c r="H11" s="212"/>
    </row>
    <row r="12" spans="2:11" ht="15" customHeight="1">
      <c r="B12" s="206" t="s">
        <v>646</v>
      </c>
      <c r="C12" s="206" t="s">
        <v>640</v>
      </c>
      <c r="D12" s="206" t="s">
        <v>640</v>
      </c>
      <c r="E12" s="206" t="s">
        <v>709</v>
      </c>
      <c r="F12" s="213" t="s">
        <v>30</v>
      </c>
      <c r="G12" s="212"/>
      <c r="H12" s="212">
        <f>'Consol SoFP 23 &amp; 22'!G29</f>
        <v>0</v>
      </c>
    </row>
    <row r="13" spans="2:11" ht="15" customHeight="1"/>
    <row r="14" spans="2:11" ht="15" customHeight="1">
      <c r="B14" s="206" t="s">
        <v>710</v>
      </c>
      <c r="C14" s="206" t="s">
        <v>688</v>
      </c>
      <c r="D14" s="206" t="s">
        <v>688</v>
      </c>
      <c r="E14" s="206" t="s">
        <v>709</v>
      </c>
      <c r="F14" s="206" t="s">
        <v>291</v>
      </c>
      <c r="G14" s="214"/>
      <c r="H14" s="212"/>
    </row>
    <row r="15" spans="2:11" ht="15" customHeight="1">
      <c r="B15" s="206" t="s">
        <v>710</v>
      </c>
      <c r="C15" s="206" t="s">
        <v>688</v>
      </c>
      <c r="D15" s="206" t="s">
        <v>688</v>
      </c>
      <c r="E15" s="206" t="s">
        <v>709</v>
      </c>
      <c r="F15" s="213" t="s">
        <v>290</v>
      </c>
      <c r="G15" s="212"/>
      <c r="H15" s="212">
        <f>-G14</f>
        <v>0</v>
      </c>
    </row>
    <row r="16" spans="2:11" ht="15" customHeight="1">
      <c r="F16" s="206" t="s">
        <v>711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1DE1-218D-417B-BBA2-42BAE32493F1}">
  <sheetPr>
    <tabColor rgb="FF002060"/>
  </sheetPr>
  <dimension ref="A1:K842"/>
  <sheetViews>
    <sheetView topLeftCell="F35" workbookViewId="0">
      <selection activeCell="H67" sqref="H67"/>
    </sheetView>
  </sheetViews>
  <sheetFormatPr defaultColWidth="14.453125" defaultRowHeight="12.5"/>
  <cols>
    <col min="1" max="1" width="4.453125" style="206" customWidth="1"/>
    <col min="2" max="2" width="30.54296875" style="206" customWidth="1"/>
    <col min="3" max="3" width="11.81640625" style="206" customWidth="1"/>
    <col min="4" max="4" width="14.453125" style="206"/>
    <col min="5" max="5" width="47.54296875" style="206" customWidth="1"/>
    <col min="6" max="6" width="33.26953125" style="206" customWidth="1"/>
    <col min="7" max="7" width="20.1796875" style="206" customWidth="1"/>
    <col min="8" max="8" width="19.7265625" style="206" bestFit="1" customWidth="1"/>
    <col min="9" max="9" width="20.26953125" style="206" bestFit="1" customWidth="1"/>
    <col min="10" max="10" width="31.81640625" style="206" customWidth="1"/>
    <col min="11" max="11" width="29.81640625" style="206" customWidth="1"/>
    <col min="12" max="16384" width="14.453125" style="206"/>
  </cols>
  <sheetData>
    <row r="1" spans="1:11" ht="15" customHeight="1"/>
    <row r="2" spans="1:11" ht="14.5">
      <c r="E2" s="207" t="s">
        <v>228</v>
      </c>
      <c r="F2" s="207" t="s">
        <v>229</v>
      </c>
      <c r="G2" s="208">
        <f>SUMIFS(G4:G658,C4:C658,"Adjusting")</f>
        <v>0</v>
      </c>
      <c r="H2" s="208">
        <f>SUMIFS(H4:H658,D4:D658,"Adjusting")</f>
        <v>0</v>
      </c>
      <c r="I2" s="208">
        <f>G2+H2</f>
        <v>0</v>
      </c>
    </row>
    <row r="3" spans="1:11" ht="14.5">
      <c r="C3" s="209" t="s">
        <v>230</v>
      </c>
    </row>
    <row r="4" spans="1:11" ht="14.5">
      <c r="B4" s="210" t="s">
        <v>231</v>
      </c>
      <c r="C4" s="210" t="s">
        <v>232</v>
      </c>
      <c r="D4" s="210" t="s">
        <v>233</v>
      </c>
      <c r="E4" s="210" t="s">
        <v>4</v>
      </c>
      <c r="F4" s="210" t="s">
        <v>234</v>
      </c>
      <c r="G4" s="210" t="s">
        <v>235</v>
      </c>
      <c r="H4" s="210" t="s">
        <v>236</v>
      </c>
      <c r="I4" s="210" t="s">
        <v>111</v>
      </c>
      <c r="J4" s="210" t="s">
        <v>237</v>
      </c>
      <c r="K4" s="210" t="s">
        <v>238</v>
      </c>
    </row>
    <row r="5" spans="1:11" ht="15" customHeight="1">
      <c r="G5" s="211"/>
      <c r="H5" s="211"/>
      <c r="I5" s="211"/>
    </row>
    <row r="6" spans="1:11" ht="14.5">
      <c r="A6" s="206" t="s">
        <v>2</v>
      </c>
      <c r="B6" s="206" t="s">
        <v>712</v>
      </c>
      <c r="C6" s="206" t="s">
        <v>640</v>
      </c>
      <c r="D6" s="206" t="s">
        <v>688</v>
      </c>
      <c r="E6" s="206" t="s">
        <v>709</v>
      </c>
      <c r="F6" s="206" t="s">
        <v>239</v>
      </c>
      <c r="G6" s="212">
        <f>-'Consol SoFP 24'!L93</f>
        <v>651665345625</v>
      </c>
      <c r="H6" s="212"/>
    </row>
    <row r="7" spans="1:11" ht="15" customHeight="1">
      <c r="A7" s="206" t="s">
        <v>2</v>
      </c>
      <c r="B7" s="206" t="s">
        <v>712</v>
      </c>
      <c r="C7" s="206" t="s">
        <v>640</v>
      </c>
      <c r="D7" s="206" t="s">
        <v>688</v>
      </c>
      <c r="E7" s="206" t="s">
        <v>709</v>
      </c>
      <c r="F7" s="213" t="s">
        <v>240</v>
      </c>
      <c r="G7" s="212"/>
      <c r="H7" s="212">
        <f>-'WP Investment'!L14</f>
        <v>-21504957075</v>
      </c>
    </row>
    <row r="8" spans="1:11" ht="15" customHeight="1">
      <c r="A8" s="206" t="s">
        <v>2</v>
      </c>
      <c r="B8" s="206" t="s">
        <v>712</v>
      </c>
      <c r="C8" s="206" t="s">
        <v>640</v>
      </c>
      <c r="D8" s="206" t="s">
        <v>688</v>
      </c>
      <c r="E8" s="206" t="s">
        <v>709</v>
      </c>
      <c r="F8" s="213" t="s">
        <v>241</v>
      </c>
      <c r="G8" s="212"/>
      <c r="H8" s="212">
        <f>-G6-H7</f>
        <v>-630160388550</v>
      </c>
      <c r="I8" s="212">
        <f>SUM(G6:H8)</f>
        <v>0</v>
      </c>
    </row>
    <row r="9" spans="1:11" ht="15" customHeight="1">
      <c r="G9" s="212"/>
      <c r="H9" s="212"/>
      <c r="I9" s="211"/>
    </row>
    <row r="10" spans="1:11" ht="15" customHeight="1">
      <c r="A10" s="206" t="s">
        <v>2</v>
      </c>
      <c r="B10" s="206" t="s">
        <v>713</v>
      </c>
      <c r="C10" s="206" t="s">
        <v>640</v>
      </c>
      <c r="D10" s="206" t="s">
        <v>688</v>
      </c>
      <c r="E10" s="206" t="s">
        <v>714</v>
      </c>
      <c r="F10" s="206" t="s">
        <v>240</v>
      </c>
      <c r="G10" s="212">
        <f>-SUM(H13:H14)*3.3%</f>
        <v>44844057531.71608</v>
      </c>
      <c r="H10" s="212"/>
    </row>
    <row r="11" spans="1:11" ht="15" customHeight="1">
      <c r="A11" s="206" t="s">
        <v>2</v>
      </c>
      <c r="B11" s="206" t="s">
        <v>713</v>
      </c>
      <c r="C11" s="206" t="s">
        <v>640</v>
      </c>
      <c r="D11" s="206" t="s">
        <v>688</v>
      </c>
      <c r="E11" s="206" t="s">
        <v>714</v>
      </c>
      <c r="F11" s="206" t="s">
        <v>241</v>
      </c>
      <c r="G11" s="212">
        <f>-H13*96.7%</f>
        <v>1078431577639.239</v>
      </c>
      <c r="H11" s="212"/>
      <c r="I11" s="211"/>
    </row>
    <row r="12" spans="1:11" ht="15" customHeight="1">
      <c r="A12" s="206" t="s">
        <v>2</v>
      </c>
      <c r="B12" s="206" t="s">
        <v>713</v>
      </c>
      <c r="C12" s="206" t="s">
        <v>640</v>
      </c>
      <c r="D12" s="206" t="s">
        <v>688</v>
      </c>
      <c r="E12" s="206" t="s">
        <v>714</v>
      </c>
      <c r="F12" s="206" t="s">
        <v>242</v>
      </c>
      <c r="G12" s="212">
        <f>-H14*96.7%</f>
        <v>235635199123.47156</v>
      </c>
      <c r="H12" s="212"/>
    </row>
    <row r="13" spans="1:11" ht="15" customHeight="1">
      <c r="A13" s="206" t="s">
        <v>2</v>
      </c>
      <c r="B13" s="206" t="s">
        <v>713</v>
      </c>
      <c r="C13" s="206" t="s">
        <v>640</v>
      </c>
      <c r="D13" s="206" t="s">
        <v>688</v>
      </c>
      <c r="E13" s="206" t="s">
        <v>714</v>
      </c>
      <c r="F13" s="213" t="s">
        <v>243</v>
      </c>
      <c r="G13" s="212"/>
      <c r="H13" s="212">
        <f>-'Consol SoFP 24'!L101</f>
        <v>-1115234309864.7766</v>
      </c>
      <c r="I13" s="211">
        <f>H13*3.3%</f>
        <v>-36802732225.537628</v>
      </c>
      <c r="J13" s="213"/>
    </row>
    <row r="14" spans="1:11" ht="15" customHeight="1">
      <c r="A14" s="206" t="s">
        <v>2</v>
      </c>
      <c r="B14" s="206" t="s">
        <v>713</v>
      </c>
      <c r="C14" s="206" t="s">
        <v>640</v>
      </c>
      <c r="D14" s="206" t="s">
        <v>688</v>
      </c>
      <c r="E14" s="206" t="s">
        <v>714</v>
      </c>
      <c r="F14" s="213" t="s">
        <v>244</v>
      </c>
      <c r="G14" s="212"/>
      <c r="H14" s="212">
        <f>-'Consol SoFP 24'!L102</f>
        <v>-243676524429.64999</v>
      </c>
      <c r="I14" s="211">
        <f>SUM(G10:H14)</f>
        <v>0</v>
      </c>
      <c r="J14" s="211"/>
    </row>
    <row r="15" spans="1:11" ht="15" customHeight="1">
      <c r="G15" s="212"/>
      <c r="H15" s="212"/>
      <c r="I15" s="214"/>
    </row>
    <row r="16" spans="1:11" ht="15" customHeight="1">
      <c r="A16" s="206" t="s">
        <v>2</v>
      </c>
      <c r="B16" s="206" t="s">
        <v>715</v>
      </c>
      <c r="C16" s="206" t="s">
        <v>640</v>
      </c>
      <c r="D16" s="206" t="s">
        <v>688</v>
      </c>
      <c r="E16" s="206" t="s">
        <v>245</v>
      </c>
      <c r="F16" s="206" t="s">
        <v>246</v>
      </c>
      <c r="G16" s="212">
        <f>-'Consol SoFP 24'!L98</f>
        <v>11551896192.375</v>
      </c>
      <c r="H16" s="212"/>
    </row>
    <row r="17" spans="1:10" ht="15" customHeight="1">
      <c r="A17" s="206" t="s">
        <v>2</v>
      </c>
      <c r="B17" s="206" t="s">
        <v>715</v>
      </c>
      <c r="C17" s="206" t="s">
        <v>640</v>
      </c>
      <c r="D17" s="206" t="s">
        <v>688</v>
      </c>
      <c r="E17" s="206" t="s">
        <v>245</v>
      </c>
      <c r="F17" s="206" t="s">
        <v>247</v>
      </c>
      <c r="G17" s="212">
        <f>-'Consol SoFP 24'!L99</f>
        <v>0</v>
      </c>
      <c r="H17" s="212"/>
    </row>
    <row r="18" spans="1:10" ht="15" customHeight="1">
      <c r="A18" s="206" t="s">
        <v>2</v>
      </c>
      <c r="B18" s="206" t="s">
        <v>715</v>
      </c>
      <c r="C18" s="206" t="s">
        <v>640</v>
      </c>
      <c r="D18" s="206" t="s">
        <v>688</v>
      </c>
      <c r="E18" s="206" t="s">
        <v>245</v>
      </c>
      <c r="F18" s="213" t="s">
        <v>240</v>
      </c>
      <c r="G18" s="212"/>
      <c r="H18" s="212">
        <f>-ROUND(SUM(G16:G17)*3.3%,0)</f>
        <v>-381212574</v>
      </c>
      <c r="I18" s="211"/>
      <c r="J18" s="213"/>
    </row>
    <row r="19" spans="1:10" ht="15" customHeight="1">
      <c r="A19" s="206" t="s">
        <v>2</v>
      </c>
      <c r="B19" s="206" t="s">
        <v>715</v>
      </c>
      <c r="C19" s="206" t="s">
        <v>640</v>
      </c>
      <c r="D19" s="206" t="s">
        <v>688</v>
      </c>
      <c r="E19" s="206" t="s">
        <v>245</v>
      </c>
      <c r="F19" s="213" t="s">
        <v>241</v>
      </c>
      <c r="G19" s="212"/>
      <c r="H19" s="212">
        <f>-SUM(G16:G17)-H18</f>
        <v>-11170683618.375</v>
      </c>
      <c r="I19" s="211"/>
    </row>
    <row r="20" spans="1:10" ht="15" customHeight="1">
      <c r="G20" s="212"/>
      <c r="H20" s="212"/>
      <c r="I20" s="214"/>
    </row>
    <row r="21" spans="1:10" ht="15" customHeight="1">
      <c r="A21" s="206" t="s">
        <v>2</v>
      </c>
      <c r="B21" s="206" t="s">
        <v>716</v>
      </c>
      <c r="C21" s="206" t="s">
        <v>640</v>
      </c>
      <c r="D21" s="206" t="s">
        <v>688</v>
      </c>
      <c r="E21" s="206" t="s">
        <v>717</v>
      </c>
      <c r="F21" s="206" t="s">
        <v>248</v>
      </c>
      <c r="G21" s="212">
        <f>-'Consol SoFP 24'!L104</f>
        <v>2578465447.4250002</v>
      </c>
      <c r="H21" s="212"/>
    </row>
    <row r="22" spans="1:10" ht="15" customHeight="1">
      <c r="A22" s="206" t="s">
        <v>2</v>
      </c>
      <c r="B22" s="206" t="s">
        <v>716</v>
      </c>
      <c r="C22" s="206" t="s">
        <v>640</v>
      </c>
      <c r="D22" s="206" t="s">
        <v>688</v>
      </c>
      <c r="E22" s="206" t="s">
        <v>717</v>
      </c>
      <c r="F22" s="206" t="s">
        <v>249</v>
      </c>
      <c r="G22" s="212">
        <v>0</v>
      </c>
      <c r="H22" s="212"/>
    </row>
    <row r="23" spans="1:10" ht="15" customHeight="1">
      <c r="A23" s="206" t="s">
        <v>2</v>
      </c>
      <c r="B23" s="206" t="s">
        <v>716</v>
      </c>
      <c r="C23" s="206" t="s">
        <v>640</v>
      </c>
      <c r="D23" s="206" t="s">
        <v>688</v>
      </c>
      <c r="E23" s="206" t="s">
        <v>717</v>
      </c>
      <c r="F23" s="213" t="s">
        <v>240</v>
      </c>
      <c r="G23" s="212"/>
      <c r="H23" s="212">
        <f>-ROUND(SUM(G21:G22)*3.3%,0)</f>
        <v>-85089360</v>
      </c>
      <c r="I23" s="211"/>
      <c r="J23" s="213"/>
    </row>
    <row r="24" spans="1:10" ht="15" customHeight="1">
      <c r="A24" s="206" t="s">
        <v>2</v>
      </c>
      <c r="B24" s="206" t="s">
        <v>716</v>
      </c>
      <c r="C24" s="206" t="s">
        <v>640</v>
      </c>
      <c r="D24" s="206" t="s">
        <v>688</v>
      </c>
      <c r="E24" s="206" t="s">
        <v>717</v>
      </c>
      <c r="F24" s="213" t="s">
        <v>241</v>
      </c>
      <c r="G24" s="212"/>
      <c r="H24" s="212">
        <f>-ROUND(G21*96.7%,0)</f>
        <v>-2493376088</v>
      </c>
      <c r="I24" s="211"/>
    </row>
    <row r="25" spans="1:10" ht="15" customHeight="1">
      <c r="A25" s="206" t="s">
        <v>2</v>
      </c>
      <c r="B25" s="206" t="s">
        <v>716</v>
      </c>
      <c r="C25" s="206" t="s">
        <v>640</v>
      </c>
      <c r="D25" s="206" t="s">
        <v>688</v>
      </c>
      <c r="E25" s="206" t="s">
        <v>717</v>
      </c>
      <c r="F25" s="213" t="s">
        <v>242</v>
      </c>
      <c r="G25" s="212"/>
      <c r="H25" s="212">
        <f>-ROUND(G22*96.7%,0)</f>
        <v>0</v>
      </c>
      <c r="I25" s="211"/>
    </row>
    <row r="26" spans="1:10" ht="15" customHeight="1">
      <c r="G26" s="212"/>
      <c r="H26" s="212"/>
      <c r="I26" s="214"/>
    </row>
    <row r="27" spans="1:10" ht="15" customHeight="1">
      <c r="A27" s="206" t="s">
        <v>2</v>
      </c>
      <c r="B27" s="206" t="s">
        <v>723</v>
      </c>
      <c r="C27" s="206" t="s">
        <v>640</v>
      </c>
      <c r="D27" s="206" t="s">
        <v>688</v>
      </c>
      <c r="E27" s="206" t="s">
        <v>717</v>
      </c>
      <c r="F27" s="206" t="s">
        <v>91</v>
      </c>
      <c r="G27" s="212">
        <f>-H28</f>
        <v>39247104548.468147</v>
      </c>
      <c r="H27" s="212"/>
    </row>
    <row r="28" spans="1:10" ht="15" customHeight="1">
      <c r="A28" s="206" t="s">
        <v>2</v>
      </c>
      <c r="B28" s="206" t="s">
        <v>723</v>
      </c>
      <c r="C28" s="206" t="s">
        <v>640</v>
      </c>
      <c r="D28" s="206" t="s">
        <v>688</v>
      </c>
      <c r="E28" s="206" t="s">
        <v>717</v>
      </c>
      <c r="F28" s="213" t="s">
        <v>240</v>
      </c>
      <c r="G28" s="212"/>
      <c r="H28" s="212">
        <f>'WP Investment'!J41</f>
        <v>-39247104548.468147</v>
      </c>
      <c r="I28" s="211"/>
      <c r="J28" s="213"/>
    </row>
    <row r="29" spans="1:10" ht="15" customHeight="1">
      <c r="G29" s="212"/>
      <c r="H29" s="212"/>
      <c r="I29" s="214"/>
    </row>
    <row r="30" spans="1:10" ht="14.5">
      <c r="A30" s="206" t="s">
        <v>2</v>
      </c>
      <c r="B30" s="206" t="s">
        <v>751</v>
      </c>
      <c r="C30" s="206" t="s">
        <v>640</v>
      </c>
      <c r="D30" s="206" t="s">
        <v>740</v>
      </c>
      <c r="E30" s="206" t="s">
        <v>506</v>
      </c>
      <c r="F30" s="206" t="s">
        <v>239</v>
      </c>
      <c r="G30" s="212">
        <f>'WP Investment'!AK2</f>
        <v>23625000</v>
      </c>
      <c r="H30" s="212"/>
    </row>
    <row r="31" spans="1:10" ht="15" customHeight="1">
      <c r="A31" s="206" t="s">
        <v>2</v>
      </c>
      <c r="B31" s="206" t="s">
        <v>751</v>
      </c>
      <c r="C31" s="206" t="s">
        <v>640</v>
      </c>
      <c r="D31" s="206" t="s">
        <v>740</v>
      </c>
      <c r="E31" s="206" t="s">
        <v>506</v>
      </c>
      <c r="F31" s="213" t="s">
        <v>240</v>
      </c>
      <c r="G31" s="212"/>
      <c r="H31" s="212">
        <f>-G30*51%</f>
        <v>-12048750</v>
      </c>
      <c r="I31" s="214"/>
    </row>
    <row r="32" spans="1:10" ht="15" customHeight="1">
      <c r="A32" s="206" t="s">
        <v>2</v>
      </c>
      <c r="B32" s="206" t="s">
        <v>751</v>
      </c>
      <c r="C32" s="206" t="s">
        <v>640</v>
      </c>
      <c r="D32" s="206" t="s">
        <v>740</v>
      </c>
      <c r="E32" s="206" t="s">
        <v>506</v>
      </c>
      <c r="F32" s="213" t="s">
        <v>241</v>
      </c>
      <c r="G32" s="212"/>
      <c r="H32" s="212">
        <f>-SUM(G30,H31)</f>
        <v>-11576250</v>
      </c>
      <c r="I32" s="212">
        <f>SUM(G30:H32)</f>
        <v>0</v>
      </c>
    </row>
    <row r="33" spans="1:10" ht="15" customHeight="1">
      <c r="G33" s="212"/>
      <c r="H33" s="212"/>
      <c r="I33" s="211"/>
    </row>
    <row r="34" spans="1:10" ht="15" customHeight="1">
      <c r="A34" s="206" t="s">
        <v>2</v>
      </c>
      <c r="B34" s="206" t="s">
        <v>752</v>
      </c>
      <c r="C34" s="206" t="s">
        <v>640</v>
      </c>
      <c r="D34" s="206" t="s">
        <v>740</v>
      </c>
      <c r="E34" s="206" t="s">
        <v>510</v>
      </c>
      <c r="F34" s="206" t="s">
        <v>243</v>
      </c>
      <c r="G34" s="212">
        <f>-'Consol SoFP 24'!O101</f>
        <v>2395153721.5749998</v>
      </c>
      <c r="H34" s="212"/>
    </row>
    <row r="35" spans="1:10" ht="15" customHeight="1">
      <c r="A35" s="206" t="s">
        <v>2</v>
      </c>
      <c r="B35" s="206" t="s">
        <v>752</v>
      </c>
      <c r="C35" s="206" t="s">
        <v>640</v>
      </c>
      <c r="D35" s="206" t="s">
        <v>740</v>
      </c>
      <c r="E35" s="206" t="s">
        <v>510</v>
      </c>
      <c r="F35" s="206" t="s">
        <v>242</v>
      </c>
      <c r="G35" s="212">
        <f>-H38*49%</f>
        <v>5336908453.9399996</v>
      </c>
      <c r="H35" s="212"/>
    </row>
    <row r="36" spans="1:10" ht="15" customHeight="1">
      <c r="A36" s="206" t="s">
        <v>2</v>
      </c>
      <c r="B36" s="206" t="s">
        <v>752</v>
      </c>
      <c r="C36" s="206" t="s">
        <v>640</v>
      </c>
      <c r="D36" s="206" t="s">
        <v>740</v>
      </c>
      <c r="E36" s="206" t="s">
        <v>510</v>
      </c>
      <c r="F36" s="206" t="s">
        <v>240</v>
      </c>
      <c r="G36" s="212">
        <f>-(G34+H38)*51%</f>
        <v>4333213054.0567503</v>
      </c>
      <c r="I36" s="212"/>
    </row>
    <row r="37" spans="1:10" ht="15" customHeight="1">
      <c r="A37" s="206" t="s">
        <v>2</v>
      </c>
      <c r="B37" s="206" t="s">
        <v>752</v>
      </c>
      <c r="C37" s="206" t="s">
        <v>640</v>
      </c>
      <c r="D37" s="206" t="s">
        <v>740</v>
      </c>
      <c r="E37" s="206" t="s">
        <v>510</v>
      </c>
      <c r="F37" s="213" t="s">
        <v>241</v>
      </c>
      <c r="G37" s="212"/>
      <c r="H37" s="212">
        <f>-G34*49%</f>
        <v>-1173625323.5717499</v>
      </c>
      <c r="I37" s="212"/>
    </row>
    <row r="38" spans="1:10" ht="15" customHeight="1">
      <c r="A38" s="206" t="s">
        <v>2</v>
      </c>
      <c r="B38" s="206" t="s">
        <v>752</v>
      </c>
      <c r="C38" s="206" t="s">
        <v>640</v>
      </c>
      <c r="D38" s="206" t="s">
        <v>740</v>
      </c>
      <c r="E38" s="206" t="s">
        <v>510</v>
      </c>
      <c r="F38" s="213" t="s">
        <v>244</v>
      </c>
      <c r="G38" s="212"/>
      <c r="H38" s="212">
        <f>-'Consol SoFP 24'!O102</f>
        <v>-10891649906</v>
      </c>
      <c r="I38" s="212">
        <f>SUM(G34:H38)</f>
        <v>0</v>
      </c>
    </row>
    <row r="39" spans="1:10" ht="15" customHeight="1">
      <c r="G39" s="212"/>
      <c r="H39" s="212"/>
    </row>
    <row r="40" spans="1:10" ht="15" customHeight="1">
      <c r="A40" s="206" t="s">
        <v>2</v>
      </c>
      <c r="B40" s="206" t="s">
        <v>756</v>
      </c>
      <c r="C40" s="206" t="s">
        <v>640</v>
      </c>
      <c r="D40" s="206" t="s">
        <v>740</v>
      </c>
      <c r="E40" s="206" t="s">
        <v>717</v>
      </c>
      <c r="F40" s="206" t="s">
        <v>91</v>
      </c>
      <c r="G40" s="212">
        <f>-'WP Investment'!AQ41</f>
        <v>361306462.86585021</v>
      </c>
      <c r="H40" s="212"/>
    </row>
    <row r="41" spans="1:10" ht="15" customHeight="1">
      <c r="A41" s="206" t="s">
        <v>2</v>
      </c>
      <c r="B41" s="206" t="s">
        <v>756</v>
      </c>
      <c r="C41" s="206" t="s">
        <v>640</v>
      </c>
      <c r="D41" s="206" t="s">
        <v>740</v>
      </c>
      <c r="E41" s="206" t="s">
        <v>717</v>
      </c>
      <c r="F41" s="213" t="s">
        <v>240</v>
      </c>
      <c r="G41" s="212"/>
      <c r="H41" s="212">
        <f>-G40</f>
        <v>-361306462.86585021</v>
      </c>
      <c r="I41" s="211"/>
      <c r="J41" s="213"/>
    </row>
    <row r="42" spans="1:10" ht="15" customHeight="1">
      <c r="G42" s="212"/>
      <c r="H42" s="212"/>
      <c r="I42" s="214"/>
    </row>
    <row r="43" spans="1:10" ht="14.5">
      <c r="A43" s="206" t="s">
        <v>2</v>
      </c>
      <c r="B43" s="206" t="s">
        <v>777</v>
      </c>
      <c r="C43" s="206" t="s">
        <v>640</v>
      </c>
      <c r="D43" s="206" t="s">
        <v>465</v>
      </c>
      <c r="E43" s="206" t="s">
        <v>506</v>
      </c>
      <c r="F43" s="206" t="s">
        <v>239</v>
      </c>
      <c r="G43" s="212">
        <f>'WP Investment'!T2</f>
        <v>4921875000</v>
      </c>
      <c r="H43" s="212"/>
    </row>
    <row r="44" spans="1:10" ht="15" customHeight="1">
      <c r="A44" s="206" t="s">
        <v>2</v>
      </c>
      <c r="B44" s="206" t="s">
        <v>777</v>
      </c>
      <c r="C44" s="206" t="s">
        <v>640</v>
      </c>
      <c r="D44" s="206" t="s">
        <v>465</v>
      </c>
      <c r="E44" s="206" t="s">
        <v>506</v>
      </c>
      <c r="F44" s="213" t="s">
        <v>240</v>
      </c>
      <c r="G44" s="212"/>
      <c r="H44" s="212">
        <f>ROUND(-G43*51%,0)</f>
        <v>-2510156250</v>
      </c>
    </row>
    <row r="45" spans="1:10" ht="15" customHeight="1">
      <c r="A45" s="206" t="s">
        <v>2</v>
      </c>
      <c r="B45" s="206" t="s">
        <v>777</v>
      </c>
      <c r="C45" s="206" t="s">
        <v>640</v>
      </c>
      <c r="D45" s="206" t="s">
        <v>465</v>
      </c>
      <c r="E45" s="206" t="s">
        <v>506</v>
      </c>
      <c r="F45" s="213" t="s">
        <v>241</v>
      </c>
      <c r="G45" s="212"/>
      <c r="H45" s="212">
        <f>-SUM(G43,H44)</f>
        <v>-2411718750</v>
      </c>
      <c r="I45" s="212">
        <f>SUM(G43:H45)</f>
        <v>0</v>
      </c>
    </row>
    <row r="46" spans="1:10" ht="15" customHeight="1">
      <c r="G46" s="212"/>
      <c r="H46" s="212"/>
      <c r="I46" s="211"/>
    </row>
    <row r="47" spans="1:10" ht="15" customHeight="1">
      <c r="A47" s="206" t="s">
        <v>2</v>
      </c>
      <c r="B47" s="206" t="s">
        <v>778</v>
      </c>
      <c r="C47" s="206" t="s">
        <v>640</v>
      </c>
      <c r="D47" s="206" t="s">
        <v>465</v>
      </c>
      <c r="E47" s="206" t="s">
        <v>510</v>
      </c>
      <c r="F47" s="206" t="s">
        <v>243</v>
      </c>
      <c r="G47" s="212">
        <f>-'Consol SoFP 24'!S101</f>
        <v>11771490539.875502</v>
      </c>
      <c r="H47" s="212"/>
    </row>
    <row r="48" spans="1:10" ht="15" customHeight="1">
      <c r="A48" s="206" t="s">
        <v>2</v>
      </c>
      <c r="B48" s="206" t="s">
        <v>778</v>
      </c>
      <c r="C48" s="206" t="s">
        <v>640</v>
      </c>
      <c r="D48" s="206" t="s">
        <v>465</v>
      </c>
      <c r="E48" s="206" t="s">
        <v>510</v>
      </c>
      <c r="F48" s="206" t="s">
        <v>244</v>
      </c>
      <c r="G48" s="212">
        <f>-'Consol SoFP 24'!S102</f>
        <v>-36098801827</v>
      </c>
      <c r="H48" s="212"/>
    </row>
    <row r="49" spans="1:10" ht="15" customHeight="1">
      <c r="A49" s="206" t="s">
        <v>2</v>
      </c>
      <c r="B49" s="206" t="s">
        <v>778</v>
      </c>
      <c r="C49" s="206" t="s">
        <v>640</v>
      </c>
      <c r="D49" s="206" t="s">
        <v>465</v>
      </c>
      <c r="E49" s="206" t="s">
        <v>510</v>
      </c>
      <c r="F49" s="213" t="s">
        <v>240</v>
      </c>
      <c r="G49" s="212">
        <f>ROUND(-SUM(G47:G48)*51%,0)</f>
        <v>12406928756</v>
      </c>
    </row>
    <row r="50" spans="1:10" ht="15" customHeight="1">
      <c r="A50" s="206" t="s">
        <v>2</v>
      </c>
      <c r="B50" s="206" t="s">
        <v>778</v>
      </c>
      <c r="C50" s="206" t="s">
        <v>640</v>
      </c>
      <c r="D50" s="206" t="s">
        <v>465</v>
      </c>
      <c r="E50" s="206" t="s">
        <v>510</v>
      </c>
      <c r="F50" s="213" t="s">
        <v>241</v>
      </c>
      <c r="G50" s="212"/>
      <c r="H50" s="212">
        <f>ROUND(-G47*49%,0)</f>
        <v>-5768030365</v>
      </c>
      <c r="I50" s="212"/>
    </row>
    <row r="51" spans="1:10" ht="15" customHeight="1">
      <c r="A51" s="206" t="s">
        <v>2</v>
      </c>
      <c r="B51" s="206" t="s">
        <v>778</v>
      </c>
      <c r="C51" s="206" t="s">
        <v>640</v>
      </c>
      <c r="D51" s="206" t="s">
        <v>465</v>
      </c>
      <c r="E51" s="206" t="s">
        <v>510</v>
      </c>
      <c r="F51" s="213" t="s">
        <v>242</v>
      </c>
      <c r="G51" s="212"/>
      <c r="H51" s="212">
        <f>ROUND(-G48*49%,0)</f>
        <v>17688412895</v>
      </c>
      <c r="I51" s="212">
        <f>SUM(G47:H51)</f>
        <v>-1.1244964599609375</v>
      </c>
    </row>
    <row r="52" spans="1:10" ht="15" customHeight="1">
      <c r="G52" s="212"/>
      <c r="H52" s="212"/>
    </row>
    <row r="53" spans="1:10" ht="15" customHeight="1">
      <c r="A53" s="206" t="s">
        <v>2</v>
      </c>
      <c r="B53" s="206" t="s">
        <v>783</v>
      </c>
      <c r="C53" s="206" t="s">
        <v>640</v>
      </c>
      <c r="D53" s="206" t="s">
        <v>465</v>
      </c>
      <c r="E53" s="206" t="s">
        <v>717</v>
      </c>
      <c r="F53" s="206" t="s">
        <v>240</v>
      </c>
      <c r="G53" s="212">
        <f>'Capital Proforma Control'!T142</f>
        <v>-3329900494.2055492</v>
      </c>
      <c r="H53" s="212"/>
    </row>
    <row r="54" spans="1:10" ht="15" customHeight="1">
      <c r="A54" s="206" t="s">
        <v>2</v>
      </c>
      <c r="B54" s="206" t="s">
        <v>783</v>
      </c>
      <c r="C54" s="206" t="s">
        <v>640</v>
      </c>
      <c r="D54" s="206" t="s">
        <v>465</v>
      </c>
      <c r="E54" s="206" t="s">
        <v>717</v>
      </c>
      <c r="F54" s="213" t="s">
        <v>91</v>
      </c>
      <c r="G54" s="212"/>
      <c r="H54" s="212">
        <f>-G53</f>
        <v>3329900494.2055492</v>
      </c>
      <c r="I54" s="211"/>
      <c r="J54" s="213"/>
    </row>
    <row r="55" spans="1:10" ht="15" customHeight="1">
      <c r="G55" s="212"/>
      <c r="H55" s="212"/>
      <c r="I55" s="214"/>
    </row>
    <row r="56" spans="1:10" ht="14.5">
      <c r="A56" s="206" t="s">
        <v>2</v>
      </c>
      <c r="B56" s="206" t="s">
        <v>647</v>
      </c>
      <c r="C56" s="206" t="s">
        <v>640</v>
      </c>
      <c r="D56" s="206" t="s">
        <v>609</v>
      </c>
      <c r="E56" s="206" t="s">
        <v>506</v>
      </c>
      <c r="F56" s="206" t="s">
        <v>239</v>
      </c>
      <c r="G56" s="212">
        <f>'WP Investment'!BA2</f>
        <v>472500000</v>
      </c>
      <c r="H56" s="212"/>
    </row>
    <row r="57" spans="1:10" ht="15" customHeight="1">
      <c r="A57" s="206" t="s">
        <v>2</v>
      </c>
      <c r="B57" s="206" t="s">
        <v>647</v>
      </c>
      <c r="C57" s="206" t="s">
        <v>640</v>
      </c>
      <c r="D57" s="206" t="s">
        <v>609</v>
      </c>
      <c r="E57" s="206" t="s">
        <v>506</v>
      </c>
      <c r="F57" s="213" t="s">
        <v>240</v>
      </c>
      <c r="G57" s="212"/>
      <c r="H57" s="212">
        <f>-G56*51%</f>
        <v>-240975000</v>
      </c>
      <c r="J57" s="215">
        <v>0.51</v>
      </c>
    </row>
    <row r="58" spans="1:10" ht="15" customHeight="1">
      <c r="A58" s="206" t="s">
        <v>2</v>
      </c>
      <c r="B58" s="206" t="s">
        <v>647</v>
      </c>
      <c r="C58" s="206" t="s">
        <v>640</v>
      </c>
      <c r="D58" s="206" t="s">
        <v>609</v>
      </c>
      <c r="E58" s="206" t="s">
        <v>506</v>
      </c>
      <c r="F58" s="213" t="s">
        <v>241</v>
      </c>
      <c r="G58" s="212"/>
      <c r="H58" s="212">
        <f>-SUM(G56,H57)</f>
        <v>-231525000</v>
      </c>
      <c r="I58" s="212">
        <f>SUM(G56:H58)</f>
        <v>0</v>
      </c>
    </row>
    <row r="59" spans="1:10" ht="15" customHeight="1">
      <c r="G59" s="212"/>
      <c r="H59" s="212"/>
      <c r="I59" s="211"/>
    </row>
    <row r="60" spans="1:10" ht="15" customHeight="1">
      <c r="A60" s="206" t="s">
        <v>2</v>
      </c>
      <c r="B60" s="206" t="s">
        <v>648</v>
      </c>
      <c r="C60" s="206" t="s">
        <v>640</v>
      </c>
      <c r="D60" s="206" t="s">
        <v>609</v>
      </c>
      <c r="E60" s="206" t="s">
        <v>510</v>
      </c>
      <c r="F60" s="206" t="s">
        <v>241</v>
      </c>
      <c r="G60" s="212">
        <f>-H63*(1-J57)</f>
        <v>48195303931.25</v>
      </c>
      <c r="H60" s="212"/>
    </row>
    <row r="61" spans="1:10" ht="15" customHeight="1">
      <c r="A61" s="206" t="s">
        <v>2</v>
      </c>
      <c r="B61" s="206" t="s">
        <v>648</v>
      </c>
      <c r="C61" s="206" t="s">
        <v>640</v>
      </c>
      <c r="D61" s="206" t="s">
        <v>609</v>
      </c>
      <c r="E61" s="206" t="s">
        <v>510</v>
      </c>
      <c r="F61" s="206" t="s">
        <v>242</v>
      </c>
      <c r="G61" s="212">
        <f>-H64*(1-J57)</f>
        <v>4470958909.5831041</v>
      </c>
      <c r="H61" s="212"/>
    </row>
    <row r="62" spans="1:10" ht="15" customHeight="1">
      <c r="A62" s="206" t="s">
        <v>2</v>
      </c>
      <c r="B62" s="206" t="s">
        <v>648</v>
      </c>
      <c r="C62" s="206" t="s">
        <v>640</v>
      </c>
      <c r="D62" s="206" t="s">
        <v>609</v>
      </c>
      <c r="E62" s="206" t="s">
        <v>510</v>
      </c>
      <c r="F62" s="213" t="s">
        <v>240</v>
      </c>
      <c r="G62" s="212">
        <f>-SUM(H63:H64)*J57</f>
        <v>54815906222.091599</v>
      </c>
    </row>
    <row r="63" spans="1:10" ht="15" customHeight="1">
      <c r="A63" s="206" t="s">
        <v>2</v>
      </c>
      <c r="B63" s="206" t="s">
        <v>648</v>
      </c>
      <c r="C63" s="206" t="s">
        <v>640</v>
      </c>
      <c r="D63" s="206" t="s">
        <v>609</v>
      </c>
      <c r="E63" s="206" t="s">
        <v>510</v>
      </c>
      <c r="F63" s="213" t="s">
        <v>243</v>
      </c>
      <c r="G63" s="212"/>
      <c r="H63" s="212">
        <f>-'Consol SoFP 24'!V101</f>
        <v>-98357763125</v>
      </c>
      <c r="I63" s="212"/>
      <c r="J63" s="206" t="s">
        <v>243</v>
      </c>
    </row>
    <row r="64" spans="1:10" ht="15" customHeight="1">
      <c r="A64" s="206" t="s">
        <v>2</v>
      </c>
      <c r="B64" s="206" t="s">
        <v>648</v>
      </c>
      <c r="C64" s="206" t="s">
        <v>640</v>
      </c>
      <c r="D64" s="206" t="s">
        <v>609</v>
      </c>
      <c r="E64" s="206" t="s">
        <v>510</v>
      </c>
      <c r="F64" s="213" t="s">
        <v>244</v>
      </c>
      <c r="G64" s="212"/>
      <c r="H64" s="212">
        <f>-'Consol SoFP 24'!V102</f>
        <v>-9124405937.9247017</v>
      </c>
      <c r="I64" s="212">
        <f>SUM(G60:H64)</f>
        <v>0</v>
      </c>
      <c r="J64" s="206" t="s">
        <v>244</v>
      </c>
    </row>
    <row r="65" spans="1:10" ht="15" customHeight="1">
      <c r="G65" s="212"/>
      <c r="H65" s="212"/>
    </row>
    <row r="66" spans="1:10" ht="15" customHeight="1">
      <c r="B66" s="206" t="s">
        <v>663</v>
      </c>
      <c r="C66" s="206" t="s">
        <v>640</v>
      </c>
      <c r="D66" s="206" t="s">
        <v>609</v>
      </c>
      <c r="E66" s="206" t="s">
        <v>717</v>
      </c>
      <c r="F66" s="206" t="s">
        <v>91</v>
      </c>
      <c r="G66" s="212">
        <f>-H67</f>
        <v>42381830359.050003</v>
      </c>
      <c r="H66" s="212"/>
    </row>
    <row r="67" spans="1:10" ht="15" customHeight="1">
      <c r="B67" s="206" t="s">
        <v>663</v>
      </c>
      <c r="C67" s="206" t="s">
        <v>640</v>
      </c>
      <c r="D67" s="206" t="s">
        <v>609</v>
      </c>
      <c r="E67" s="206" t="s">
        <v>717</v>
      </c>
      <c r="F67" s="213" t="s">
        <v>240</v>
      </c>
      <c r="G67" s="212"/>
      <c r="H67" s="212">
        <f>'WP Investment'!BG41</f>
        <v>-42381830359.050003</v>
      </c>
      <c r="I67" s="211"/>
      <c r="J67" s="213"/>
    </row>
    <row r="68" spans="1:10" ht="15" customHeight="1">
      <c r="G68" s="212"/>
      <c r="H68" s="212"/>
    </row>
    <row r="69" spans="1:10" ht="14.5">
      <c r="B69" s="206" t="s">
        <v>797</v>
      </c>
      <c r="C69" s="206" t="s">
        <v>640</v>
      </c>
      <c r="D69" s="206" t="s">
        <v>461</v>
      </c>
      <c r="E69" s="206" t="s">
        <v>506</v>
      </c>
      <c r="F69" s="206" t="s">
        <v>239</v>
      </c>
      <c r="G69" s="212">
        <f>-'Consol SoFP 24'!Y93</f>
        <v>19687500</v>
      </c>
      <c r="H69" s="212"/>
    </row>
    <row r="70" spans="1:10" ht="15" customHeight="1">
      <c r="B70" s="206" t="s">
        <v>797</v>
      </c>
      <c r="C70" s="206" t="s">
        <v>640</v>
      </c>
      <c r="D70" s="206" t="s">
        <v>461</v>
      </c>
      <c r="E70" s="206" t="s">
        <v>506</v>
      </c>
      <c r="F70" s="213" t="s">
        <v>240</v>
      </c>
      <c r="G70" s="212"/>
      <c r="H70" s="212">
        <f>-G69</f>
        <v>-19687500</v>
      </c>
    </row>
    <row r="71" spans="1:10" ht="15" customHeight="1">
      <c r="G71" s="212"/>
      <c r="H71" s="212"/>
      <c r="I71" s="211"/>
    </row>
    <row r="72" spans="1:10" ht="15" customHeight="1">
      <c r="A72" s="206" t="s">
        <v>250</v>
      </c>
      <c r="B72" s="206" t="s">
        <v>664</v>
      </c>
      <c r="C72" s="206" t="s">
        <v>640</v>
      </c>
      <c r="D72" s="206" t="s">
        <v>688</v>
      </c>
      <c r="E72" s="206" t="str">
        <f>CONCATENATE("To elimination Intercompany loan ",C72," x ",D72)</f>
        <v>To elimination Intercompany loan Dummy - C x Dummy - D</v>
      </c>
      <c r="F72" s="206" t="s">
        <v>251</v>
      </c>
      <c r="G72" s="212">
        <f>-'Detail Elimination BS'!AB7</f>
        <v>967240476645.48657</v>
      </c>
      <c r="H72" s="212"/>
    </row>
    <row r="73" spans="1:10" ht="15" customHeight="1">
      <c r="A73" s="206" t="s">
        <v>250</v>
      </c>
      <c r="B73" s="206" t="s">
        <v>664</v>
      </c>
      <c r="C73" s="206" t="s">
        <v>640</v>
      </c>
      <c r="D73" s="206" t="s">
        <v>688</v>
      </c>
      <c r="E73" s="206" t="str">
        <f>CONCATENATE("To elimination Intercompany loan ",C73," x ",D73)</f>
        <v>To elimination Intercompany loan Dummy - C x Dummy - D</v>
      </c>
      <c r="F73" s="213" t="s">
        <v>252</v>
      </c>
      <c r="G73" s="212"/>
      <c r="H73" s="212">
        <f>-'Detail Elimination BS'!L7</f>
        <v>-967240476645.48657</v>
      </c>
      <c r="I73" s="214">
        <f>SUM(G72:H73)</f>
        <v>0</v>
      </c>
    </row>
    <row r="74" spans="1:10" ht="15" customHeight="1">
      <c r="G74" s="212"/>
      <c r="H74" s="212"/>
    </row>
    <row r="75" spans="1:10" ht="15" customHeight="1">
      <c r="A75" s="206" t="s">
        <v>250</v>
      </c>
      <c r="B75" s="206" t="s">
        <v>665</v>
      </c>
      <c r="C75" s="206" t="s">
        <v>640</v>
      </c>
      <c r="D75" s="206" t="s">
        <v>740</v>
      </c>
      <c r="E75" s="206" t="str">
        <f t="shared" ref="E75:E76" si="0">CONCATENATE("To elimination Intercompany loan ",C75," x ",D75)</f>
        <v>To elimination Intercompany loan Dummy - C x Dummy - E</v>
      </c>
      <c r="F75" s="206" t="s">
        <v>251</v>
      </c>
      <c r="G75" s="212">
        <f>-'Detail Elimination BS'!AB9</f>
        <v>37537565842.349998</v>
      </c>
      <c r="H75" s="212"/>
    </row>
    <row r="76" spans="1:10" ht="15" customHeight="1">
      <c r="A76" s="206" t="s">
        <v>250</v>
      </c>
      <c r="B76" s="206" t="s">
        <v>665</v>
      </c>
      <c r="C76" s="206" t="s">
        <v>640</v>
      </c>
      <c r="D76" s="206" t="s">
        <v>740</v>
      </c>
      <c r="E76" s="206" t="str">
        <f t="shared" si="0"/>
        <v>To elimination Intercompany loan Dummy - C x Dummy - E</v>
      </c>
      <c r="F76" s="213" t="s">
        <v>252</v>
      </c>
      <c r="G76" s="212"/>
      <c r="H76" s="212">
        <f>-'Detail Elimination BS'!L9</f>
        <v>-37537565842.349998</v>
      </c>
      <c r="I76" s="214">
        <f>SUM(G75:H76)</f>
        <v>0</v>
      </c>
    </row>
    <row r="77" spans="1:10" ht="15" customHeight="1">
      <c r="G77" s="212"/>
      <c r="H77" s="212"/>
    </row>
    <row r="78" spans="1:10" ht="15" customHeight="1">
      <c r="A78" s="206" t="s">
        <v>250</v>
      </c>
      <c r="B78" s="206" t="s">
        <v>666</v>
      </c>
      <c r="C78" s="206" t="s">
        <v>640</v>
      </c>
      <c r="D78" s="206" t="s">
        <v>465</v>
      </c>
      <c r="E78" s="206" t="str">
        <f t="shared" ref="E78:E79" si="1">CONCATENATE("To elimination Intercompany loan ",C78," x ",D78)</f>
        <v>To elimination Intercompany loan Dummy - C x Dummy F</v>
      </c>
      <c r="F78" s="206" t="s">
        <v>251</v>
      </c>
      <c r="G78" s="212">
        <f>-'Detail Elimination BS'!AB10</f>
        <v>114259941006.75</v>
      </c>
      <c r="H78" s="212"/>
    </row>
    <row r="79" spans="1:10" ht="15" customHeight="1">
      <c r="A79" s="206" t="s">
        <v>250</v>
      </c>
      <c r="B79" s="206" t="s">
        <v>666</v>
      </c>
      <c r="C79" s="206" t="s">
        <v>640</v>
      </c>
      <c r="D79" s="206" t="s">
        <v>465</v>
      </c>
      <c r="E79" s="206" t="str">
        <f t="shared" si="1"/>
        <v>To elimination Intercompany loan Dummy - C x Dummy F</v>
      </c>
      <c r="F79" s="213" t="s">
        <v>252</v>
      </c>
      <c r="G79" s="212"/>
      <c r="H79" s="212">
        <f>-'Detail Elimination BS'!L10</f>
        <v>-114259941007.23824</v>
      </c>
      <c r="I79" s="214">
        <f>SUM(G78:H79)</f>
        <v>-0.4882354736328125</v>
      </c>
    </row>
    <row r="80" spans="1:10" ht="15" customHeight="1">
      <c r="G80" s="212"/>
      <c r="H80" s="212"/>
    </row>
    <row r="81" spans="1:9" ht="15" customHeight="1">
      <c r="A81" s="206" t="s">
        <v>250</v>
      </c>
      <c r="B81" s="206" t="s">
        <v>667</v>
      </c>
      <c r="C81" s="206" t="s">
        <v>640</v>
      </c>
      <c r="D81" s="206" t="s">
        <v>609</v>
      </c>
      <c r="E81" s="206" t="str">
        <f t="shared" ref="E81:E84" si="2">CONCATENATE("To elimination Intercompany loan ",C81," x ",D81)</f>
        <v>To elimination Intercompany loan Dummy - C x Dummy - A</v>
      </c>
      <c r="F81" s="206" t="s">
        <v>251</v>
      </c>
      <c r="G81" s="212">
        <f>-H84</f>
        <v>153971324257.52408</v>
      </c>
      <c r="H81" s="212"/>
    </row>
    <row r="82" spans="1:9" ht="15" customHeight="1">
      <c r="A82" s="206" t="s">
        <v>250</v>
      </c>
      <c r="B82" s="206" t="s">
        <v>667</v>
      </c>
      <c r="C82" s="206" t="s">
        <v>640</v>
      </c>
      <c r="D82" s="206" t="s">
        <v>609</v>
      </c>
      <c r="E82" s="206" t="str">
        <f t="shared" si="2"/>
        <v>To elimination Intercompany loan Dummy - C x Dummy - A</v>
      </c>
      <c r="F82" s="206" t="s">
        <v>253</v>
      </c>
      <c r="G82" s="212">
        <f>-'Detail Elimination BS'!L12</f>
        <v>9124026906.5646496</v>
      </c>
      <c r="H82" s="212"/>
    </row>
    <row r="83" spans="1:9" ht="15" customHeight="1">
      <c r="A83" s="206" t="s">
        <v>250</v>
      </c>
      <c r="B83" s="206" t="s">
        <v>667</v>
      </c>
      <c r="C83" s="206" t="s">
        <v>640</v>
      </c>
      <c r="D83" s="206" t="s">
        <v>609</v>
      </c>
      <c r="E83" s="206" t="str">
        <f t="shared" si="2"/>
        <v>To elimination Intercompany loan Dummy - C x Dummy - A</v>
      </c>
      <c r="F83" s="213" t="s">
        <v>254</v>
      </c>
      <c r="G83" s="212"/>
      <c r="H83" s="212">
        <f>-G82</f>
        <v>-9124026906.5646496</v>
      </c>
    </row>
    <row r="84" spans="1:9" ht="15" customHeight="1">
      <c r="A84" s="206" t="s">
        <v>250</v>
      </c>
      <c r="B84" s="206" t="s">
        <v>667</v>
      </c>
      <c r="C84" s="206" t="s">
        <v>640</v>
      </c>
      <c r="D84" s="206" t="s">
        <v>609</v>
      </c>
      <c r="E84" s="206" t="str">
        <f t="shared" si="2"/>
        <v>To elimination Intercompany loan Dummy - C x Dummy - A</v>
      </c>
      <c r="F84" s="213" t="s">
        <v>252</v>
      </c>
      <c r="G84" s="212"/>
      <c r="H84" s="212">
        <f>-'Detail Elimination BS'!L11</f>
        <v>-153971324257.52408</v>
      </c>
      <c r="I84" s="214">
        <f>SUM(G81:H84)</f>
        <v>0</v>
      </c>
    </row>
    <row r="85" spans="1:9" ht="15" customHeight="1">
      <c r="G85" s="212"/>
      <c r="H85" s="212"/>
    </row>
    <row r="86" spans="1:9" ht="15" customHeight="1">
      <c r="A86" s="206" t="s">
        <v>250</v>
      </c>
      <c r="B86" s="206" t="s">
        <v>668</v>
      </c>
      <c r="C86" s="206" t="s">
        <v>640</v>
      </c>
      <c r="D86" s="206" t="s">
        <v>461</v>
      </c>
      <c r="E86" s="206" t="str">
        <f t="shared" ref="E86:E87" si="3">CONCATENATE("To elimination Intercompany loan ",C86," x ",D86)</f>
        <v>To elimination Intercompany loan Dummy - C x Dummy G</v>
      </c>
      <c r="F86" s="206" t="s">
        <v>251</v>
      </c>
      <c r="G86" s="212">
        <f>-'Detail Elimination BS'!AB13</f>
        <v>7875000</v>
      </c>
      <c r="H86" s="212"/>
    </row>
    <row r="87" spans="1:9" ht="15" customHeight="1">
      <c r="A87" s="206" t="s">
        <v>250</v>
      </c>
      <c r="B87" s="206" t="s">
        <v>668</v>
      </c>
      <c r="C87" s="206" t="s">
        <v>640</v>
      </c>
      <c r="D87" s="206" t="s">
        <v>461</v>
      </c>
      <c r="E87" s="206" t="str">
        <f t="shared" si="3"/>
        <v>To elimination Intercompany loan Dummy - C x Dummy G</v>
      </c>
      <c r="F87" s="213" t="s">
        <v>252</v>
      </c>
      <c r="G87" s="212"/>
      <c r="H87" s="212">
        <f>-'Detail Elimination BS'!L13</f>
        <v>-7875000</v>
      </c>
      <c r="I87" s="214">
        <f>SUM(G86:H87)</f>
        <v>0</v>
      </c>
    </row>
    <row r="88" spans="1:9" ht="15" customHeight="1">
      <c r="G88" s="212"/>
      <c r="H88" s="212"/>
    </row>
    <row r="89" spans="1:9" ht="15" customHeight="1">
      <c r="A89" s="206" t="s">
        <v>250</v>
      </c>
      <c r="B89" s="206" t="s">
        <v>724</v>
      </c>
      <c r="C89" s="206" t="s">
        <v>688</v>
      </c>
      <c r="D89" s="206" t="s">
        <v>740</v>
      </c>
      <c r="E89" s="206" t="str">
        <f t="shared" ref="E89:E90" si="4">CONCATENATE("To elimination Intercompany loan ",C89," x ",D89)</f>
        <v>To elimination Intercompany loan Dummy - D x Dummy - E</v>
      </c>
      <c r="F89" s="206" t="s">
        <v>251</v>
      </c>
      <c r="G89" s="212">
        <f>-'BS RP Disclosure 2024'!O200</f>
        <v>5040938.7</v>
      </c>
      <c r="H89" s="212"/>
    </row>
    <row r="90" spans="1:9" ht="15" customHeight="1">
      <c r="A90" s="206" t="s">
        <v>250</v>
      </c>
      <c r="B90" s="206" t="s">
        <v>724</v>
      </c>
      <c r="C90" s="206" t="s">
        <v>688</v>
      </c>
      <c r="D90" s="206" t="s">
        <v>740</v>
      </c>
      <c r="E90" s="206" t="str">
        <f t="shared" si="4"/>
        <v>To elimination Intercompany loan Dummy - D x Dummy - E</v>
      </c>
      <c r="F90" s="213" t="s">
        <v>252</v>
      </c>
      <c r="G90" s="212"/>
      <c r="H90" s="212">
        <f>-'Detail Elimination BS'!L28</f>
        <v>-5040938.7</v>
      </c>
      <c r="I90" s="214">
        <f>SUM(G89:H90)</f>
        <v>0</v>
      </c>
    </row>
    <row r="91" spans="1:9" ht="15" customHeight="1">
      <c r="G91" s="212"/>
      <c r="H91" s="212"/>
    </row>
    <row r="92" spans="1:9" ht="15" customHeight="1">
      <c r="A92" s="206" t="s">
        <v>250</v>
      </c>
      <c r="B92" s="206" t="s">
        <v>725</v>
      </c>
      <c r="C92" s="206" t="s">
        <v>688</v>
      </c>
      <c r="D92" s="206" t="s">
        <v>465</v>
      </c>
      <c r="E92" s="206" t="str">
        <f t="shared" ref="E92:E93" si="5">CONCATENATE("To elimination Intercompany loan ",C92," x ",D92)</f>
        <v>To elimination Intercompany loan Dummy - D x Dummy F</v>
      </c>
      <c r="F92" s="206" t="s">
        <v>251</v>
      </c>
      <c r="G92" s="212">
        <f>-'Detail Elimination BS'!AB29</f>
        <v>676679678.32499993</v>
      </c>
      <c r="H92" s="212"/>
    </row>
    <row r="93" spans="1:9" ht="15" customHeight="1">
      <c r="A93" s="206" t="s">
        <v>250</v>
      </c>
      <c r="B93" s="206" t="s">
        <v>725</v>
      </c>
      <c r="C93" s="206" t="s">
        <v>688</v>
      </c>
      <c r="D93" s="206" t="s">
        <v>465</v>
      </c>
      <c r="E93" s="206" t="str">
        <f t="shared" si="5"/>
        <v>To elimination Intercompany loan Dummy - D x Dummy F</v>
      </c>
      <c r="F93" s="213" t="s">
        <v>252</v>
      </c>
      <c r="G93" s="212"/>
      <c r="H93" s="212">
        <f>-'Detail Elimination BS'!L29</f>
        <v>-676679678.32499993</v>
      </c>
      <c r="I93" s="214">
        <f>SUM(G92:H93)</f>
        <v>0</v>
      </c>
    </row>
    <row r="94" spans="1:9" ht="15" customHeight="1">
      <c r="G94" s="212"/>
      <c r="H94" s="212"/>
    </row>
    <row r="95" spans="1:9" ht="15" customHeight="1">
      <c r="A95" s="206" t="s">
        <v>250</v>
      </c>
      <c r="B95" s="206" t="s">
        <v>726</v>
      </c>
      <c r="C95" s="206" t="s">
        <v>688</v>
      </c>
      <c r="D95" s="206" t="s">
        <v>609</v>
      </c>
      <c r="E95" s="206" t="str">
        <f t="shared" ref="E95:E96" si="6">CONCATENATE("To elimination Intercompany loan ",C95," x ",D95)</f>
        <v>To elimination Intercompany loan Dummy - D x Dummy - A</v>
      </c>
      <c r="F95" s="206" t="s">
        <v>251</v>
      </c>
      <c r="G95" s="212">
        <f>-'Detail Elimination BS'!AB30</f>
        <v>18108179973.040501</v>
      </c>
      <c r="H95" s="212"/>
    </row>
    <row r="96" spans="1:9" ht="15" customHeight="1">
      <c r="A96" s="206" t="s">
        <v>250</v>
      </c>
      <c r="B96" s="206" t="s">
        <v>726</v>
      </c>
      <c r="C96" s="206" t="s">
        <v>688</v>
      </c>
      <c r="D96" s="206" t="s">
        <v>609</v>
      </c>
      <c r="E96" s="206" t="str">
        <f t="shared" si="6"/>
        <v>To elimination Intercompany loan Dummy - D x Dummy - A</v>
      </c>
      <c r="F96" s="213" t="s">
        <v>252</v>
      </c>
      <c r="G96" s="212"/>
      <c r="H96" s="212">
        <f>-'Detail Elimination BS'!L30</f>
        <v>-18108179973.040501</v>
      </c>
      <c r="I96" s="214">
        <f>SUM(G95:H96)</f>
        <v>0</v>
      </c>
    </row>
    <row r="97" spans="1:9" ht="15" customHeight="1">
      <c r="G97" s="212"/>
      <c r="H97" s="212"/>
    </row>
    <row r="98" spans="1:9" ht="15" customHeight="1">
      <c r="A98" s="206" t="s">
        <v>250</v>
      </c>
      <c r="B98" s="206" t="s">
        <v>757</v>
      </c>
      <c r="C98" s="206" t="s">
        <v>740</v>
      </c>
      <c r="D98" s="206" t="s">
        <v>640</v>
      </c>
      <c r="E98" s="206" t="str">
        <f t="shared" ref="E98:E99" si="7">CONCATENATE("To elimination Intercompany loan ",C98," x ",D98)</f>
        <v>To elimination Intercompany loan Dummy - E x Dummy - C</v>
      </c>
      <c r="F98" s="206" t="s">
        <v>251</v>
      </c>
      <c r="G98" s="212">
        <f>-H99</f>
        <v>787500000</v>
      </c>
      <c r="H98" s="212"/>
    </row>
    <row r="99" spans="1:9" ht="15" customHeight="1">
      <c r="A99" s="206" t="s">
        <v>250</v>
      </c>
      <c r="B99" s="206" t="s">
        <v>757</v>
      </c>
      <c r="C99" s="206" t="s">
        <v>740</v>
      </c>
      <c r="D99" s="206" t="s">
        <v>640</v>
      </c>
      <c r="E99" s="206" t="str">
        <f t="shared" si="7"/>
        <v>To elimination Intercompany loan Dummy - E x Dummy - C</v>
      </c>
      <c r="F99" s="213" t="s">
        <v>252</v>
      </c>
      <c r="G99" s="212"/>
      <c r="H99" s="212">
        <f>-'Detail Elimination BS'!L40</f>
        <v>-787500000</v>
      </c>
      <c r="I99" s="214">
        <f>SUM(G98:H99)</f>
        <v>0</v>
      </c>
    </row>
    <row r="100" spans="1:9" ht="15" customHeight="1">
      <c r="G100" s="212"/>
      <c r="H100" s="212"/>
    </row>
    <row r="101" spans="1:9" ht="15" customHeight="1">
      <c r="A101" s="206" t="s">
        <v>250</v>
      </c>
      <c r="B101" s="206" t="s">
        <v>758</v>
      </c>
      <c r="C101" s="206" t="s">
        <v>740</v>
      </c>
      <c r="D101" s="206" t="s">
        <v>688</v>
      </c>
      <c r="E101" s="206" t="str">
        <f t="shared" ref="E101:E102" si="8">CONCATENATE("To elimination Intercompany loan ",C101," x ",D101)</f>
        <v>To elimination Intercompany loan Dummy - E x Dummy - D</v>
      </c>
      <c r="F101" s="206" t="s">
        <v>251</v>
      </c>
      <c r="G101" s="212">
        <f>-H102</f>
        <v>21989142182.605499</v>
      </c>
      <c r="H101" s="212"/>
    </row>
    <row r="102" spans="1:9" ht="15" customHeight="1">
      <c r="A102" s="206" t="s">
        <v>250</v>
      </c>
      <c r="B102" s="206" t="s">
        <v>758</v>
      </c>
      <c r="C102" s="206" t="s">
        <v>740</v>
      </c>
      <c r="D102" s="206" t="s">
        <v>688</v>
      </c>
      <c r="E102" s="206" t="str">
        <f t="shared" si="8"/>
        <v>To elimination Intercompany loan Dummy - E x Dummy - D</v>
      </c>
      <c r="F102" s="213" t="s">
        <v>252</v>
      </c>
      <c r="G102" s="212"/>
      <c r="H102" s="212">
        <f>-'Detail Elimination BS'!L41</f>
        <v>-21989142182.605499</v>
      </c>
      <c r="I102" s="214">
        <f>SUM(G101:H102)</f>
        <v>0</v>
      </c>
    </row>
    <row r="103" spans="1:9" ht="15" customHeight="1">
      <c r="G103" s="212"/>
      <c r="H103" s="212"/>
    </row>
    <row r="104" spans="1:9" ht="15" customHeight="1">
      <c r="A104" s="206" t="s">
        <v>250</v>
      </c>
      <c r="B104" s="206" t="s">
        <v>784</v>
      </c>
      <c r="C104" s="206" t="s">
        <v>465</v>
      </c>
      <c r="D104" s="206" t="s">
        <v>640</v>
      </c>
      <c r="E104" s="206" t="str">
        <f t="shared" ref="E104:E105" si="9">CONCATENATE("To elimination Intercompany loan ",C104," x ",D104)</f>
        <v>To elimination Intercompany loan Dummy F x Dummy - C</v>
      </c>
      <c r="F104" s="206" t="s">
        <v>251</v>
      </c>
      <c r="G104" s="212">
        <f>-'Detail Elimination BS'!AB55</f>
        <v>19990821.375</v>
      </c>
      <c r="H104" s="212"/>
    </row>
    <row r="105" spans="1:9" ht="15" customHeight="1">
      <c r="A105" s="206" t="s">
        <v>250</v>
      </c>
      <c r="B105" s="206" t="s">
        <v>784</v>
      </c>
      <c r="C105" s="206" t="s">
        <v>465</v>
      </c>
      <c r="D105" s="206" t="s">
        <v>640</v>
      </c>
      <c r="E105" s="206" t="str">
        <f t="shared" si="9"/>
        <v>To elimination Intercompany loan Dummy F x Dummy - C</v>
      </c>
      <c r="F105" s="213" t="s">
        <v>252</v>
      </c>
      <c r="G105" s="212"/>
      <c r="H105" s="212">
        <f>-'Detail Elimination BS'!L55</f>
        <v>-19990821.028501082</v>
      </c>
      <c r="I105" s="214">
        <f>SUM(G104:H105)</f>
        <v>0.34649891778826714</v>
      </c>
    </row>
    <row r="106" spans="1:9" ht="15" customHeight="1">
      <c r="G106" s="212"/>
      <c r="H106" s="212"/>
    </row>
    <row r="107" spans="1:9" ht="15" customHeight="1">
      <c r="A107" s="206" t="s">
        <v>250</v>
      </c>
      <c r="B107" s="206" t="s">
        <v>785</v>
      </c>
      <c r="C107" s="206" t="s">
        <v>465</v>
      </c>
      <c r="D107" s="206" t="s">
        <v>688</v>
      </c>
      <c r="E107" s="206" t="str">
        <f t="shared" ref="E107:E108" si="10">CONCATENATE("To elimination Intercompany loan ",C107," x ",D107)</f>
        <v>To elimination Intercompany loan Dummy F x Dummy - D</v>
      </c>
      <c r="F107" s="206" t="s">
        <v>251</v>
      </c>
      <c r="G107" s="212">
        <f>-'Detail Elimination BS'!AB56</f>
        <v>15484319.093250001</v>
      </c>
      <c r="H107" s="212"/>
    </row>
    <row r="108" spans="1:9" ht="15" customHeight="1">
      <c r="A108" s="206" t="s">
        <v>250</v>
      </c>
      <c r="B108" s="206" t="s">
        <v>785</v>
      </c>
      <c r="C108" s="206" t="s">
        <v>465</v>
      </c>
      <c r="D108" s="206" t="s">
        <v>688</v>
      </c>
      <c r="E108" s="206" t="str">
        <f t="shared" si="10"/>
        <v>To elimination Intercompany loan Dummy F x Dummy - D</v>
      </c>
      <c r="F108" s="213" t="s">
        <v>252</v>
      </c>
      <c r="G108" s="212"/>
      <c r="H108" s="212">
        <f>-'Detail Elimination BS'!L56</f>
        <v>-15484319.093250006</v>
      </c>
      <c r="I108" s="214">
        <f>SUM(G107:H108)</f>
        <v>0</v>
      </c>
    </row>
    <row r="109" spans="1:9" ht="15" customHeight="1">
      <c r="G109" s="212"/>
      <c r="H109" s="212"/>
    </row>
    <row r="110" spans="1:9" ht="15" customHeight="1">
      <c r="A110" s="206" t="s">
        <v>250</v>
      </c>
      <c r="B110" s="206" t="s">
        <v>786</v>
      </c>
      <c r="C110" s="206" t="s">
        <v>465</v>
      </c>
      <c r="D110" s="206" t="s">
        <v>461</v>
      </c>
      <c r="E110" s="206" t="str">
        <f t="shared" ref="E110:E111" si="11">CONCATENATE("To elimination Intercompany loan ",C110," x ",D110)</f>
        <v>To elimination Intercompany loan Dummy F x Dummy G</v>
      </c>
      <c r="F110" s="206" t="s">
        <v>251</v>
      </c>
      <c r="G110" s="212">
        <f>-'Detail Elimination BS'!AB57</f>
        <v>152775000</v>
      </c>
      <c r="H110" s="212"/>
    </row>
    <row r="111" spans="1:9" ht="15" customHeight="1">
      <c r="A111" s="206" t="s">
        <v>250</v>
      </c>
      <c r="B111" s="206" t="s">
        <v>786</v>
      </c>
      <c r="C111" s="206" t="s">
        <v>465</v>
      </c>
      <c r="D111" s="206" t="s">
        <v>461</v>
      </c>
      <c r="E111" s="206" t="str">
        <f t="shared" si="11"/>
        <v>To elimination Intercompany loan Dummy F x Dummy G</v>
      </c>
      <c r="F111" s="213" t="s">
        <v>252</v>
      </c>
      <c r="G111" s="212"/>
      <c r="H111" s="212">
        <f>-'Detail Elimination BS'!L57</f>
        <v>-152775000</v>
      </c>
      <c r="I111" s="214">
        <f>SUM(G110:H111)</f>
        <v>0</v>
      </c>
    </row>
    <row r="112" spans="1:9" ht="15" customHeight="1">
      <c r="G112" s="212"/>
      <c r="H112" s="212"/>
    </row>
    <row r="113" spans="1:9" ht="15" customHeight="1">
      <c r="A113" s="206" t="s">
        <v>250</v>
      </c>
      <c r="B113" s="206" t="s">
        <v>787</v>
      </c>
      <c r="C113" s="206" t="s">
        <v>465</v>
      </c>
      <c r="D113" s="206" t="s">
        <v>609</v>
      </c>
      <c r="E113" s="206" t="str">
        <f t="shared" ref="E113:E114" si="12">CONCATENATE("To elimination Intercompany loan ",C113," x ",D113)</f>
        <v>To elimination Intercompany loan Dummy F x Dummy - A</v>
      </c>
      <c r="F113" s="206" t="s">
        <v>251</v>
      </c>
      <c r="G113" s="212">
        <f>-'Detail Elimination BS'!AB61</f>
        <v>22664430436.724998</v>
      </c>
      <c r="H113" s="212"/>
    </row>
    <row r="114" spans="1:9" ht="15" customHeight="1">
      <c r="A114" s="206" t="s">
        <v>250</v>
      </c>
      <c r="B114" s="206" t="s">
        <v>787</v>
      </c>
      <c r="C114" s="206" t="s">
        <v>465</v>
      </c>
      <c r="D114" s="206" t="s">
        <v>609</v>
      </c>
      <c r="E114" s="206" t="str">
        <f t="shared" si="12"/>
        <v>To elimination Intercompany loan Dummy F x Dummy - A</v>
      </c>
      <c r="F114" s="213" t="s">
        <v>252</v>
      </c>
      <c r="G114" s="212"/>
      <c r="H114" s="212">
        <f>-'Detail Elimination BS'!L61</f>
        <v>-22664430436.772247</v>
      </c>
      <c r="I114" s="214">
        <f>SUM(G113:H114)</f>
        <v>-4.724884033203125E-2</v>
      </c>
    </row>
    <row r="115" spans="1:9" ht="15" customHeight="1">
      <c r="G115" s="212"/>
      <c r="H115" s="212"/>
    </row>
    <row r="116" spans="1:9" ht="15" customHeight="1">
      <c r="A116" s="206" t="s">
        <v>250</v>
      </c>
      <c r="B116" s="206" t="s">
        <v>631</v>
      </c>
      <c r="C116" s="206" t="s">
        <v>609</v>
      </c>
      <c r="D116" s="206" t="s">
        <v>640</v>
      </c>
      <c r="E116" s="206" t="str">
        <f t="shared" ref="E116:E117" si="13">CONCATENATE("To elimination Intercompany loan ",C116," x ",D116)</f>
        <v>To elimination Intercompany loan Dummy - A x Dummy - C</v>
      </c>
      <c r="F116" s="206" t="s">
        <v>251</v>
      </c>
      <c r="G116" s="212">
        <f>-'Detail Elimination BS'!AB71*1.575</f>
        <v>39375000</v>
      </c>
      <c r="H116" s="212"/>
    </row>
    <row r="117" spans="1:9" ht="15" customHeight="1">
      <c r="A117" s="206" t="s">
        <v>250</v>
      </c>
      <c r="B117" s="206" t="s">
        <v>631</v>
      </c>
      <c r="C117" s="206" t="s">
        <v>609</v>
      </c>
      <c r="D117" s="206" t="s">
        <v>640</v>
      </c>
      <c r="E117" s="206" t="str">
        <f t="shared" si="13"/>
        <v>To elimination Intercompany loan Dummy - A x Dummy - C</v>
      </c>
      <c r="F117" s="213" t="s">
        <v>252</v>
      </c>
      <c r="G117" s="212"/>
      <c r="H117" s="212">
        <f>-'Detail Elimination BS'!L71*1.575</f>
        <v>-39375000</v>
      </c>
      <c r="I117" s="214">
        <f>SUM(G116:H117)</f>
        <v>0</v>
      </c>
    </row>
    <row r="118" spans="1:9" ht="15" customHeight="1">
      <c r="G118" s="212"/>
      <c r="H118" s="212"/>
    </row>
    <row r="119" spans="1:9" ht="15" customHeight="1">
      <c r="A119" s="206" t="s">
        <v>250</v>
      </c>
      <c r="B119" s="206" t="s">
        <v>632</v>
      </c>
      <c r="C119" s="206" t="s">
        <v>609</v>
      </c>
      <c r="D119" s="206" t="s">
        <v>461</v>
      </c>
      <c r="E119" s="206" t="str">
        <f t="shared" ref="E119:E120" si="14">CONCATENATE("To elimination Intercompany loan ",C119," x ",D119)</f>
        <v>To elimination Intercompany loan Dummy - A x Dummy G</v>
      </c>
      <c r="F119" s="206" t="s">
        <v>251</v>
      </c>
      <c r="G119" s="212">
        <f>-'Detail Elimination BS'!AB73*1.575</f>
        <v>86625000</v>
      </c>
      <c r="H119" s="212"/>
    </row>
    <row r="120" spans="1:9" ht="15" customHeight="1">
      <c r="A120" s="206" t="s">
        <v>250</v>
      </c>
      <c r="B120" s="206" t="s">
        <v>632</v>
      </c>
      <c r="C120" s="206" t="s">
        <v>609</v>
      </c>
      <c r="D120" s="206" t="s">
        <v>461</v>
      </c>
      <c r="E120" s="206" t="str">
        <f t="shared" si="14"/>
        <v>To elimination Intercompany loan Dummy - A x Dummy G</v>
      </c>
      <c r="F120" s="213" t="s">
        <v>252</v>
      </c>
      <c r="G120" s="212"/>
      <c r="H120" s="212">
        <f>-'Detail Elimination BS'!L73*1.575</f>
        <v>-86625000</v>
      </c>
      <c r="I120" s="214">
        <f>SUM(G119:H120)</f>
        <v>0</v>
      </c>
    </row>
    <row r="121" spans="1:9" ht="15" customHeight="1">
      <c r="G121" s="212"/>
      <c r="H121" s="212"/>
    </row>
    <row r="122" spans="1:9" ht="15" customHeight="1">
      <c r="B122" s="206" t="s">
        <v>669</v>
      </c>
      <c r="C122" s="206" t="s">
        <v>640</v>
      </c>
      <c r="D122" s="206" t="s">
        <v>609</v>
      </c>
      <c r="E122" s="206" t="str">
        <f>CONCATENATE("To elimination Other Receivable - Payable ",C122," x ",D122)</f>
        <v>To elimination Other Receivable - Payable Dummy - C x Dummy - A</v>
      </c>
      <c r="F122" s="206" t="s">
        <v>255</v>
      </c>
      <c r="G122" s="212">
        <f>-H123</f>
        <v>8417149098.75</v>
      </c>
      <c r="H122" s="212"/>
    </row>
    <row r="123" spans="1:9" ht="15" customHeight="1">
      <c r="B123" s="206" t="s">
        <v>669</v>
      </c>
      <c r="C123" s="206" t="s">
        <v>640</v>
      </c>
      <c r="D123" s="206" t="s">
        <v>609</v>
      </c>
      <c r="E123" s="206" t="str">
        <f>CONCATENATE("To elimination Other Receivable - Payable ",C123," x ",D123)</f>
        <v>To elimination Other Receivable - Payable Dummy - C x Dummy - A</v>
      </c>
      <c r="F123" s="213" t="s">
        <v>32</v>
      </c>
      <c r="G123" s="212"/>
      <c r="H123" s="212">
        <f>-'BS RP Disclosure 2024'!E105</f>
        <v>-8417149098.75</v>
      </c>
      <c r="I123" s="214">
        <f>SUM(G122:H123)</f>
        <v>0</v>
      </c>
    </row>
    <row r="124" spans="1:9" ht="15" customHeight="1">
      <c r="G124" s="212"/>
      <c r="H124" s="212"/>
    </row>
    <row r="125" spans="1:9" ht="15" customHeight="1">
      <c r="B125" s="206" t="s">
        <v>670</v>
      </c>
      <c r="C125" s="206" t="s">
        <v>640</v>
      </c>
      <c r="D125" s="206" t="s">
        <v>256</v>
      </c>
      <c r="E125" s="206" t="str">
        <f t="shared" ref="E125:E129" si="15">CONCATENATE("To elimination Other Receivable - Payable ",C125," x ",D125)</f>
        <v>To elimination Other Receivable - Payable Dummy - C x Subsidiaries</v>
      </c>
      <c r="F125" s="206" t="s">
        <v>257</v>
      </c>
      <c r="G125" s="212">
        <f>-SUM(H126:H129)</f>
        <v>17388891219.087864</v>
      </c>
      <c r="H125" s="212"/>
    </row>
    <row r="126" spans="1:9" ht="15" customHeight="1">
      <c r="B126" s="206" t="s">
        <v>670</v>
      </c>
      <c r="C126" s="206" t="s">
        <v>640</v>
      </c>
      <c r="D126" s="206" t="s">
        <v>688</v>
      </c>
      <c r="E126" s="206" t="str">
        <f t="shared" si="15"/>
        <v>To elimination Other Receivable - Payable Dummy - C x Dummy - D</v>
      </c>
      <c r="F126" s="213" t="s">
        <v>32</v>
      </c>
      <c r="G126" s="212"/>
      <c r="H126" s="212">
        <f>-'BS RP Disclosure 2024'!E103</f>
        <v>-14844232464.885111</v>
      </c>
    </row>
    <row r="127" spans="1:9" ht="15" customHeight="1">
      <c r="B127" s="206" t="s">
        <v>670</v>
      </c>
      <c r="C127" s="206" t="s">
        <v>640</v>
      </c>
      <c r="D127" s="206" t="s">
        <v>465</v>
      </c>
      <c r="E127" s="206" t="str">
        <f t="shared" si="15"/>
        <v>To elimination Other Receivable - Payable Dummy - C x Dummy F</v>
      </c>
      <c r="F127" s="213" t="s">
        <v>32</v>
      </c>
      <c r="G127" s="212"/>
      <c r="H127" s="212">
        <f>-'BS RP Disclosure 2024'!E104</f>
        <v>-1724530437.3384683</v>
      </c>
    </row>
    <row r="128" spans="1:9" ht="15" customHeight="1">
      <c r="B128" s="206" t="s">
        <v>670</v>
      </c>
      <c r="C128" s="206" t="s">
        <v>640</v>
      </c>
      <c r="D128" s="206" t="s">
        <v>802</v>
      </c>
      <c r="E128" s="206" t="str">
        <f t="shared" si="15"/>
        <v>To elimination Other Receivable - Payable Dummy - C x Dummy - I</v>
      </c>
      <c r="F128" s="213" t="s">
        <v>32</v>
      </c>
      <c r="G128" s="212"/>
      <c r="H128" s="212">
        <f>-'BS RP Disclosure 2024'!E106</f>
        <v>-574301635.27591431</v>
      </c>
    </row>
    <row r="129" spans="2:9" ht="15" customHeight="1">
      <c r="B129" s="206" t="s">
        <v>670</v>
      </c>
      <c r="C129" s="206" t="s">
        <v>640</v>
      </c>
      <c r="D129" s="206" t="s">
        <v>740</v>
      </c>
      <c r="E129" s="206" t="str">
        <f t="shared" si="15"/>
        <v>To elimination Other Receivable - Payable Dummy - C x Dummy - E</v>
      </c>
      <c r="F129" s="213" t="s">
        <v>32</v>
      </c>
      <c r="G129" s="212"/>
      <c r="H129" s="212">
        <f>-'BS RP Disclosure 2024'!E107</f>
        <v>-245826681.58836988</v>
      </c>
    </row>
    <row r="130" spans="2:9" ht="15" customHeight="1">
      <c r="G130" s="212"/>
      <c r="H130" s="212"/>
    </row>
    <row r="131" spans="2:9" ht="15" customHeight="1">
      <c r="B131" s="206" t="s">
        <v>671</v>
      </c>
      <c r="C131" s="206" t="s">
        <v>640</v>
      </c>
      <c r="D131" s="206" t="s">
        <v>688</v>
      </c>
      <c r="E131" s="206" t="str">
        <f>CONCATENATE("To elimination Other Receivable - Payable ",C131," x ",D131)</f>
        <v>To elimination Other Receivable - Payable Dummy - C x Dummy - D</v>
      </c>
      <c r="F131" s="206" t="s">
        <v>255</v>
      </c>
      <c r="G131" s="212">
        <f>-H132</f>
        <v>0</v>
      </c>
      <c r="H131" s="212"/>
    </row>
    <row r="132" spans="2:9" ht="15" customHeight="1">
      <c r="B132" s="206" t="s">
        <v>671</v>
      </c>
      <c r="C132" s="206" t="s">
        <v>640</v>
      </c>
      <c r="D132" s="206" t="s">
        <v>688</v>
      </c>
      <c r="E132" s="206" t="str">
        <f>CONCATENATE("To elimination Other Receivable - Payable ",C132," x ",D132)</f>
        <v>To elimination Other Receivable - Payable Dummy - C x Dummy - D</v>
      </c>
      <c r="F132" s="213" t="s">
        <v>32</v>
      </c>
      <c r="G132" s="212"/>
      <c r="H132" s="212"/>
      <c r="I132" s="214">
        <f>SUM(G131:H132)</f>
        <v>0</v>
      </c>
    </row>
    <row r="133" spans="2:9" ht="15" customHeight="1">
      <c r="G133" s="212"/>
      <c r="H133" s="212"/>
    </row>
    <row r="134" spans="2:9" ht="15" customHeight="1">
      <c r="B134" s="206" t="s">
        <v>727</v>
      </c>
      <c r="C134" s="206" t="s">
        <v>688</v>
      </c>
      <c r="D134" s="206" t="s">
        <v>609</v>
      </c>
      <c r="E134" s="206" t="str">
        <f t="shared" ref="E134:E135" si="16">CONCATENATE("To elimination Other Receivable - Payable ",C134," x ",D134)</f>
        <v>To elimination Other Receivable - Payable Dummy - D x Dummy - A</v>
      </c>
      <c r="F134" s="206" t="s">
        <v>257</v>
      </c>
      <c r="G134" s="212">
        <f>'Elimination 23'!G103</f>
        <v>1646439616.3284898</v>
      </c>
      <c r="H134" s="212"/>
    </row>
    <row r="135" spans="2:9" ht="15" customHeight="1">
      <c r="B135" s="206" t="s">
        <v>727</v>
      </c>
      <c r="C135" s="206" t="s">
        <v>688</v>
      </c>
      <c r="D135" s="206" t="s">
        <v>609</v>
      </c>
      <c r="E135" s="206" t="str">
        <f t="shared" si="16"/>
        <v>To elimination Other Receivable - Payable Dummy - D x Dummy - A</v>
      </c>
      <c r="F135" s="213" t="s">
        <v>32</v>
      </c>
      <c r="G135" s="212"/>
      <c r="H135" s="212">
        <f>-G134</f>
        <v>-1646439616.3284898</v>
      </c>
      <c r="I135" s="214">
        <f>SUM(G134:H135)</f>
        <v>0</v>
      </c>
    </row>
    <row r="136" spans="2:9" ht="15" customHeight="1">
      <c r="G136" s="212"/>
      <c r="H136" s="212"/>
    </row>
    <row r="137" spans="2:9" ht="15" customHeight="1">
      <c r="B137" s="206" t="s">
        <v>759</v>
      </c>
      <c r="C137" s="206" t="s">
        <v>740</v>
      </c>
      <c r="D137" s="206" t="s">
        <v>740</v>
      </c>
      <c r="E137" s="206" t="str">
        <f t="shared" ref="E137:E138" si="17">CONCATENATE("To elimination Other Receivable - Payable ",C137," x ",D137)</f>
        <v>To elimination Other Receivable - Payable Dummy - E x Dummy - E</v>
      </c>
      <c r="F137" s="206" t="s">
        <v>127</v>
      </c>
      <c r="G137" s="212">
        <f>'BS RP Disclosure 2024'!M103</f>
        <v>1804200964.6499999</v>
      </c>
      <c r="H137" s="212"/>
    </row>
    <row r="138" spans="2:9" ht="15" customHeight="1">
      <c r="B138" s="206" t="s">
        <v>759</v>
      </c>
      <c r="C138" s="206" t="s">
        <v>740</v>
      </c>
      <c r="D138" s="206" t="s">
        <v>740</v>
      </c>
      <c r="E138" s="206" t="str">
        <f t="shared" si="17"/>
        <v>To elimination Other Receivable - Payable Dummy - E x Dummy - E</v>
      </c>
      <c r="F138" s="213" t="s">
        <v>32</v>
      </c>
      <c r="G138" s="212"/>
      <c r="H138" s="212">
        <f>-G137</f>
        <v>-1804200964.6499999</v>
      </c>
      <c r="I138" s="214">
        <f>SUM(G137:H138)</f>
        <v>0</v>
      </c>
    </row>
    <row r="139" spans="2:9" ht="15" customHeight="1">
      <c r="G139" s="212"/>
      <c r="H139" s="212"/>
    </row>
    <row r="140" spans="2:9" ht="15" customHeight="1">
      <c r="B140" s="206" t="s">
        <v>728</v>
      </c>
      <c r="C140" s="206" t="s">
        <v>688</v>
      </c>
      <c r="D140" s="206" t="s">
        <v>640</v>
      </c>
      <c r="E140" s="206" t="str">
        <f t="shared" ref="E140:E141" si="18">CONCATENATE("To elimination Other Receivable - Payable ",C140," x ",D140)</f>
        <v>To elimination Other Receivable - Payable Dummy - D x Dummy - C</v>
      </c>
      <c r="F140" s="206" t="s">
        <v>68</v>
      </c>
      <c r="G140" s="212">
        <v>0</v>
      </c>
      <c r="H140" s="212"/>
    </row>
    <row r="141" spans="2:9" ht="15" customHeight="1">
      <c r="B141" s="206" t="s">
        <v>728</v>
      </c>
      <c r="C141" s="206" t="s">
        <v>688</v>
      </c>
      <c r="D141" s="206" t="s">
        <v>640</v>
      </c>
      <c r="E141" s="206" t="str">
        <f t="shared" si="18"/>
        <v>To elimination Other Receivable - Payable Dummy - D x Dummy - C</v>
      </c>
      <c r="F141" s="213" t="s">
        <v>32</v>
      </c>
      <c r="G141" s="212"/>
      <c r="H141" s="212">
        <v>0</v>
      </c>
      <c r="I141" s="214"/>
    </row>
    <row r="142" spans="2:9" ht="15" customHeight="1">
      <c r="G142" s="212"/>
      <c r="H142" s="212"/>
    </row>
    <row r="143" spans="2:9" ht="15" customHeight="1">
      <c r="B143" s="206" t="s">
        <v>728</v>
      </c>
      <c r="C143" s="206" t="s">
        <v>688</v>
      </c>
      <c r="D143" s="206" t="s">
        <v>465</v>
      </c>
      <c r="E143" s="206" t="str">
        <f t="shared" ref="E143:E144" si="19">CONCATENATE("To elimination Other Receivable - Payable ",C143," x ",D143)</f>
        <v>To elimination Other Receivable - Payable Dummy - D x Dummy F</v>
      </c>
      <c r="F143" s="206" t="s">
        <v>68</v>
      </c>
      <c r="G143" s="212">
        <f>-H144</f>
        <v>5120912990.0249996</v>
      </c>
      <c r="H143" s="212"/>
    </row>
    <row r="144" spans="2:9" ht="15" customHeight="1">
      <c r="B144" s="206" t="s">
        <v>728</v>
      </c>
      <c r="C144" s="206" t="s">
        <v>688</v>
      </c>
      <c r="D144" s="206" t="s">
        <v>465</v>
      </c>
      <c r="E144" s="206" t="str">
        <f t="shared" si="19"/>
        <v>To elimination Other Receivable - Payable Dummy - D x Dummy F</v>
      </c>
      <c r="F144" s="213" t="s">
        <v>32</v>
      </c>
      <c r="G144" s="212"/>
      <c r="H144" s="212">
        <f>-'Detail Elimination BS'!L166</f>
        <v>-5120912990.0249996</v>
      </c>
      <c r="I144" s="214">
        <f>SUM(G143:H144)</f>
        <v>0</v>
      </c>
    </row>
    <row r="145" spans="2:9" ht="15" customHeight="1">
      <c r="G145" s="212"/>
      <c r="H145" s="212"/>
    </row>
    <row r="146" spans="2:9" ht="15" customHeight="1">
      <c r="B146" s="206" t="s">
        <v>729</v>
      </c>
      <c r="C146" s="206" t="s">
        <v>688</v>
      </c>
      <c r="D146" s="206" t="s">
        <v>609</v>
      </c>
      <c r="E146" s="206" t="str">
        <f t="shared" ref="E146:E147" si="20">CONCATENATE("To elimination Other Receivable - Payable ",C146," x ",D146)</f>
        <v>To elimination Other Receivable - Payable Dummy - D x Dummy - A</v>
      </c>
      <c r="F146" s="206" t="s">
        <v>68</v>
      </c>
      <c r="G146" s="212">
        <f>-'BS RP Disclosure 2024'!V228</f>
        <v>58968108794.699997</v>
      </c>
      <c r="H146" s="212"/>
      <c r="I146" s="211"/>
    </row>
    <row r="147" spans="2:9" ht="15" customHeight="1">
      <c r="B147" s="206" t="s">
        <v>729</v>
      </c>
      <c r="C147" s="206" t="s">
        <v>688</v>
      </c>
      <c r="D147" s="206" t="s">
        <v>609</v>
      </c>
      <c r="E147" s="206" t="str">
        <f t="shared" si="20"/>
        <v>To elimination Other Receivable - Payable Dummy - D x Dummy - A</v>
      </c>
      <c r="F147" s="213" t="s">
        <v>32</v>
      </c>
      <c r="G147" s="212"/>
      <c r="H147" s="212">
        <f>-'BS RP Disclosure 2024'!L102</f>
        <v>-58968108794.699997</v>
      </c>
    </row>
    <row r="148" spans="2:9" ht="15" customHeight="1">
      <c r="G148" s="212"/>
      <c r="H148" s="212"/>
    </row>
    <row r="149" spans="2:9" ht="15" customHeight="1">
      <c r="B149" s="206" t="s">
        <v>672</v>
      </c>
      <c r="C149" s="206" t="s">
        <v>640</v>
      </c>
      <c r="D149" s="206" t="s">
        <v>465</v>
      </c>
      <c r="E149" s="206" t="str">
        <f>CONCATENATE("To elimination Other Unbilled - Accrued ",C149," x ",D149)</f>
        <v>To elimination Other Unbilled - Accrued Dummy - C x Dummy F</v>
      </c>
      <c r="F149" s="206" t="s">
        <v>258</v>
      </c>
      <c r="G149" s="212">
        <f>-'Detail Elimination BS'!AB183</f>
        <v>14774284577.31975</v>
      </c>
      <c r="H149" s="212"/>
    </row>
    <row r="150" spans="2:9" ht="15" customHeight="1">
      <c r="B150" s="206" t="s">
        <v>672</v>
      </c>
      <c r="C150" s="206" t="s">
        <v>640</v>
      </c>
      <c r="D150" s="206" t="s">
        <v>465</v>
      </c>
      <c r="E150" s="206" t="str">
        <f>CONCATENATE("To elimination Other Unbilled - Accrued ",C150," x ",D150)</f>
        <v>To elimination Other Unbilled - Accrued Dummy - C x Dummy F</v>
      </c>
      <c r="F150" s="213" t="s">
        <v>259</v>
      </c>
      <c r="G150" s="212"/>
      <c r="H150" s="212">
        <f>-'Detail Elimination BS'!L183</f>
        <v>-14774284578.375</v>
      </c>
    </row>
    <row r="151" spans="2:9" ht="15" customHeight="1">
      <c r="G151" s="212"/>
      <c r="H151" s="212"/>
    </row>
    <row r="152" spans="2:9" ht="15" customHeight="1">
      <c r="B152" s="206" t="s">
        <v>730</v>
      </c>
      <c r="C152" s="206" t="s">
        <v>688</v>
      </c>
      <c r="D152" s="206" t="s">
        <v>465</v>
      </c>
      <c r="E152" s="206" t="str">
        <f>CONCATENATE("To elimination Other Unbilled - Accrued ",C152," x ",D152)</f>
        <v>To elimination Other Unbilled - Accrued Dummy - D x Dummy F</v>
      </c>
      <c r="F152" s="206" t="s">
        <v>258</v>
      </c>
      <c r="G152" s="212">
        <f>-H153</f>
        <v>2204243023.5</v>
      </c>
      <c r="H152" s="212"/>
    </row>
    <row r="153" spans="2:9" ht="15" customHeight="1">
      <c r="B153" s="206" t="s">
        <v>730</v>
      </c>
      <c r="C153" s="206" t="s">
        <v>688</v>
      </c>
      <c r="D153" s="206" t="s">
        <v>465</v>
      </c>
      <c r="E153" s="206" t="str">
        <f>CONCATENATE("To elimination Other Unbilled - Accrued ",C153," x ",D153)</f>
        <v>To elimination Other Unbilled - Accrued Dummy - D x Dummy F</v>
      </c>
      <c r="F153" s="213" t="s">
        <v>259</v>
      </c>
      <c r="G153" s="212"/>
      <c r="H153" s="212">
        <f>-'Detail Elimination BS'!L200</f>
        <v>-2204243023.5</v>
      </c>
    </row>
    <row r="154" spans="2:9" ht="15" customHeight="1">
      <c r="G154" s="212"/>
      <c r="H154" s="212"/>
    </row>
    <row r="155" spans="2:9" ht="15" customHeight="1">
      <c r="B155" s="206" t="s">
        <v>788</v>
      </c>
      <c r="C155" s="206" t="s">
        <v>465</v>
      </c>
      <c r="D155" s="206" t="s">
        <v>640</v>
      </c>
      <c r="E155" s="206" t="str">
        <f>CONCATENATE("To elimination Other Unbilled - Accrued ",C155," x ",D155)</f>
        <v>To elimination Other Unbilled - Accrued Dummy F x Dummy - C</v>
      </c>
      <c r="F155" s="206" t="s">
        <v>258</v>
      </c>
      <c r="G155" s="212">
        <f>-'Detail Elimination BS'!AB215*1.575</f>
        <v>65017401.75</v>
      </c>
      <c r="H155" s="212"/>
    </row>
    <row r="156" spans="2:9" ht="15" customHeight="1">
      <c r="B156" s="206" t="s">
        <v>788</v>
      </c>
      <c r="C156" s="206" t="s">
        <v>465</v>
      </c>
      <c r="D156" s="206" t="s">
        <v>640</v>
      </c>
      <c r="E156" s="206" t="str">
        <f>CONCATENATE("To elimination Other Unbilled - Accrued ",C156," x ",D156)</f>
        <v>To elimination Other Unbilled - Accrued Dummy F x Dummy - C</v>
      </c>
      <c r="F156" s="213" t="s">
        <v>259</v>
      </c>
      <c r="G156" s="212"/>
      <c r="H156" s="212">
        <f>-G155</f>
        <v>-65017401.75</v>
      </c>
    </row>
    <row r="157" spans="2:9" ht="15" customHeight="1">
      <c r="G157" s="212"/>
      <c r="H157" s="212"/>
    </row>
    <row r="158" spans="2:9" ht="15" customHeight="1">
      <c r="B158" s="206" t="s">
        <v>789</v>
      </c>
      <c r="C158" s="206" t="s">
        <v>465</v>
      </c>
      <c r="D158" s="206" t="s">
        <v>640</v>
      </c>
      <c r="E158" s="206" t="str">
        <f>CONCATENATE("To elimination Other Unbilled - Accrued ",C158," x ",D158)</f>
        <v>To elimination Other Unbilled - Accrued Dummy F x Dummy - C</v>
      </c>
      <c r="F158" s="206" t="s">
        <v>258</v>
      </c>
      <c r="G158" s="212">
        <f>'Detail Elimination BS'!L216*1.575</f>
        <v>27137155002.299999</v>
      </c>
      <c r="H158" s="212"/>
    </row>
    <row r="159" spans="2:9" ht="15" customHeight="1">
      <c r="B159" s="206" t="s">
        <v>789</v>
      </c>
      <c r="C159" s="206" t="s">
        <v>465</v>
      </c>
      <c r="D159" s="206" t="s">
        <v>640</v>
      </c>
      <c r="E159" s="206" t="str">
        <f>CONCATENATE("To elimination Other Unbilled - Accrued ",C159," x ",D159)</f>
        <v>To elimination Other Unbilled - Accrued Dummy F x Dummy - C</v>
      </c>
      <c r="F159" s="213" t="s">
        <v>259</v>
      </c>
      <c r="G159" s="212"/>
      <c r="H159" s="212">
        <f>-G158</f>
        <v>-27137155002.299999</v>
      </c>
    </row>
    <row r="160" spans="2:9" ht="15" customHeight="1">
      <c r="G160" s="212"/>
      <c r="H160" s="212"/>
    </row>
    <row r="161" spans="2:8" ht="15" customHeight="1">
      <c r="B161" s="206" t="s">
        <v>790</v>
      </c>
      <c r="C161" s="206" t="s">
        <v>465</v>
      </c>
      <c r="D161" s="206" t="s">
        <v>688</v>
      </c>
      <c r="E161" s="206" t="str">
        <f>CONCATENATE("To elimination Other Unbilled - Accrued ",C161," x ",D161)</f>
        <v>To elimination Other Unbilled - Accrued Dummy F x Dummy - D</v>
      </c>
      <c r="F161" s="206" t="s">
        <v>258</v>
      </c>
      <c r="G161" s="212">
        <f>-'Detail Elimination BS'!AB217*1.575</f>
        <v>2142168528.1499999</v>
      </c>
      <c r="H161" s="212"/>
    </row>
    <row r="162" spans="2:8" ht="15" customHeight="1">
      <c r="B162" s="206" t="s">
        <v>790</v>
      </c>
      <c r="C162" s="206" t="s">
        <v>465</v>
      </c>
      <c r="D162" s="206" t="s">
        <v>688</v>
      </c>
      <c r="E162" s="206" t="str">
        <f>CONCATENATE("To elimination Other Unbilled - Accrued ",C162," x ",D162)</f>
        <v>To elimination Other Unbilled - Accrued Dummy F x Dummy - D</v>
      </c>
      <c r="F162" s="213" t="s">
        <v>259</v>
      </c>
      <c r="G162" s="212"/>
      <c r="H162" s="212">
        <f>-G161</f>
        <v>-2142168528.1499999</v>
      </c>
    </row>
    <row r="163" spans="2:8" ht="15" customHeight="1">
      <c r="G163" s="212"/>
      <c r="H163" s="212"/>
    </row>
    <row r="164" spans="2:8" ht="15" customHeight="1">
      <c r="B164" s="206" t="s">
        <v>633</v>
      </c>
      <c r="C164" s="206" t="s">
        <v>609</v>
      </c>
      <c r="D164" s="206" t="s">
        <v>640</v>
      </c>
      <c r="E164" s="206" t="str">
        <f>CONCATENATE("To elimination Other AR Trade - AP Trade ",C164," x ",D164)</f>
        <v>To elimination Other AR Trade - AP Trade Dummy - A x Dummy - C</v>
      </c>
      <c r="F164" s="206" t="s">
        <v>260</v>
      </c>
      <c r="G164" s="212">
        <f>-'BS RP Disclosure 2024'!E234</f>
        <v>1130613.75</v>
      </c>
      <c r="H164" s="212"/>
    </row>
    <row r="165" spans="2:8" ht="15" customHeight="1">
      <c r="B165" s="206" t="s">
        <v>633</v>
      </c>
      <c r="C165" s="206" t="s">
        <v>609</v>
      </c>
      <c r="D165" s="206" t="s">
        <v>640</v>
      </c>
      <c r="E165" s="206" t="str">
        <f>CONCATENATE("To elimination Other AR Trade - AP Trade ",C165," x ",D165)</f>
        <v>To elimination Other AR Trade - AP Trade Dummy - A x Dummy - C</v>
      </c>
      <c r="F165" s="213" t="s">
        <v>261</v>
      </c>
      <c r="G165" s="212"/>
      <c r="H165" s="212">
        <f>-'BS RP Disclosure 2024'!T15</f>
        <v>-1130613.75</v>
      </c>
    </row>
    <row r="166" spans="2:8" ht="15" customHeight="1">
      <c r="G166" s="212"/>
      <c r="H166" s="212"/>
    </row>
    <row r="167" spans="2:8" ht="15" customHeight="1">
      <c r="G167" s="212"/>
      <c r="H167" s="212"/>
    </row>
    <row r="168" spans="2:8" ht="15" customHeight="1">
      <c r="G168" s="212"/>
      <c r="H168" s="212"/>
    </row>
    <row r="169" spans="2:8" ht="15" customHeight="1">
      <c r="G169" s="212"/>
      <c r="H169" s="212"/>
    </row>
    <row r="170" spans="2:8" ht="15" customHeight="1">
      <c r="G170" s="212"/>
      <c r="H170" s="212"/>
    </row>
    <row r="171" spans="2:8" ht="15" customHeight="1">
      <c r="G171" s="212"/>
      <c r="H171" s="212"/>
    </row>
    <row r="172" spans="2:8" ht="15" customHeight="1">
      <c r="G172" s="212"/>
      <c r="H172" s="212"/>
    </row>
    <row r="173" spans="2:8" ht="15" customHeight="1">
      <c r="G173" s="212"/>
      <c r="H173" s="212"/>
    </row>
    <row r="174" spans="2:8" ht="15" customHeight="1">
      <c r="G174" s="212"/>
      <c r="H174" s="212"/>
    </row>
    <row r="175" spans="2:8" ht="15" customHeight="1">
      <c r="G175" s="212"/>
      <c r="H175" s="212"/>
    </row>
    <row r="176" spans="2:8" ht="15" customHeight="1">
      <c r="G176" s="212"/>
      <c r="H176" s="212"/>
    </row>
    <row r="177" spans="7:8" ht="15" customHeight="1">
      <c r="G177" s="212"/>
      <c r="H177" s="212"/>
    </row>
    <row r="178" spans="7:8" ht="15" customHeight="1">
      <c r="G178" s="212"/>
      <c r="H178" s="212"/>
    </row>
    <row r="179" spans="7:8" ht="15" customHeight="1">
      <c r="G179" s="212"/>
      <c r="H179" s="212"/>
    </row>
    <row r="180" spans="7:8" ht="15" customHeight="1">
      <c r="G180" s="212"/>
      <c r="H180" s="212"/>
    </row>
    <row r="181" spans="7:8" ht="15" customHeight="1">
      <c r="G181" s="212"/>
      <c r="H181" s="212"/>
    </row>
    <row r="182" spans="7:8" ht="15" customHeight="1">
      <c r="G182" s="212"/>
      <c r="H182" s="212"/>
    </row>
    <row r="183" spans="7:8" ht="15" customHeight="1">
      <c r="G183" s="212"/>
      <c r="H183" s="212"/>
    </row>
    <row r="184" spans="7:8" ht="15" customHeight="1">
      <c r="G184" s="212"/>
      <c r="H184" s="212"/>
    </row>
    <row r="185" spans="7:8" ht="15" customHeight="1">
      <c r="G185" s="212"/>
      <c r="H185" s="212"/>
    </row>
    <row r="186" spans="7:8" ht="15" customHeight="1">
      <c r="G186" s="212"/>
      <c r="H186" s="212"/>
    </row>
    <row r="187" spans="7:8" ht="15" customHeight="1">
      <c r="G187" s="212"/>
      <c r="H187" s="212"/>
    </row>
    <row r="188" spans="7:8" ht="15" customHeight="1">
      <c r="G188" s="212"/>
      <c r="H188" s="212"/>
    </row>
    <row r="189" spans="7:8" ht="15" customHeight="1">
      <c r="G189" s="212"/>
      <c r="H189" s="212"/>
    </row>
    <row r="190" spans="7:8" ht="15" customHeight="1">
      <c r="G190" s="212"/>
      <c r="H190" s="212"/>
    </row>
    <row r="191" spans="7:8" ht="15" customHeight="1">
      <c r="G191" s="212"/>
      <c r="H191" s="212"/>
    </row>
    <row r="192" spans="7:8" ht="15" customHeight="1">
      <c r="G192" s="212"/>
      <c r="H192" s="212"/>
    </row>
    <row r="193" spans="7:8" ht="15" customHeight="1">
      <c r="G193" s="212"/>
      <c r="H193" s="212"/>
    </row>
    <row r="194" spans="7:8" ht="15" customHeight="1">
      <c r="G194" s="212"/>
      <c r="H194" s="212"/>
    </row>
    <row r="195" spans="7:8" ht="15" customHeight="1">
      <c r="G195" s="212"/>
      <c r="H195" s="212"/>
    </row>
    <row r="196" spans="7:8" ht="15" customHeight="1">
      <c r="G196" s="212"/>
      <c r="H196" s="212"/>
    </row>
    <row r="197" spans="7:8" ht="15" customHeight="1"/>
    <row r="198" spans="7:8" ht="15" customHeight="1"/>
    <row r="199" spans="7:8" ht="15" customHeight="1"/>
    <row r="200" spans="7:8" ht="15" customHeight="1"/>
    <row r="201" spans="7:8" ht="15" customHeight="1"/>
    <row r="202" spans="7:8" ht="15" customHeight="1"/>
    <row r="203" spans="7:8" ht="15" customHeight="1"/>
    <row r="204" spans="7:8" ht="15" customHeight="1"/>
    <row r="205" spans="7:8" ht="15" customHeight="1"/>
    <row r="206" spans="7:8" ht="15" customHeight="1"/>
    <row r="207" spans="7:8" ht="15" customHeight="1"/>
    <row r="208" spans="7: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2271-5337-4122-A6B4-068EF5CB39A6}">
  <sheetPr>
    <tabColor rgb="FF002060"/>
  </sheetPr>
  <dimension ref="A2:L113"/>
  <sheetViews>
    <sheetView workbookViewId="0"/>
  </sheetViews>
  <sheetFormatPr defaultColWidth="14.453125" defaultRowHeight="12.5"/>
  <cols>
    <col min="1" max="1" width="4.453125" style="206" customWidth="1"/>
    <col min="2" max="2" width="26.453125" style="206" bestFit="1" customWidth="1"/>
    <col min="3" max="3" width="11.81640625" style="206" customWidth="1"/>
    <col min="4" max="4" width="14.453125" style="206"/>
    <col min="5" max="5" width="47.54296875" style="206" hidden="1" customWidth="1"/>
    <col min="6" max="6" width="33.26953125" style="206" customWidth="1"/>
    <col min="7" max="7" width="20.1796875" style="206" customWidth="1"/>
    <col min="8" max="8" width="18.1796875" style="206" customWidth="1"/>
    <col min="9" max="9" width="18.81640625" style="206" bestFit="1" customWidth="1"/>
    <col min="10" max="10" width="31.81640625" style="206" customWidth="1"/>
    <col min="11" max="11" width="29.81640625" style="206" customWidth="1"/>
    <col min="12" max="16384" width="14.453125" style="206"/>
  </cols>
  <sheetData>
    <row r="2" spans="1:11" ht="14.5">
      <c r="E2" s="207" t="s">
        <v>228</v>
      </c>
      <c r="F2" s="207" t="s">
        <v>229</v>
      </c>
      <c r="G2" s="208">
        <f>SUMIFS(G4:G814,C4:C814,"Adjusting")</f>
        <v>0</v>
      </c>
      <c r="H2" s="208">
        <f>SUMIFS(H4:H814,D4:D814,"Adjusting")</f>
        <v>0</v>
      </c>
      <c r="I2" s="208">
        <f>G2+H2</f>
        <v>0</v>
      </c>
    </row>
    <row r="3" spans="1:11" ht="14.5">
      <c r="C3" s="209" t="s">
        <v>230</v>
      </c>
    </row>
    <row r="4" spans="1:11" ht="14.5">
      <c r="B4" s="210" t="s">
        <v>231</v>
      </c>
      <c r="C4" s="210" t="s">
        <v>232</v>
      </c>
      <c r="D4" s="210" t="s">
        <v>233</v>
      </c>
      <c r="E4" s="210" t="s">
        <v>4</v>
      </c>
      <c r="F4" s="210" t="s">
        <v>234</v>
      </c>
      <c r="G4" s="210" t="s">
        <v>235</v>
      </c>
      <c r="H4" s="210" t="s">
        <v>236</v>
      </c>
      <c r="I4" s="210" t="s">
        <v>111</v>
      </c>
      <c r="J4" s="210" t="s">
        <v>237</v>
      </c>
      <c r="K4" s="210" t="s">
        <v>238</v>
      </c>
    </row>
    <row r="5" spans="1:11" ht="15" customHeight="1">
      <c r="G5" s="211"/>
      <c r="H5" s="211"/>
      <c r="I5" s="211"/>
    </row>
    <row r="6" spans="1:11" ht="14.5">
      <c r="A6" s="206" t="s">
        <v>250</v>
      </c>
      <c r="B6" s="206" t="s">
        <v>712</v>
      </c>
      <c r="C6" s="206" t="s">
        <v>640</v>
      </c>
      <c r="D6" s="206" t="s">
        <v>688</v>
      </c>
      <c r="E6" s="206" t="s">
        <v>709</v>
      </c>
      <c r="F6" s="206" t="s">
        <v>239</v>
      </c>
      <c r="G6" s="212">
        <f>-'Consol SoFP 23 &amp; 22'!K93</f>
        <v>651665345625</v>
      </c>
      <c r="H6" s="212"/>
    </row>
    <row r="7" spans="1:11" ht="15" customHeight="1">
      <c r="A7" s="206" t="s">
        <v>250</v>
      </c>
      <c r="B7" s="206" t="s">
        <v>712</v>
      </c>
      <c r="C7" s="206" t="s">
        <v>640</v>
      </c>
      <c r="D7" s="206" t="s">
        <v>688</v>
      </c>
      <c r="E7" s="206" t="s">
        <v>709</v>
      </c>
      <c r="F7" s="213" t="s">
        <v>240</v>
      </c>
      <c r="G7" s="212"/>
      <c r="H7" s="212">
        <f>-ROUND(G6*3.3%,0)</f>
        <v>-21504956406</v>
      </c>
    </row>
    <row r="8" spans="1:11" ht="15" customHeight="1">
      <c r="A8" s="206" t="s">
        <v>250</v>
      </c>
      <c r="B8" s="206" t="s">
        <v>712</v>
      </c>
      <c r="C8" s="206" t="s">
        <v>640</v>
      </c>
      <c r="D8" s="206" t="s">
        <v>688</v>
      </c>
      <c r="E8" s="206" t="s">
        <v>709</v>
      </c>
      <c r="F8" s="213" t="s">
        <v>488</v>
      </c>
      <c r="G8" s="212"/>
      <c r="H8" s="212">
        <v>0</v>
      </c>
      <c r="J8" s="211"/>
    </row>
    <row r="9" spans="1:11" ht="15" customHeight="1">
      <c r="A9" s="206" t="s">
        <v>250</v>
      </c>
      <c r="B9" s="206" t="s">
        <v>712</v>
      </c>
      <c r="C9" s="206" t="s">
        <v>640</v>
      </c>
      <c r="D9" s="206" t="s">
        <v>688</v>
      </c>
      <c r="E9" s="206" t="s">
        <v>709</v>
      </c>
      <c r="F9" s="213" t="s">
        <v>241</v>
      </c>
      <c r="G9" s="212"/>
      <c r="H9" s="212">
        <f>-G6-H7</f>
        <v>-630160389219</v>
      </c>
      <c r="I9" s="212">
        <f>SUM(G6:H9)</f>
        <v>0</v>
      </c>
    </row>
    <row r="10" spans="1:11" ht="15" customHeight="1">
      <c r="G10" s="212"/>
      <c r="H10" s="212"/>
      <c r="I10" s="211"/>
    </row>
    <row r="11" spans="1:11" ht="15" customHeight="1">
      <c r="A11" s="206" t="s">
        <v>250</v>
      </c>
      <c r="B11" s="206" t="s">
        <v>713</v>
      </c>
      <c r="C11" s="206" t="s">
        <v>640</v>
      </c>
      <c r="D11" s="206" t="s">
        <v>688</v>
      </c>
      <c r="E11" s="206" t="s">
        <v>714</v>
      </c>
      <c r="F11" s="206" t="s">
        <v>240</v>
      </c>
      <c r="G11" s="212">
        <f>-SUM(H14:H15)*3.3%</f>
        <v>36802732225.844223</v>
      </c>
      <c r="H11" s="212"/>
    </row>
    <row r="12" spans="1:11" ht="15" customHeight="1">
      <c r="A12" s="206" t="s">
        <v>250</v>
      </c>
      <c r="B12" s="206" t="s">
        <v>713</v>
      </c>
      <c r="C12" s="206" t="s">
        <v>640</v>
      </c>
      <c r="D12" s="206" t="s">
        <v>688</v>
      </c>
      <c r="E12" s="206" t="s">
        <v>714</v>
      </c>
      <c r="F12" s="206" t="s">
        <v>241</v>
      </c>
      <c r="G12" s="212">
        <f>-H14*96.7%</f>
        <v>495138930355.45734</v>
      </c>
      <c r="H12" s="212"/>
      <c r="I12" s="211"/>
    </row>
    <row r="13" spans="1:11" ht="15" customHeight="1">
      <c r="A13" s="206" t="s">
        <v>250</v>
      </c>
      <c r="B13" s="206" t="s">
        <v>713</v>
      </c>
      <c r="C13" s="206" t="s">
        <v>640</v>
      </c>
      <c r="D13" s="206" t="s">
        <v>688</v>
      </c>
      <c r="E13" s="206" t="s">
        <v>714</v>
      </c>
      <c r="F13" s="206" t="s">
        <v>242</v>
      </c>
      <c r="G13" s="212">
        <f>-H15*96.7%</f>
        <v>583292647292.76575</v>
      </c>
      <c r="H13" s="212"/>
    </row>
    <row r="14" spans="1:11" ht="15" customHeight="1">
      <c r="A14" s="206" t="s">
        <v>250</v>
      </c>
      <c r="B14" s="206" t="s">
        <v>713</v>
      </c>
      <c r="C14" s="206" t="s">
        <v>640</v>
      </c>
      <c r="D14" s="206" t="s">
        <v>688</v>
      </c>
      <c r="E14" s="206" t="s">
        <v>714</v>
      </c>
      <c r="F14" s="213" t="s">
        <v>243</v>
      </c>
      <c r="G14" s="212"/>
      <c r="H14" s="212">
        <f>-'Consol SoFP 23 &amp; 22'!K101</f>
        <v>-512036122394.47498</v>
      </c>
      <c r="I14" s="211"/>
      <c r="J14" s="213"/>
    </row>
    <row r="15" spans="1:11" ht="15" customHeight="1">
      <c r="A15" s="206" t="s">
        <v>250</v>
      </c>
      <c r="B15" s="206" t="s">
        <v>713</v>
      </c>
      <c r="C15" s="206" t="s">
        <v>640</v>
      </c>
      <c r="D15" s="206" t="s">
        <v>688</v>
      </c>
      <c r="E15" s="206" t="s">
        <v>714</v>
      </c>
      <c r="F15" s="213" t="s">
        <v>244</v>
      </c>
      <c r="G15" s="212"/>
      <c r="H15" s="212">
        <f>-'Consol SoFP 23 &amp; 22'!K102</f>
        <v>-603198187479.59229</v>
      </c>
      <c r="I15" s="211">
        <f>SUM(G11:H15)</f>
        <v>0</v>
      </c>
    </row>
    <row r="17" spans="1:9" ht="15" customHeight="1">
      <c r="A17" s="206" t="s">
        <v>250</v>
      </c>
      <c r="B17" s="206" t="s">
        <v>715</v>
      </c>
      <c r="C17" s="206" t="s">
        <v>640</v>
      </c>
      <c r="D17" s="206" t="s">
        <v>688</v>
      </c>
      <c r="E17" s="206" t="s">
        <v>245</v>
      </c>
      <c r="F17" s="206" t="s">
        <v>246</v>
      </c>
      <c r="G17" s="212">
        <f>-'Consol SoFP 23 &amp; 22'!K97</f>
        <v>4546525491.8999996</v>
      </c>
      <c r="H17" s="212"/>
    </row>
    <row r="18" spans="1:9" ht="15" customHeight="1">
      <c r="A18" s="206" t="s">
        <v>250</v>
      </c>
      <c r="B18" s="206" t="s">
        <v>715</v>
      </c>
      <c r="C18" s="206" t="s">
        <v>640</v>
      </c>
      <c r="D18" s="206" t="s">
        <v>688</v>
      </c>
      <c r="E18" s="206" t="s">
        <v>245</v>
      </c>
      <c r="F18" s="206" t="s">
        <v>247</v>
      </c>
      <c r="G18" s="212">
        <f>-'Consol SoFP 23 &amp; 22'!K98</f>
        <v>7005370700.4749994</v>
      </c>
      <c r="H18" s="212"/>
    </row>
    <row r="19" spans="1:9" ht="15" customHeight="1">
      <c r="A19" s="206" t="s">
        <v>250</v>
      </c>
      <c r="B19" s="206" t="s">
        <v>715</v>
      </c>
      <c r="C19" s="206" t="s">
        <v>640</v>
      </c>
      <c r="D19" s="206" t="s">
        <v>688</v>
      </c>
      <c r="E19" s="206" t="s">
        <v>245</v>
      </c>
      <c r="F19" s="213" t="s">
        <v>240</v>
      </c>
      <c r="G19" s="212"/>
      <c r="H19" s="212">
        <f>-ROUND(SUM(G17:G18)*3.3%,0)</f>
        <v>-381212574</v>
      </c>
      <c r="I19" s="211"/>
    </row>
    <row r="20" spans="1:9" ht="15" customHeight="1">
      <c r="A20" s="206" t="s">
        <v>250</v>
      </c>
      <c r="B20" s="206" t="s">
        <v>715</v>
      </c>
      <c r="C20" s="206" t="s">
        <v>640</v>
      </c>
      <c r="D20" s="206" t="s">
        <v>688</v>
      </c>
      <c r="E20" s="206" t="s">
        <v>245</v>
      </c>
      <c r="F20" s="213" t="s">
        <v>241</v>
      </c>
      <c r="G20" s="212"/>
      <c r="H20" s="212">
        <f>-SUM(G17:G18)-H19</f>
        <v>-11170683618.375</v>
      </c>
      <c r="I20" s="211">
        <f>SUM(G17:H20)</f>
        <v>0</v>
      </c>
    </row>
    <row r="21" spans="1:9" ht="15" customHeight="1">
      <c r="G21" s="212"/>
      <c r="H21" s="212"/>
      <c r="I21" s="214"/>
    </row>
    <row r="22" spans="1:9" ht="15" customHeight="1">
      <c r="A22" s="206" t="s">
        <v>250</v>
      </c>
      <c r="B22" s="206" t="s">
        <v>716</v>
      </c>
      <c r="C22" s="206" t="s">
        <v>640</v>
      </c>
      <c r="D22" s="206" t="s">
        <v>688</v>
      </c>
      <c r="E22" s="206" t="s">
        <v>717</v>
      </c>
      <c r="F22" s="206" t="s">
        <v>248</v>
      </c>
      <c r="G22" s="212">
        <f>-'Consol SoFP 23 &amp; 22'!K104</f>
        <v>1737361930.5</v>
      </c>
      <c r="H22" s="212"/>
    </row>
    <row r="23" spans="1:9" ht="15" customHeight="1">
      <c r="A23" s="206" t="s">
        <v>250</v>
      </c>
      <c r="B23" s="206" t="s">
        <v>716</v>
      </c>
      <c r="C23" s="206" t="s">
        <v>640</v>
      </c>
      <c r="D23" s="206" t="s">
        <v>688</v>
      </c>
      <c r="E23" s="206" t="s">
        <v>717</v>
      </c>
      <c r="F23" s="206" t="s">
        <v>249</v>
      </c>
      <c r="G23" s="212">
        <f>-'Consol SoFP 23 &amp; 22'!K105</f>
        <v>841103516.92499995</v>
      </c>
      <c r="H23" s="212"/>
    </row>
    <row r="24" spans="1:9" ht="15" customHeight="1">
      <c r="A24" s="206" t="s">
        <v>250</v>
      </c>
      <c r="B24" s="206" t="s">
        <v>716</v>
      </c>
      <c r="C24" s="206" t="s">
        <v>640</v>
      </c>
      <c r="D24" s="206" t="s">
        <v>688</v>
      </c>
      <c r="E24" s="206" t="s">
        <v>717</v>
      </c>
      <c r="F24" s="213" t="s">
        <v>240</v>
      </c>
      <c r="G24" s="212"/>
      <c r="H24" s="212">
        <f>-ROUND(SUM(G22:G23)*3.3%,0)</f>
        <v>-85089360</v>
      </c>
      <c r="I24" s="211"/>
    </row>
    <row r="25" spans="1:9" ht="15" customHeight="1">
      <c r="A25" s="206" t="s">
        <v>250</v>
      </c>
      <c r="B25" s="206" t="s">
        <v>716</v>
      </c>
      <c r="C25" s="206" t="s">
        <v>640</v>
      </c>
      <c r="D25" s="206" t="s">
        <v>688</v>
      </c>
      <c r="E25" s="206" t="s">
        <v>717</v>
      </c>
      <c r="F25" s="213" t="s">
        <v>241</v>
      </c>
      <c r="G25" s="212"/>
      <c r="H25" s="212">
        <f>-ROUND(G22*96.7%,0)</f>
        <v>-1680028987</v>
      </c>
      <c r="I25" s="211"/>
    </row>
    <row r="26" spans="1:9" ht="15" customHeight="1">
      <c r="A26" s="206" t="s">
        <v>250</v>
      </c>
      <c r="B26" s="206" t="s">
        <v>716</v>
      </c>
      <c r="C26" s="206" t="s">
        <v>640</v>
      </c>
      <c r="D26" s="206" t="s">
        <v>688</v>
      </c>
      <c r="E26" s="206" t="s">
        <v>717</v>
      </c>
      <c r="F26" s="213" t="s">
        <v>242</v>
      </c>
      <c r="G26" s="212"/>
      <c r="H26" s="212">
        <f>-ROUND(G23*96.7%,0)</f>
        <v>-813347101</v>
      </c>
      <c r="I26" s="211">
        <f>SUM(G22:H26)</f>
        <v>-0.57499980926513672</v>
      </c>
    </row>
    <row r="27" spans="1:9" ht="15" customHeight="1">
      <c r="G27" s="212"/>
      <c r="H27" s="212"/>
      <c r="I27" s="214"/>
    </row>
    <row r="28" spans="1:9" ht="14.5">
      <c r="A28" s="206" t="s">
        <v>250</v>
      </c>
      <c r="B28" s="206" t="s">
        <v>751</v>
      </c>
      <c r="C28" s="206" t="s">
        <v>640</v>
      </c>
      <c r="D28" s="206" t="s">
        <v>740</v>
      </c>
      <c r="E28" s="206" t="s">
        <v>506</v>
      </c>
      <c r="F28" s="206" t="s">
        <v>239</v>
      </c>
      <c r="G28" s="212">
        <f>-'Consol SoFP 23 &amp; 22'!N93</f>
        <v>23625000</v>
      </c>
      <c r="H28" s="212"/>
    </row>
    <row r="29" spans="1:9" ht="15" customHeight="1">
      <c r="A29" s="206" t="s">
        <v>250</v>
      </c>
      <c r="B29" s="206" t="s">
        <v>751</v>
      </c>
      <c r="C29" s="206" t="s">
        <v>640</v>
      </c>
      <c r="D29" s="206" t="s">
        <v>740</v>
      </c>
      <c r="E29" s="206" t="s">
        <v>506</v>
      </c>
      <c r="F29" s="213" t="s">
        <v>240</v>
      </c>
      <c r="G29" s="212"/>
      <c r="H29" s="212">
        <f>-G28*51%</f>
        <v>-12048750</v>
      </c>
    </row>
    <row r="30" spans="1:9" ht="15" customHeight="1">
      <c r="A30" s="206" t="s">
        <v>250</v>
      </c>
      <c r="B30" s="206" t="s">
        <v>751</v>
      </c>
      <c r="C30" s="206" t="s">
        <v>640</v>
      </c>
      <c r="D30" s="206" t="s">
        <v>740</v>
      </c>
      <c r="E30" s="206" t="s">
        <v>506</v>
      </c>
      <c r="F30" s="213" t="s">
        <v>241</v>
      </c>
      <c r="G30" s="212"/>
      <c r="H30" s="212">
        <f>-SUM(G28,H29)</f>
        <v>-11576250</v>
      </c>
      <c r="I30" s="212">
        <f>SUM(G28:H30)</f>
        <v>0</v>
      </c>
    </row>
    <row r="31" spans="1:9" ht="15" customHeight="1">
      <c r="G31" s="212"/>
      <c r="H31" s="212"/>
      <c r="I31" s="211"/>
    </row>
    <row r="32" spans="1:9" ht="15" customHeight="1">
      <c r="A32" s="206" t="s">
        <v>250</v>
      </c>
      <c r="B32" s="206" t="s">
        <v>752</v>
      </c>
      <c r="C32" s="206" t="s">
        <v>640</v>
      </c>
      <c r="D32" s="206" t="s">
        <v>740</v>
      </c>
      <c r="E32" s="206" t="s">
        <v>510</v>
      </c>
      <c r="F32" s="206" t="s">
        <v>244</v>
      </c>
      <c r="G32" s="212">
        <f>-'Consol SoFP 23 &amp; 22'!N102</f>
        <v>2677772539</v>
      </c>
      <c r="H32" s="212"/>
    </row>
    <row r="33" spans="1:9" ht="15" customHeight="1">
      <c r="A33" s="206" t="s">
        <v>250</v>
      </c>
      <c r="B33" s="206" t="s">
        <v>752</v>
      </c>
      <c r="C33" s="206" t="s">
        <v>640</v>
      </c>
      <c r="D33" s="206" t="s">
        <v>740</v>
      </c>
      <c r="E33" s="206" t="s">
        <v>510</v>
      </c>
      <c r="F33" s="206" t="s">
        <v>241</v>
      </c>
      <c r="G33" s="212">
        <f>-H36*49%</f>
        <v>138483220.53825</v>
      </c>
      <c r="H33" s="212"/>
    </row>
    <row r="34" spans="1:9" ht="15" customHeight="1">
      <c r="A34" s="206" t="s">
        <v>250</v>
      </c>
      <c r="B34" s="206" t="s">
        <v>752</v>
      </c>
      <c r="C34" s="206" t="s">
        <v>640</v>
      </c>
      <c r="D34" s="206" t="s">
        <v>740</v>
      </c>
      <c r="E34" s="206" t="s">
        <v>510</v>
      </c>
      <c r="F34" s="206" t="s">
        <v>240</v>
      </c>
      <c r="G34" s="212"/>
      <c r="H34" s="212">
        <f>-(G32+H36)*51%</f>
        <v>-1221528398.0032499</v>
      </c>
      <c r="I34" s="212"/>
    </row>
    <row r="35" spans="1:9" ht="15" customHeight="1">
      <c r="A35" s="206" t="s">
        <v>250</v>
      </c>
      <c r="B35" s="206" t="s">
        <v>752</v>
      </c>
      <c r="C35" s="206" t="s">
        <v>640</v>
      </c>
      <c r="D35" s="206" t="s">
        <v>740</v>
      </c>
      <c r="E35" s="206" t="s">
        <v>510</v>
      </c>
      <c r="F35" s="213" t="s">
        <v>242</v>
      </c>
      <c r="G35" s="212"/>
      <c r="H35" s="212">
        <f>-G32*49%</f>
        <v>-1312108544.1099999</v>
      </c>
      <c r="I35" s="212"/>
    </row>
    <row r="36" spans="1:9" ht="15" customHeight="1">
      <c r="A36" s="206" t="s">
        <v>250</v>
      </c>
      <c r="B36" s="206" t="s">
        <v>752</v>
      </c>
      <c r="C36" s="206" t="s">
        <v>640</v>
      </c>
      <c r="D36" s="206" t="s">
        <v>740</v>
      </c>
      <c r="E36" s="206" t="s">
        <v>510</v>
      </c>
      <c r="F36" s="213" t="s">
        <v>243</v>
      </c>
      <c r="G36" s="212"/>
      <c r="H36" s="212">
        <f>-'Consol SoFP 23 &amp; 22'!N101</f>
        <v>-282618817.42500001</v>
      </c>
      <c r="I36" s="212">
        <f>SUM(G32:H36)</f>
        <v>0</v>
      </c>
    </row>
    <row r="37" spans="1:9" ht="15" customHeight="1">
      <c r="G37" s="212"/>
      <c r="H37" s="212"/>
    </row>
    <row r="38" spans="1:9" ht="14.5">
      <c r="A38" s="206" t="s">
        <v>250</v>
      </c>
      <c r="B38" s="206" t="s">
        <v>777</v>
      </c>
      <c r="C38" s="206" t="s">
        <v>640</v>
      </c>
      <c r="D38" s="206" t="s">
        <v>465</v>
      </c>
      <c r="E38" s="206" t="s">
        <v>506</v>
      </c>
      <c r="F38" s="206" t="s">
        <v>239</v>
      </c>
      <c r="G38" s="212">
        <f>-'Consol SoFP 23 &amp; 22'!Q93</f>
        <v>4921875000</v>
      </c>
      <c r="H38" s="212"/>
    </row>
    <row r="39" spans="1:9" ht="15" customHeight="1">
      <c r="A39" s="206" t="s">
        <v>250</v>
      </c>
      <c r="B39" s="206" t="s">
        <v>777</v>
      </c>
      <c r="C39" s="206" t="s">
        <v>640</v>
      </c>
      <c r="D39" s="206" t="s">
        <v>465</v>
      </c>
      <c r="E39" s="206" t="s">
        <v>506</v>
      </c>
      <c r="F39" s="213" t="s">
        <v>240</v>
      </c>
      <c r="G39" s="212"/>
      <c r="H39" s="212">
        <f>ROUND(-G38*51%,0)</f>
        <v>-2510156250</v>
      </c>
    </row>
    <row r="40" spans="1:9" ht="15" customHeight="1">
      <c r="A40" s="206" t="s">
        <v>250</v>
      </c>
      <c r="B40" s="206" t="s">
        <v>777</v>
      </c>
      <c r="C40" s="206" t="s">
        <v>640</v>
      </c>
      <c r="D40" s="206" t="s">
        <v>465</v>
      </c>
      <c r="E40" s="206" t="s">
        <v>506</v>
      </c>
      <c r="F40" s="213" t="s">
        <v>241</v>
      </c>
      <c r="G40" s="212"/>
      <c r="H40" s="212">
        <f>-SUM(G38,H39)</f>
        <v>-2411718750</v>
      </c>
      <c r="I40" s="212">
        <f>SUM(G38:H40)</f>
        <v>0</v>
      </c>
    </row>
    <row r="42" spans="1:9" ht="15" customHeight="1">
      <c r="A42" s="206" t="s">
        <v>250</v>
      </c>
      <c r="B42" s="206" t="s">
        <v>778</v>
      </c>
      <c r="C42" s="206" t="s">
        <v>640</v>
      </c>
      <c r="D42" s="206" t="s">
        <v>465</v>
      </c>
      <c r="E42" s="206" t="s">
        <v>510</v>
      </c>
      <c r="F42" s="206" t="s">
        <v>243</v>
      </c>
      <c r="G42" s="212">
        <f>-'Consol SoFP 23 &amp; 22'!Q101</f>
        <v>10758025408.725</v>
      </c>
      <c r="H42" s="212"/>
    </row>
    <row r="43" spans="1:9" ht="15" customHeight="1">
      <c r="A43" s="206" t="s">
        <v>250</v>
      </c>
      <c r="B43" s="206" t="s">
        <v>778</v>
      </c>
      <c r="C43" s="206" t="s">
        <v>640</v>
      </c>
      <c r="D43" s="206" t="s">
        <v>465</v>
      </c>
      <c r="E43" s="206" t="s">
        <v>510</v>
      </c>
      <c r="F43" s="206" t="s">
        <v>244</v>
      </c>
      <c r="G43" s="212">
        <f>-'Consol SoFP 23 &amp; 22'!Q102</f>
        <v>1013465132</v>
      </c>
      <c r="H43" s="212"/>
    </row>
    <row r="44" spans="1:9" ht="15" customHeight="1">
      <c r="A44" s="206" t="s">
        <v>250</v>
      </c>
      <c r="B44" s="206" t="s">
        <v>778</v>
      </c>
      <c r="C44" s="206" t="s">
        <v>640</v>
      </c>
      <c r="D44" s="206" t="s">
        <v>465</v>
      </c>
      <c r="E44" s="206" t="s">
        <v>510</v>
      </c>
      <c r="F44" s="213" t="s">
        <v>240</v>
      </c>
      <c r="G44" s="212"/>
      <c r="H44" s="212">
        <f>ROUND(-SUM(G42:G43)*51%,0)</f>
        <v>-6003460176</v>
      </c>
    </row>
    <row r="45" spans="1:9" ht="15" customHeight="1">
      <c r="A45" s="206" t="s">
        <v>250</v>
      </c>
      <c r="B45" s="206" t="s">
        <v>778</v>
      </c>
      <c r="C45" s="206" t="s">
        <v>640</v>
      </c>
      <c r="D45" s="206" t="s">
        <v>465</v>
      </c>
      <c r="E45" s="206" t="s">
        <v>510</v>
      </c>
      <c r="F45" s="213" t="s">
        <v>241</v>
      </c>
      <c r="G45" s="212"/>
      <c r="H45" s="212">
        <f>ROUND(-G42*49%,0)</f>
        <v>-5271432450</v>
      </c>
      <c r="I45" s="212"/>
    </row>
    <row r="46" spans="1:9" ht="15" customHeight="1">
      <c r="A46" s="206" t="s">
        <v>250</v>
      </c>
      <c r="B46" s="206" t="s">
        <v>778</v>
      </c>
      <c r="C46" s="206" t="s">
        <v>640</v>
      </c>
      <c r="D46" s="206" t="s">
        <v>465</v>
      </c>
      <c r="E46" s="206" t="s">
        <v>510</v>
      </c>
      <c r="F46" s="213" t="s">
        <v>242</v>
      </c>
      <c r="G46" s="212"/>
      <c r="H46" s="212">
        <f>ROUND(-G43*49%,0)</f>
        <v>-496597915</v>
      </c>
      <c r="I46" s="212">
        <f>SUM(G42:H46)</f>
        <v>-0.27499961853027344</v>
      </c>
    </row>
    <row r="47" spans="1:9" ht="15" customHeight="1">
      <c r="G47" s="212"/>
      <c r="H47" s="212"/>
    </row>
    <row r="48" spans="1:9" ht="14.5">
      <c r="A48" s="206" t="s">
        <v>250</v>
      </c>
      <c r="B48" s="206" t="s">
        <v>647</v>
      </c>
      <c r="C48" s="206" t="s">
        <v>640</v>
      </c>
      <c r="D48" s="206" t="s">
        <v>609</v>
      </c>
      <c r="E48" s="206" t="s">
        <v>506</v>
      </c>
      <c r="F48" s="206" t="s">
        <v>239</v>
      </c>
      <c r="G48" s="212">
        <f>-'Consol SoFP 23 &amp; 22'!T93</f>
        <v>472500000</v>
      </c>
      <c r="H48" s="212"/>
    </row>
    <row r="49" spans="1:12" ht="15" customHeight="1">
      <c r="A49" s="206" t="s">
        <v>250</v>
      </c>
      <c r="B49" s="206" t="s">
        <v>647</v>
      </c>
      <c r="C49" s="206" t="s">
        <v>640</v>
      </c>
      <c r="D49" s="206" t="s">
        <v>609</v>
      </c>
      <c r="E49" s="206" t="s">
        <v>506</v>
      </c>
      <c r="F49" s="213" t="s">
        <v>240</v>
      </c>
      <c r="G49" s="212"/>
      <c r="H49" s="212">
        <f>-G48*L54</f>
        <v>-240975000</v>
      </c>
    </row>
    <row r="50" spans="1:12" ht="15" customHeight="1">
      <c r="A50" s="206" t="s">
        <v>250</v>
      </c>
      <c r="B50" s="206" t="s">
        <v>647</v>
      </c>
      <c r="C50" s="206" t="s">
        <v>640</v>
      </c>
      <c r="D50" s="206" t="s">
        <v>609</v>
      </c>
      <c r="E50" s="206" t="s">
        <v>506</v>
      </c>
      <c r="F50" s="213" t="s">
        <v>241</v>
      </c>
      <c r="G50" s="212"/>
      <c r="H50" s="212">
        <f>-SUM(G48,H49)</f>
        <v>-231525000</v>
      </c>
      <c r="I50" s="212">
        <f>SUM(G48:H50)</f>
        <v>0</v>
      </c>
    </row>
    <row r="51" spans="1:12" ht="15" customHeight="1">
      <c r="G51" s="212"/>
      <c r="H51" s="212"/>
      <c r="I51" s="211"/>
    </row>
    <row r="52" spans="1:12" ht="15" customHeight="1">
      <c r="A52" s="206" t="s">
        <v>250</v>
      </c>
      <c r="B52" s="206" t="s">
        <v>648</v>
      </c>
      <c r="C52" s="206" t="s">
        <v>640</v>
      </c>
      <c r="D52" s="206" t="s">
        <v>609</v>
      </c>
      <c r="E52" s="206" t="s">
        <v>510</v>
      </c>
      <c r="F52" s="206" t="s">
        <v>241</v>
      </c>
      <c r="G52" s="212">
        <v>9397917919.7399998</v>
      </c>
      <c r="H52" s="212"/>
    </row>
    <row r="53" spans="1:12" ht="15" customHeight="1">
      <c r="A53" s="206" t="s">
        <v>250</v>
      </c>
      <c r="B53" s="206" t="s">
        <v>648</v>
      </c>
      <c r="C53" s="206" t="s">
        <v>640</v>
      </c>
      <c r="D53" s="206" t="s">
        <v>609</v>
      </c>
      <c r="E53" s="206" t="s">
        <v>510</v>
      </c>
      <c r="F53" s="206" t="s">
        <v>242</v>
      </c>
      <c r="G53" s="212">
        <v>38797386011.67115</v>
      </c>
      <c r="H53" s="212"/>
    </row>
    <row r="54" spans="1:12" ht="15" customHeight="1">
      <c r="A54" s="206" t="s">
        <v>250</v>
      </c>
      <c r="B54" s="206" t="s">
        <v>648</v>
      </c>
      <c r="C54" s="206" t="s">
        <v>640</v>
      </c>
      <c r="D54" s="206" t="s">
        <v>609</v>
      </c>
      <c r="E54" s="206" t="s">
        <v>510</v>
      </c>
      <c r="F54" s="206" t="s">
        <v>240</v>
      </c>
      <c r="G54" s="212">
        <f>-SUM(H55:H56)*L54</f>
        <v>50162459193.917725</v>
      </c>
      <c r="H54" s="212"/>
      <c r="K54" s="206" t="s">
        <v>626</v>
      </c>
      <c r="L54" s="481">
        <f>'Capital Proforma Control'!J10</f>
        <v>0.51</v>
      </c>
    </row>
    <row r="55" spans="1:12" ht="15" customHeight="1">
      <c r="A55" s="206" t="s">
        <v>250</v>
      </c>
      <c r="B55" s="206" t="s">
        <v>648</v>
      </c>
      <c r="C55" s="206" t="s">
        <v>640</v>
      </c>
      <c r="D55" s="206" t="s">
        <v>609</v>
      </c>
      <c r="E55" s="206" t="s">
        <v>510</v>
      </c>
      <c r="F55" s="213" t="s">
        <v>243</v>
      </c>
      <c r="G55" s="212"/>
      <c r="H55" s="212">
        <f>-'Consol SoFP 23 &amp; 22'!T101</f>
        <v>-19179424326</v>
      </c>
      <c r="I55" s="212"/>
      <c r="J55" s="206" t="s">
        <v>243</v>
      </c>
    </row>
    <row r="56" spans="1:12" ht="15" customHeight="1">
      <c r="A56" s="206" t="s">
        <v>250</v>
      </c>
      <c r="B56" s="206" t="s">
        <v>648</v>
      </c>
      <c r="C56" s="206" t="s">
        <v>640</v>
      </c>
      <c r="D56" s="206" t="s">
        <v>609</v>
      </c>
      <c r="E56" s="206" t="s">
        <v>510</v>
      </c>
      <c r="F56" s="213" t="s">
        <v>244</v>
      </c>
      <c r="G56" s="212"/>
      <c r="H56" s="212">
        <f>-'Consol SoFP 23 &amp; 22'!T102</f>
        <v>-79178338799.328873</v>
      </c>
      <c r="I56" s="212">
        <f>SUM(G52:H56)</f>
        <v>0</v>
      </c>
      <c r="J56" s="206" t="s">
        <v>244</v>
      </c>
    </row>
    <row r="58" spans="1:12" ht="15" customHeight="1">
      <c r="A58" s="206" t="s">
        <v>250</v>
      </c>
      <c r="B58" s="206" t="s">
        <v>649</v>
      </c>
      <c r="C58" s="206" t="s">
        <v>640</v>
      </c>
      <c r="E58" s="206" t="s">
        <v>718</v>
      </c>
      <c r="F58" s="206" t="s">
        <v>59</v>
      </c>
      <c r="G58" s="212">
        <f>-'Interco Matrix BS'!E7</f>
        <v>15966037037.836618</v>
      </c>
      <c r="H58" s="212"/>
      <c r="J58" s="206" t="s">
        <v>650</v>
      </c>
    </row>
    <row r="59" spans="1:12" ht="15" customHeight="1">
      <c r="A59" s="206" t="s">
        <v>250</v>
      </c>
      <c r="B59" s="206" t="s">
        <v>649</v>
      </c>
      <c r="C59" s="206" t="s">
        <v>640</v>
      </c>
      <c r="E59" s="206" t="s">
        <v>718</v>
      </c>
      <c r="F59" s="206" t="s">
        <v>68</v>
      </c>
      <c r="G59" s="212">
        <f>-'Interco Matrix BS'!D17</f>
        <v>17087265241.199999</v>
      </c>
      <c r="H59" s="212"/>
      <c r="J59" s="206" t="s">
        <v>719</v>
      </c>
    </row>
    <row r="60" spans="1:12" ht="15" customHeight="1">
      <c r="A60" s="206" t="s">
        <v>250</v>
      </c>
      <c r="B60" s="206" t="s">
        <v>649</v>
      </c>
      <c r="C60" s="206" t="s">
        <v>640</v>
      </c>
      <c r="E60" s="206" t="s">
        <v>718</v>
      </c>
      <c r="F60" s="206" t="s">
        <v>65</v>
      </c>
      <c r="G60" s="212">
        <f>-'Interco Matrix BS'!D15</f>
        <v>602607420010.57495</v>
      </c>
      <c r="H60" s="212"/>
      <c r="J60" s="206" t="s">
        <v>719</v>
      </c>
    </row>
    <row r="61" spans="1:12" ht="15" customHeight="1">
      <c r="A61" s="206" t="s">
        <v>250</v>
      </c>
      <c r="B61" s="206" t="s">
        <v>649</v>
      </c>
      <c r="C61" s="206" t="s">
        <v>640</v>
      </c>
      <c r="E61" s="206" t="s">
        <v>718</v>
      </c>
      <c r="F61" s="206" t="s">
        <v>65</v>
      </c>
      <c r="G61" s="212">
        <f>-'Interco Matrix BS'!D21</f>
        <v>9187565842.3500004</v>
      </c>
      <c r="H61" s="212"/>
      <c r="J61" s="206" t="s">
        <v>753</v>
      </c>
    </row>
    <row r="62" spans="1:12" ht="15" customHeight="1">
      <c r="A62" s="206" t="s">
        <v>250</v>
      </c>
      <c r="B62" s="206" t="s">
        <v>649</v>
      </c>
      <c r="C62" s="206" t="s">
        <v>640</v>
      </c>
      <c r="E62" s="206" t="s">
        <v>718</v>
      </c>
      <c r="F62" s="213" t="s">
        <v>29</v>
      </c>
      <c r="G62" s="212"/>
      <c r="H62" s="212">
        <f>-'Interco Matrix BS'!E8</f>
        <v>-602607419216.77502</v>
      </c>
      <c r="I62" s="212"/>
      <c r="J62" s="206" t="s">
        <v>650</v>
      </c>
    </row>
    <row r="63" spans="1:12" ht="15" customHeight="1">
      <c r="A63" s="206" t="s">
        <v>250</v>
      </c>
      <c r="B63" s="206" t="s">
        <v>649</v>
      </c>
      <c r="C63" s="206" t="s">
        <v>640</v>
      </c>
      <c r="E63" s="206" t="s">
        <v>718</v>
      </c>
      <c r="F63" s="213" t="s">
        <v>29</v>
      </c>
      <c r="G63" s="212"/>
      <c r="H63" s="212">
        <f>-'Interco Matrix BS'!G8</f>
        <v>-9187565842.3500004</v>
      </c>
      <c r="I63" s="212"/>
      <c r="J63" s="206" t="s">
        <v>650</v>
      </c>
    </row>
    <row r="64" spans="1:12" ht="15" customHeight="1">
      <c r="A64" s="206" t="s">
        <v>250</v>
      </c>
      <c r="B64" s="206" t="s">
        <v>649</v>
      </c>
      <c r="C64" s="206" t="s">
        <v>640</v>
      </c>
      <c r="E64" s="206" t="s">
        <v>718</v>
      </c>
      <c r="F64" s="213" t="s">
        <v>489</v>
      </c>
      <c r="G64" s="212"/>
      <c r="H64" s="212">
        <f>-'Interco Matrix BS'!D12</f>
        <v>-3513008907.4499998</v>
      </c>
      <c r="I64" s="212"/>
      <c r="J64" s="206" t="s">
        <v>719</v>
      </c>
    </row>
    <row r="65" spans="1:10" ht="15" customHeight="1">
      <c r="A65" s="206" t="s">
        <v>250</v>
      </c>
      <c r="B65" s="206" t="s">
        <v>649</v>
      </c>
      <c r="C65" s="206" t="s">
        <v>640</v>
      </c>
      <c r="E65" s="206" t="s">
        <v>718</v>
      </c>
      <c r="F65" s="213" t="s">
        <v>32</v>
      </c>
      <c r="G65" s="212"/>
      <c r="H65" s="212">
        <f>-'Interco Matrix BS'!E10</f>
        <v>-17087265240.85804</v>
      </c>
      <c r="I65" s="212"/>
      <c r="J65" s="206" t="s">
        <v>650</v>
      </c>
    </row>
    <row r="66" spans="1:10" ht="15" customHeight="1">
      <c r="A66" s="206" t="s">
        <v>250</v>
      </c>
      <c r="B66" s="206" t="s">
        <v>649</v>
      </c>
      <c r="C66" s="206" t="s">
        <v>640</v>
      </c>
      <c r="E66" s="206" t="s">
        <v>718</v>
      </c>
      <c r="F66" s="213" t="s">
        <v>32</v>
      </c>
      <c r="G66" s="212"/>
      <c r="H66" s="212">
        <f>-'Interco Matrix BS'!D16</f>
        <v>-12453028130.025</v>
      </c>
      <c r="I66" s="212">
        <f>SUM(G58:H66)</f>
        <v>794.50348472595215</v>
      </c>
      <c r="J66" s="206" t="s">
        <v>719</v>
      </c>
    </row>
    <row r="67" spans="1:10" ht="15" customHeight="1"/>
    <row r="68" spans="1:10" ht="15" customHeight="1">
      <c r="B68" s="206" t="s">
        <v>651</v>
      </c>
      <c r="C68" s="206" t="s">
        <v>640</v>
      </c>
      <c r="E68" s="206" t="s">
        <v>779</v>
      </c>
      <c r="F68" s="206" t="s">
        <v>59</v>
      </c>
      <c r="G68" s="212">
        <f>-'Interco Matrix BS'!L7</f>
        <v>1130613.75</v>
      </c>
      <c r="H68" s="212"/>
      <c r="J68" s="206" t="s">
        <v>650</v>
      </c>
    </row>
    <row r="69" spans="1:10" ht="15" customHeight="1">
      <c r="B69" s="206" t="s">
        <v>651</v>
      </c>
      <c r="C69" s="206" t="s">
        <v>640</v>
      </c>
      <c r="E69" s="206" t="s">
        <v>779</v>
      </c>
      <c r="F69" s="206" t="s">
        <v>59</v>
      </c>
      <c r="G69" s="212">
        <v>0</v>
      </c>
      <c r="H69" s="212"/>
      <c r="J69" s="206" t="s">
        <v>627</v>
      </c>
    </row>
    <row r="70" spans="1:10" ht="15" customHeight="1">
      <c r="B70" s="206" t="s">
        <v>651</v>
      </c>
      <c r="C70" s="206" t="s">
        <v>640</v>
      </c>
      <c r="E70" s="206" t="s">
        <v>779</v>
      </c>
      <c r="F70" s="206" t="s">
        <v>65</v>
      </c>
      <c r="G70" s="212">
        <f>-'Interco Matrix BS'!D27</f>
        <v>33728578502.849998</v>
      </c>
      <c r="H70" s="212"/>
      <c r="J70" s="206" t="s">
        <v>524</v>
      </c>
    </row>
    <row r="71" spans="1:10" ht="15" customHeight="1">
      <c r="B71" s="206" t="s">
        <v>651</v>
      </c>
      <c r="C71" s="206" t="s">
        <v>640</v>
      </c>
      <c r="E71" s="206" t="s">
        <v>779</v>
      </c>
      <c r="F71" s="206" t="s">
        <v>65</v>
      </c>
      <c r="G71" s="212">
        <f>-'Interco Matrix BS'!D57</f>
        <v>144237470598.54578</v>
      </c>
      <c r="H71" s="212"/>
      <c r="J71" s="206" t="s">
        <v>627</v>
      </c>
    </row>
    <row r="72" spans="1:10" ht="15" customHeight="1">
      <c r="B72" s="206" t="s">
        <v>651</v>
      </c>
      <c r="C72" s="206" t="s">
        <v>640</v>
      </c>
      <c r="E72" s="206" t="s">
        <v>779</v>
      </c>
      <c r="F72" s="213" t="s">
        <v>21</v>
      </c>
      <c r="G72" s="212"/>
      <c r="H72" s="212">
        <f>-'Interco Matrix BS'!D54</f>
        <v>-1130613.75</v>
      </c>
      <c r="I72" s="212"/>
      <c r="J72" s="206" t="s">
        <v>650</v>
      </c>
    </row>
    <row r="73" spans="1:10" ht="15" customHeight="1">
      <c r="B73" s="206" t="s">
        <v>651</v>
      </c>
      <c r="C73" s="206" t="s">
        <v>640</v>
      </c>
      <c r="E73" s="206" t="s">
        <v>779</v>
      </c>
      <c r="F73" s="213" t="s">
        <v>29</v>
      </c>
      <c r="G73" s="212"/>
      <c r="H73" s="212">
        <f>-'Interco Matrix BS'!L8</f>
        <v>-144237470598.54584</v>
      </c>
      <c r="I73" s="212"/>
      <c r="J73" s="206" t="s">
        <v>650</v>
      </c>
    </row>
    <row r="74" spans="1:10" ht="15" customHeight="1">
      <c r="B74" s="206" t="s">
        <v>651</v>
      </c>
      <c r="C74" s="206" t="s">
        <v>640</v>
      </c>
      <c r="E74" s="206" t="s">
        <v>779</v>
      </c>
      <c r="F74" s="213" t="s">
        <v>32</v>
      </c>
      <c r="G74" s="212"/>
      <c r="H74" s="212">
        <f>-G69</f>
        <v>0</v>
      </c>
      <c r="I74" s="212"/>
      <c r="J74" s="206" t="s">
        <v>650</v>
      </c>
    </row>
    <row r="75" spans="1:10" ht="15" customHeight="1">
      <c r="B75" s="206" t="s">
        <v>651</v>
      </c>
      <c r="C75" s="206" t="s">
        <v>640</v>
      </c>
      <c r="E75" s="206" t="s">
        <v>779</v>
      </c>
      <c r="F75" s="213" t="s">
        <v>29</v>
      </c>
      <c r="G75" s="212"/>
      <c r="H75" s="212">
        <f>-'Interco Matrix BS'!H8</f>
        <v>-33728578502.849998</v>
      </c>
      <c r="I75" s="212">
        <f>SUM(G68:H75)</f>
        <v>-5.340576171875E-5</v>
      </c>
      <c r="J75" s="206" t="s">
        <v>650</v>
      </c>
    </row>
    <row r="76" spans="1:10" ht="15" customHeight="1">
      <c r="B76" s="206" t="s">
        <v>651</v>
      </c>
      <c r="C76" s="206" t="s">
        <v>640</v>
      </c>
      <c r="E76" s="206" t="s">
        <v>779</v>
      </c>
      <c r="F76" s="213" t="s">
        <v>29</v>
      </c>
      <c r="G76" s="212"/>
      <c r="H76" s="212"/>
      <c r="I76" s="212"/>
      <c r="J76" s="206" t="s">
        <v>627</v>
      </c>
    </row>
    <row r="77" spans="1:10" ht="15" customHeight="1"/>
    <row r="78" spans="1:10" ht="15" customHeight="1">
      <c r="B78" s="206" t="s">
        <v>652</v>
      </c>
      <c r="E78" s="206" t="s">
        <v>779</v>
      </c>
      <c r="F78" s="206" t="s">
        <v>59</v>
      </c>
      <c r="G78" s="212">
        <f>-'-BS-RP Disclosure 2023'!S169</f>
        <v>757589512.04999995</v>
      </c>
      <c r="H78" s="212"/>
      <c r="J78" s="206" t="s">
        <v>627</v>
      </c>
    </row>
    <row r="79" spans="1:10" ht="15" customHeight="1">
      <c r="B79" s="206" t="s">
        <v>652</v>
      </c>
      <c r="E79" s="206" t="s">
        <v>779</v>
      </c>
      <c r="F79" s="206" t="s">
        <v>65</v>
      </c>
      <c r="G79" s="212">
        <f>-'Interco Matrix BS'!E57</f>
        <v>40883219692.875</v>
      </c>
      <c r="H79" s="212"/>
      <c r="J79" s="206" t="s">
        <v>627</v>
      </c>
    </row>
    <row r="80" spans="1:10" ht="15" customHeight="1">
      <c r="B80" s="206" t="s">
        <v>652</v>
      </c>
      <c r="E80" s="206" t="s">
        <v>779</v>
      </c>
      <c r="F80" s="206" t="s">
        <v>68</v>
      </c>
      <c r="G80" s="212">
        <f>-'Interco Matrix BS'!E59</f>
        <v>30256823164.049999</v>
      </c>
      <c r="H80" s="212"/>
      <c r="J80" s="206" t="s">
        <v>627</v>
      </c>
    </row>
    <row r="81" spans="2:10" ht="15" customHeight="1">
      <c r="B81" s="206" t="s">
        <v>652</v>
      </c>
      <c r="F81" s="206" t="s">
        <v>65</v>
      </c>
      <c r="G81" s="212">
        <f>-'-BS-RP Disclosure 2023'!P227</f>
        <v>85479974.69569397</v>
      </c>
      <c r="H81" s="212"/>
    </row>
    <row r="82" spans="2:10" ht="15" customHeight="1">
      <c r="B82" s="206" t="s">
        <v>652</v>
      </c>
      <c r="E82" s="206" t="s">
        <v>779</v>
      </c>
      <c r="F82" s="213" t="s">
        <v>32</v>
      </c>
      <c r="G82" s="212"/>
      <c r="H82" s="212">
        <f>-'-BS-RP Disclosure 2023'!G102</f>
        <v>-757589512.04999995</v>
      </c>
      <c r="I82" s="212"/>
      <c r="J82" s="206" t="s">
        <v>650</v>
      </c>
    </row>
    <row r="83" spans="2:10" ht="15" customHeight="1">
      <c r="B83" s="206" t="s">
        <v>652</v>
      </c>
      <c r="E83" s="206" t="s">
        <v>779</v>
      </c>
      <c r="F83" s="213" t="s">
        <v>32</v>
      </c>
      <c r="H83" s="212">
        <f>-'Interco Matrix BS'!L16</f>
        <v>-30256823164.049999</v>
      </c>
      <c r="I83" s="212"/>
      <c r="J83" s="206" t="s">
        <v>719</v>
      </c>
    </row>
    <row r="84" spans="2:10" ht="15" customHeight="1">
      <c r="B84" s="206" t="s">
        <v>652</v>
      </c>
      <c r="E84" s="206" t="s">
        <v>779</v>
      </c>
      <c r="F84" s="213" t="s">
        <v>29</v>
      </c>
      <c r="G84" s="212"/>
      <c r="H84" s="212">
        <f>-'Interco Matrix BS'!L14</f>
        <v>-40883219692.875</v>
      </c>
      <c r="I84" s="212"/>
      <c r="J84" s="206" t="s">
        <v>719</v>
      </c>
    </row>
    <row r="85" spans="2:10" ht="15" customHeight="1">
      <c r="B85" s="206" t="s">
        <v>652</v>
      </c>
      <c r="F85" s="213" t="s">
        <v>29</v>
      </c>
      <c r="G85" s="212"/>
      <c r="H85" s="212">
        <f>-'-BS-RP Disclosure 2023'!J69</f>
        <v>-85479975</v>
      </c>
      <c r="I85" s="212"/>
    </row>
    <row r="86" spans="2:10" ht="15" customHeight="1">
      <c r="B86" s="206" t="s">
        <v>652</v>
      </c>
      <c r="E86" s="206" t="s">
        <v>779</v>
      </c>
      <c r="F86" s="213" t="s">
        <v>29</v>
      </c>
      <c r="G86" s="212"/>
      <c r="H86" s="212">
        <f>-'Interco Matrix BS'!H14*0</f>
        <v>0</v>
      </c>
      <c r="I86" s="214">
        <f>SUM(G78:H86)</f>
        <v>-0.3043060302734375</v>
      </c>
      <c r="J86" s="206" t="s">
        <v>719</v>
      </c>
    </row>
    <row r="87" spans="2:10" ht="15" customHeight="1">
      <c r="I87" s="214"/>
    </row>
    <row r="88" spans="2:10" ht="14.5">
      <c r="B88" s="206" t="s">
        <v>653</v>
      </c>
      <c r="C88" s="206" t="s">
        <v>640</v>
      </c>
      <c r="D88" s="206" t="s">
        <v>780</v>
      </c>
      <c r="E88" s="206" t="s">
        <v>654</v>
      </c>
      <c r="F88" s="206" t="s">
        <v>255</v>
      </c>
      <c r="G88" s="212">
        <f>-'-BS-RP Disclosure 2023'!Z204</f>
        <v>8417149098.75</v>
      </c>
      <c r="H88" s="212"/>
      <c r="J88" s="206" t="s">
        <v>627</v>
      </c>
    </row>
    <row r="89" spans="2:10" ht="15" customHeight="1">
      <c r="B89" s="206" t="s">
        <v>653</v>
      </c>
      <c r="C89" s="206" t="s">
        <v>640</v>
      </c>
      <c r="D89" s="206" t="s">
        <v>780</v>
      </c>
      <c r="E89" s="206" t="s">
        <v>654</v>
      </c>
      <c r="F89" s="213" t="s">
        <v>32</v>
      </c>
      <c r="G89" s="212"/>
      <c r="H89" s="212">
        <f>-G88</f>
        <v>-8417149098.75</v>
      </c>
      <c r="I89" s="214">
        <f>SUM(G88:H89)</f>
        <v>0</v>
      </c>
      <c r="J89" s="206" t="s">
        <v>650</v>
      </c>
    </row>
    <row r="90" spans="2:10" ht="15" customHeight="1">
      <c r="F90" s="213"/>
      <c r="G90" s="212"/>
      <c r="H90" s="212"/>
      <c r="I90" s="212"/>
    </row>
    <row r="91" spans="2:10" ht="15" customHeight="1">
      <c r="B91" s="206" t="s">
        <v>655</v>
      </c>
      <c r="C91" s="206" t="s">
        <v>640</v>
      </c>
      <c r="D91" s="206" t="s">
        <v>780</v>
      </c>
      <c r="E91" s="206" t="s">
        <v>654</v>
      </c>
      <c r="F91" s="206" t="s">
        <v>127</v>
      </c>
      <c r="G91" s="212">
        <v>4202629057.0463672</v>
      </c>
      <c r="H91" s="212"/>
      <c r="I91" s="211"/>
      <c r="J91" s="206" t="s">
        <v>650</v>
      </c>
    </row>
    <row r="92" spans="2:10" ht="15" customHeight="1">
      <c r="B92" s="206" t="s">
        <v>655</v>
      </c>
      <c r="C92" s="206" t="s">
        <v>640</v>
      </c>
      <c r="D92" s="206" t="s">
        <v>780</v>
      </c>
      <c r="E92" s="206" t="s">
        <v>654</v>
      </c>
      <c r="F92" s="213" t="s">
        <v>128</v>
      </c>
      <c r="G92" s="212"/>
      <c r="H92" s="212">
        <f>-G91</f>
        <v>-4202629057.0463672</v>
      </c>
      <c r="I92" s="214">
        <f>SUM(G91:H92)</f>
        <v>0</v>
      </c>
      <c r="J92" s="206" t="s">
        <v>627</v>
      </c>
    </row>
    <row r="93" spans="2:10" ht="15" customHeight="1">
      <c r="I93" s="214"/>
    </row>
    <row r="94" spans="2:10" ht="15" customHeight="1">
      <c r="B94" s="206" t="s">
        <v>656</v>
      </c>
      <c r="C94" s="206" t="s">
        <v>640</v>
      </c>
      <c r="D94" s="206" t="s">
        <v>688</v>
      </c>
      <c r="E94" s="206" t="s">
        <v>754</v>
      </c>
      <c r="F94" s="206" t="s">
        <v>490</v>
      </c>
      <c r="G94" s="212">
        <v>14844232464.885111</v>
      </c>
      <c r="H94" s="212"/>
      <c r="I94" s="211"/>
      <c r="J94" s="206" t="s">
        <v>753</v>
      </c>
    </row>
    <row r="95" spans="2:10" ht="15" customHeight="1">
      <c r="B95" s="206" t="s">
        <v>656</v>
      </c>
      <c r="C95" s="206" t="s">
        <v>640</v>
      </c>
      <c r="D95" s="206" t="s">
        <v>755</v>
      </c>
      <c r="E95" s="206" t="s">
        <v>754</v>
      </c>
      <c r="F95" s="206" t="s">
        <v>490</v>
      </c>
      <c r="G95" s="212">
        <v>245826681.58837059</v>
      </c>
      <c r="H95" s="212"/>
      <c r="I95" s="211"/>
      <c r="J95" s="206" t="s">
        <v>753</v>
      </c>
    </row>
    <row r="96" spans="2:10" ht="15" customHeight="1">
      <c r="B96" s="206" t="s">
        <v>656</v>
      </c>
      <c r="C96" s="206" t="s">
        <v>640</v>
      </c>
      <c r="D96" s="206" t="s">
        <v>465</v>
      </c>
      <c r="E96" s="206" t="s">
        <v>781</v>
      </c>
      <c r="F96" s="206" t="s">
        <v>490</v>
      </c>
      <c r="G96" s="212">
        <v>1724530437.3384683</v>
      </c>
      <c r="H96" s="212">
        <f>-G92</f>
        <v>0</v>
      </c>
      <c r="I96" s="214"/>
      <c r="J96" s="206" t="s">
        <v>524</v>
      </c>
    </row>
    <row r="97" spans="2:10" ht="15" customHeight="1">
      <c r="B97" s="206" t="s">
        <v>656</v>
      </c>
      <c r="C97" s="206" t="s">
        <v>640</v>
      </c>
      <c r="D97" s="206" t="s">
        <v>802</v>
      </c>
      <c r="E97" s="206" t="s">
        <v>803</v>
      </c>
      <c r="F97" s="206" t="s">
        <v>490</v>
      </c>
      <c r="G97" s="212">
        <v>574301635.2759136</v>
      </c>
      <c r="H97" s="212">
        <f>-G93</f>
        <v>0</v>
      </c>
      <c r="I97" s="214"/>
      <c r="J97" s="206" t="s">
        <v>804</v>
      </c>
    </row>
    <row r="98" spans="2:10" ht="15" customHeight="1">
      <c r="B98" s="206" t="s">
        <v>656</v>
      </c>
      <c r="C98" s="206" t="s">
        <v>640</v>
      </c>
      <c r="D98" s="206" t="s">
        <v>688</v>
      </c>
      <c r="E98" s="206" t="s">
        <v>654</v>
      </c>
      <c r="F98" s="213" t="s">
        <v>32</v>
      </c>
      <c r="G98" s="212"/>
      <c r="H98" s="212">
        <f>-G94</f>
        <v>-14844232464.885111</v>
      </c>
      <c r="I98" s="214"/>
      <c r="J98" s="206" t="s">
        <v>719</v>
      </c>
    </row>
    <row r="99" spans="2:10" ht="15" customHeight="1">
      <c r="B99" s="206" t="s">
        <v>656</v>
      </c>
      <c r="C99" s="206" t="s">
        <v>640</v>
      </c>
      <c r="D99" s="206" t="s">
        <v>755</v>
      </c>
      <c r="E99" s="206" t="s">
        <v>654</v>
      </c>
      <c r="F99" s="213" t="s">
        <v>32</v>
      </c>
      <c r="G99" s="212"/>
      <c r="H99" s="212">
        <f>-G95</f>
        <v>-245826681.58837059</v>
      </c>
      <c r="I99" s="214"/>
      <c r="J99" s="206" t="s">
        <v>650</v>
      </c>
    </row>
    <row r="100" spans="2:10" ht="15" customHeight="1">
      <c r="B100" s="206" t="s">
        <v>656</v>
      </c>
      <c r="C100" s="206" t="s">
        <v>640</v>
      </c>
      <c r="D100" s="206" t="s">
        <v>465</v>
      </c>
      <c r="E100" s="206" t="s">
        <v>654</v>
      </c>
      <c r="F100" s="213" t="s">
        <v>32</v>
      </c>
      <c r="G100" s="212"/>
      <c r="H100" s="212">
        <f t="shared" ref="H100:H101" si="0">-G96</f>
        <v>-1724530437.3384683</v>
      </c>
      <c r="I100" s="214"/>
      <c r="J100" s="206" t="s">
        <v>650</v>
      </c>
    </row>
    <row r="101" spans="2:10" ht="15" customHeight="1">
      <c r="B101" s="206" t="s">
        <v>656</v>
      </c>
      <c r="C101" s="206" t="s">
        <v>640</v>
      </c>
      <c r="D101" s="206" t="s">
        <v>802</v>
      </c>
      <c r="E101" s="206" t="s">
        <v>654</v>
      </c>
      <c r="F101" s="213" t="s">
        <v>32</v>
      </c>
      <c r="G101" s="212"/>
      <c r="H101" s="212">
        <f t="shared" si="0"/>
        <v>-574301635.2759136</v>
      </c>
      <c r="I101" s="214">
        <f>SUM(G94:H101)</f>
        <v>0</v>
      </c>
      <c r="J101" s="206" t="s">
        <v>650</v>
      </c>
    </row>
    <row r="102" spans="2:10" ht="15" customHeight="1">
      <c r="I102" s="214"/>
    </row>
    <row r="103" spans="2:10" ht="15" customHeight="1">
      <c r="B103" s="206" t="s">
        <v>653</v>
      </c>
      <c r="C103" s="206" t="s">
        <v>688</v>
      </c>
      <c r="D103" s="206" t="s">
        <v>609</v>
      </c>
      <c r="E103" s="206" t="s">
        <v>654</v>
      </c>
      <c r="F103" s="206" t="s">
        <v>127</v>
      </c>
      <c r="G103" s="212">
        <f>'-BS-RP Disclosure 2023'!J105</f>
        <v>1646439616.3284898</v>
      </c>
      <c r="H103" s="212"/>
      <c r="I103" s="211"/>
      <c r="J103" s="206" t="s">
        <v>627</v>
      </c>
    </row>
    <row r="104" spans="2:10" ht="15" customHeight="1">
      <c r="B104" s="206" t="s">
        <v>653</v>
      </c>
      <c r="C104" s="206" t="s">
        <v>688</v>
      </c>
      <c r="D104" s="206" t="s">
        <v>609</v>
      </c>
      <c r="E104" s="206" t="s">
        <v>654</v>
      </c>
      <c r="F104" s="213" t="s">
        <v>32</v>
      </c>
      <c r="G104" s="212"/>
      <c r="H104" s="212">
        <f>-G103</f>
        <v>-1646439616.3284898</v>
      </c>
      <c r="I104" s="214"/>
      <c r="J104" s="206" t="s">
        <v>719</v>
      </c>
    </row>
    <row r="105" spans="2:10" ht="15" customHeight="1">
      <c r="I105" s="214"/>
    </row>
    <row r="106" spans="2:10" ht="15" customHeight="1">
      <c r="B106" s="206" t="s">
        <v>657</v>
      </c>
      <c r="C106" s="206" t="s">
        <v>521</v>
      </c>
      <c r="D106" s="206" t="s">
        <v>521</v>
      </c>
      <c r="E106" s="206" t="s">
        <v>628</v>
      </c>
      <c r="F106" s="206" t="s">
        <v>491</v>
      </c>
      <c r="G106" s="212">
        <v>624569075</v>
      </c>
      <c r="H106" s="212"/>
      <c r="J106" s="206" t="s">
        <v>627</v>
      </c>
    </row>
    <row r="107" spans="2:10" ht="15" customHeight="1">
      <c r="B107" s="206" t="s">
        <v>657</v>
      </c>
      <c r="C107" s="206" t="s">
        <v>521</v>
      </c>
      <c r="D107" s="206" t="s">
        <v>521</v>
      </c>
      <c r="E107" s="206" t="s">
        <v>628</v>
      </c>
      <c r="F107" s="213" t="s">
        <v>1140</v>
      </c>
      <c r="G107" s="212"/>
      <c r="H107" s="212">
        <f>-G106</f>
        <v>-624569075</v>
      </c>
      <c r="I107" s="214">
        <f>SUM(G106:H107)</f>
        <v>0</v>
      </c>
      <c r="J107" s="206" t="s">
        <v>627</v>
      </c>
    </row>
    <row r="108" spans="2:10" ht="15" customHeight="1"/>
    <row r="109" spans="2:10" ht="15" customHeight="1">
      <c r="B109" s="206" t="s">
        <v>658</v>
      </c>
      <c r="C109" s="206" t="s">
        <v>720</v>
      </c>
      <c r="D109" s="206" t="s">
        <v>720</v>
      </c>
      <c r="E109" s="206" t="s">
        <v>721</v>
      </c>
      <c r="F109" s="206" t="s">
        <v>1141</v>
      </c>
      <c r="G109" s="212">
        <v>0</v>
      </c>
      <c r="H109" s="212"/>
      <c r="J109" s="206" t="s">
        <v>719</v>
      </c>
    </row>
    <row r="110" spans="2:10" ht="15" customHeight="1">
      <c r="B110" s="206" t="s">
        <v>658</v>
      </c>
      <c r="C110" s="206" t="s">
        <v>720</v>
      </c>
      <c r="D110" s="206" t="s">
        <v>720</v>
      </c>
      <c r="E110" s="206" t="s">
        <v>721</v>
      </c>
      <c r="F110" s="213" t="s">
        <v>491</v>
      </c>
      <c r="G110" s="212"/>
      <c r="H110" s="212">
        <v>0</v>
      </c>
      <c r="J110" s="206" t="s">
        <v>719</v>
      </c>
    </row>
    <row r="111" spans="2:10" ht="15" customHeight="1"/>
    <row r="112" spans="2:10" ht="15" customHeight="1">
      <c r="B112" s="206" t="s">
        <v>659</v>
      </c>
      <c r="C112" s="206" t="s">
        <v>640</v>
      </c>
      <c r="D112" s="206" t="s">
        <v>521</v>
      </c>
      <c r="E112" s="206" t="s">
        <v>660</v>
      </c>
      <c r="F112" s="206" t="s">
        <v>1142</v>
      </c>
      <c r="G112" s="212">
        <v>250836802</v>
      </c>
      <c r="H112" s="212"/>
      <c r="J112" s="206" t="s">
        <v>650</v>
      </c>
    </row>
    <row r="113" spans="2:10" ht="15" customHeight="1">
      <c r="B113" s="206" t="s">
        <v>659</v>
      </c>
      <c r="C113" s="206" t="s">
        <v>640</v>
      </c>
      <c r="D113" s="206" t="s">
        <v>521</v>
      </c>
      <c r="E113" s="206" t="s">
        <v>660</v>
      </c>
      <c r="F113" s="213" t="s">
        <v>494</v>
      </c>
      <c r="G113" s="212"/>
      <c r="H113" s="212">
        <v>-250836802</v>
      </c>
      <c r="I113" s="214">
        <f>SUM(G112:H113)</f>
        <v>0</v>
      </c>
      <c r="J113" s="206" t="s">
        <v>650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B523-512C-4E36-A57D-27AA0D70D3B9}">
  <sheetPr>
    <tabColor rgb="FF002060"/>
  </sheetPr>
  <dimension ref="A2:L87"/>
  <sheetViews>
    <sheetView workbookViewId="0"/>
  </sheetViews>
  <sheetFormatPr defaultColWidth="14.453125" defaultRowHeight="12.5"/>
  <cols>
    <col min="1" max="1" width="4.453125" style="206" customWidth="1"/>
    <col min="2" max="2" width="26.453125" style="206" bestFit="1" customWidth="1"/>
    <col min="3" max="3" width="11.81640625" style="206" customWidth="1"/>
    <col min="4" max="4" width="14.453125" style="206"/>
    <col min="5" max="5" width="47.54296875" style="206" hidden="1" customWidth="1"/>
    <col min="6" max="6" width="33.26953125" style="206" customWidth="1"/>
    <col min="7" max="7" width="20.1796875" style="206" customWidth="1"/>
    <col min="8" max="8" width="18.1796875" style="206" customWidth="1"/>
    <col min="9" max="9" width="17" style="206" bestFit="1" customWidth="1"/>
    <col min="10" max="10" width="31.81640625" style="206" customWidth="1"/>
    <col min="11" max="11" width="29.81640625" style="206" customWidth="1"/>
    <col min="12" max="16384" width="14.453125" style="206"/>
  </cols>
  <sheetData>
    <row r="2" spans="1:11" ht="14.5">
      <c r="E2" s="207" t="s">
        <v>228</v>
      </c>
      <c r="F2" s="207" t="s">
        <v>229</v>
      </c>
      <c r="G2" s="208">
        <f>SUMIFS(G4:G781,C4:C781,"Adjusting")</f>
        <v>0</v>
      </c>
      <c r="H2" s="208">
        <f>SUMIFS(H4:H781,D4:D781,"Adjusting")</f>
        <v>0</v>
      </c>
      <c r="I2" s="208">
        <f>G2+H2</f>
        <v>0</v>
      </c>
    </row>
    <row r="3" spans="1:11" ht="14.5">
      <c r="C3" s="209" t="s">
        <v>230</v>
      </c>
    </row>
    <row r="4" spans="1:11" ht="14.5">
      <c r="B4" s="210" t="s">
        <v>231</v>
      </c>
      <c r="C4" s="210" t="s">
        <v>232</v>
      </c>
      <c r="D4" s="210" t="s">
        <v>233</v>
      </c>
      <c r="E4" s="210" t="s">
        <v>4</v>
      </c>
      <c r="F4" s="210" t="s">
        <v>234</v>
      </c>
      <c r="G4" s="210" t="s">
        <v>235</v>
      </c>
      <c r="H4" s="210" t="s">
        <v>236</v>
      </c>
      <c r="I4" s="210" t="s">
        <v>111</v>
      </c>
      <c r="J4" s="210" t="s">
        <v>237</v>
      </c>
      <c r="K4" s="210" t="s">
        <v>238</v>
      </c>
    </row>
    <row r="5" spans="1:11" ht="15" customHeight="1">
      <c r="G5" s="211"/>
      <c r="H5" s="211"/>
      <c r="I5" s="211"/>
    </row>
    <row r="6" spans="1:11" ht="14.5">
      <c r="A6" s="206" t="s">
        <v>250</v>
      </c>
      <c r="B6" s="206" t="s">
        <v>495</v>
      </c>
      <c r="C6" s="206" t="s">
        <v>462</v>
      </c>
      <c r="D6" s="206" t="s">
        <v>463</v>
      </c>
      <c r="E6" s="206" t="s">
        <v>496</v>
      </c>
      <c r="F6" s="206" t="s">
        <v>239</v>
      </c>
      <c r="G6" s="212">
        <f>-'Consol SoFP 23 &amp; 22'!AM93</f>
        <v>217283295600</v>
      </c>
      <c r="H6" s="212"/>
    </row>
    <row r="7" spans="1:11" ht="14.5">
      <c r="B7" s="206" t="s">
        <v>495</v>
      </c>
      <c r="C7" s="206" t="s">
        <v>462</v>
      </c>
      <c r="D7" s="206" t="s">
        <v>463</v>
      </c>
      <c r="F7" s="206" t="s">
        <v>89</v>
      </c>
      <c r="G7" s="212">
        <f>-'Consol SoFP 23 &amp; 22'!AM94</f>
        <v>430082429984.54999</v>
      </c>
      <c r="H7" s="212"/>
    </row>
    <row r="8" spans="1:11" ht="15" customHeight="1">
      <c r="A8" s="206" t="s">
        <v>250</v>
      </c>
      <c r="B8" s="206" t="s">
        <v>495</v>
      </c>
      <c r="C8" s="206" t="s">
        <v>462</v>
      </c>
      <c r="D8" s="206" t="s">
        <v>463</v>
      </c>
      <c r="E8" s="206" t="s">
        <v>496</v>
      </c>
      <c r="F8" s="213" t="s">
        <v>240</v>
      </c>
      <c r="G8" s="212"/>
      <c r="H8" s="212">
        <f>-ROUND(SUM(G6:G7)*3.3%,0)</f>
        <v>-21363068944</v>
      </c>
    </row>
    <row r="9" spans="1:11" ht="15" customHeight="1">
      <c r="A9" s="206" t="s">
        <v>250</v>
      </c>
      <c r="B9" s="206" t="s">
        <v>495</v>
      </c>
      <c r="C9" s="206" t="s">
        <v>462</v>
      </c>
      <c r="D9" s="206" t="s">
        <v>463</v>
      </c>
      <c r="E9" s="206" t="s">
        <v>496</v>
      </c>
      <c r="F9" s="213" t="s">
        <v>488</v>
      </c>
      <c r="G9" s="212"/>
      <c r="H9" s="212">
        <v>0</v>
      </c>
      <c r="J9" s="211"/>
    </row>
    <row r="10" spans="1:11" ht="15" customHeight="1">
      <c r="A10" s="206" t="s">
        <v>250</v>
      </c>
      <c r="B10" s="206" t="s">
        <v>495</v>
      </c>
      <c r="C10" s="206" t="s">
        <v>462</v>
      </c>
      <c r="D10" s="206" t="s">
        <v>463</v>
      </c>
      <c r="E10" s="206" t="s">
        <v>496</v>
      </c>
      <c r="F10" s="213" t="s">
        <v>241</v>
      </c>
      <c r="G10" s="212"/>
      <c r="H10" s="212">
        <f>-G6-G7-H8</f>
        <v>-626002656640.55005</v>
      </c>
      <c r="I10" s="212">
        <f>SUM(G6:H10)</f>
        <v>0</v>
      </c>
    </row>
    <row r="11" spans="1:11" ht="15" customHeight="1">
      <c r="G11" s="212"/>
      <c r="H11" s="212"/>
      <c r="I11" s="211"/>
    </row>
    <row r="12" spans="1:11" ht="15" customHeight="1">
      <c r="A12" s="206" t="s">
        <v>250</v>
      </c>
      <c r="B12" s="206" t="s">
        <v>497</v>
      </c>
      <c r="C12" s="206" t="s">
        <v>462</v>
      </c>
      <c r="D12" s="206" t="s">
        <v>463</v>
      </c>
      <c r="E12" s="206" t="s">
        <v>498</v>
      </c>
      <c r="G12" s="212">
        <v>0</v>
      </c>
      <c r="H12" s="212"/>
    </row>
    <row r="13" spans="1:11" ht="15" customHeight="1">
      <c r="A13" s="206" t="s">
        <v>250</v>
      </c>
      <c r="B13" s="206" t="s">
        <v>497</v>
      </c>
      <c r="C13" s="206" t="s">
        <v>462</v>
      </c>
      <c r="D13" s="206" t="s">
        <v>463</v>
      </c>
      <c r="E13" s="206" t="s">
        <v>498</v>
      </c>
      <c r="F13" s="213" t="s">
        <v>241</v>
      </c>
      <c r="G13" s="212"/>
      <c r="H13" s="212">
        <f>-G12</f>
        <v>0</v>
      </c>
      <c r="I13" s="211"/>
      <c r="J13" s="213"/>
    </row>
    <row r="14" spans="1:11" ht="15" customHeight="1">
      <c r="G14" s="212"/>
      <c r="H14" s="212"/>
      <c r="I14" s="211"/>
    </row>
    <row r="15" spans="1:11" ht="15" customHeight="1">
      <c r="A15" s="206" t="s">
        <v>250</v>
      </c>
      <c r="B15" s="206" t="s">
        <v>499</v>
      </c>
      <c r="C15" s="206" t="s">
        <v>462</v>
      </c>
      <c r="D15" s="206" t="s">
        <v>463</v>
      </c>
      <c r="E15" s="206" t="s">
        <v>498</v>
      </c>
      <c r="F15" s="206" t="s">
        <v>240</v>
      </c>
      <c r="G15" s="212">
        <f>-SUM(H18:H19)*3.3%</f>
        <v>16897192039.074598</v>
      </c>
      <c r="H15" s="212"/>
      <c r="J15" s="211"/>
    </row>
    <row r="16" spans="1:11" ht="15" customHeight="1">
      <c r="A16" s="206" t="s">
        <v>250</v>
      </c>
      <c r="B16" s="206" t="s">
        <v>499</v>
      </c>
      <c r="C16" s="206" t="s">
        <v>462</v>
      </c>
      <c r="D16" s="206" t="s">
        <v>463</v>
      </c>
      <c r="E16" s="206" t="s">
        <v>498</v>
      </c>
      <c r="F16" s="206" t="s">
        <v>241</v>
      </c>
      <c r="G16" s="212">
        <f>-H18*96.7%</f>
        <v>125672906516.43106</v>
      </c>
      <c r="H16" s="212"/>
    </row>
    <row r="17" spans="1:9" ht="15" customHeight="1">
      <c r="A17" s="206" t="s">
        <v>250</v>
      </c>
      <c r="B17" s="206" t="s">
        <v>499</v>
      </c>
      <c r="C17" s="206" t="s">
        <v>462</v>
      </c>
      <c r="D17" s="206" t="s">
        <v>463</v>
      </c>
      <c r="E17" s="206" t="s">
        <v>498</v>
      </c>
      <c r="F17" s="206" t="s">
        <v>242</v>
      </c>
      <c r="G17" s="212">
        <f>-H19*96.7%</f>
        <v>369466023840.69434</v>
      </c>
      <c r="H17" s="212"/>
    </row>
    <row r="18" spans="1:9" ht="15" customHeight="1">
      <c r="A18" s="206" t="s">
        <v>250</v>
      </c>
      <c r="B18" s="206" t="s">
        <v>499</v>
      </c>
      <c r="C18" s="206" t="s">
        <v>462</v>
      </c>
      <c r="D18" s="206" t="s">
        <v>463</v>
      </c>
      <c r="E18" s="206" t="s">
        <v>498</v>
      </c>
      <c r="F18" s="213" t="s">
        <v>243</v>
      </c>
      <c r="G18" s="212"/>
      <c r="H18" s="212">
        <f>-'Consol SoFP 23 &amp; 22'!AM101</f>
        <v>-129961640658.14999</v>
      </c>
      <c r="I18" s="211"/>
    </row>
    <row r="19" spans="1:9" ht="15" customHeight="1">
      <c r="A19" s="206" t="s">
        <v>250</v>
      </c>
      <c r="B19" s="206" t="s">
        <v>499</v>
      </c>
      <c r="C19" s="206" t="s">
        <v>462</v>
      </c>
      <c r="D19" s="206" t="s">
        <v>463</v>
      </c>
      <c r="E19" s="206" t="s">
        <v>498</v>
      </c>
      <c r="F19" s="213" t="s">
        <v>244</v>
      </c>
      <c r="G19" s="212"/>
      <c r="H19" s="212">
        <f>-'Consol SoFP 23 &amp; 22'!AM102</f>
        <v>-382074481738.04993</v>
      </c>
      <c r="I19" s="211">
        <f>SUM(G15:H19)</f>
        <v>0</v>
      </c>
    </row>
    <row r="20" spans="1:9" ht="15" customHeight="1">
      <c r="G20" s="212"/>
      <c r="H20" s="212"/>
      <c r="I20" s="214"/>
    </row>
    <row r="21" spans="1:9" ht="15" customHeight="1">
      <c r="A21" s="206" t="s">
        <v>250</v>
      </c>
      <c r="B21" s="206" t="s">
        <v>500</v>
      </c>
      <c r="C21" s="206" t="s">
        <v>462</v>
      </c>
      <c r="D21" s="206" t="s">
        <v>463</v>
      </c>
      <c r="E21" s="206" t="s">
        <v>245</v>
      </c>
      <c r="F21" s="206" t="s">
        <v>246</v>
      </c>
      <c r="G21" s="212">
        <f>-'Consol SoFP 23 &amp; 22'!AM97</f>
        <v>1287204345</v>
      </c>
      <c r="H21" s="212"/>
    </row>
    <row r="22" spans="1:9" ht="15" customHeight="1">
      <c r="A22" s="206" t="s">
        <v>250</v>
      </c>
      <c r="B22" s="206" t="s">
        <v>500</v>
      </c>
      <c r="C22" s="206" t="s">
        <v>462</v>
      </c>
      <c r="D22" s="206" t="s">
        <v>463</v>
      </c>
      <c r="E22" s="206" t="s">
        <v>245</v>
      </c>
      <c r="F22" s="206" t="s">
        <v>247</v>
      </c>
      <c r="G22" s="212">
        <f>-'Consol SoFP 23 &amp; 22'!AM98</f>
        <v>3259321146.9000001</v>
      </c>
      <c r="H22" s="212"/>
    </row>
    <row r="23" spans="1:9" ht="15" customHeight="1">
      <c r="A23" s="206" t="s">
        <v>250</v>
      </c>
      <c r="B23" s="206" t="s">
        <v>500</v>
      </c>
      <c r="C23" s="206" t="s">
        <v>462</v>
      </c>
      <c r="D23" s="206" t="s">
        <v>463</v>
      </c>
      <c r="E23" s="206" t="s">
        <v>245</v>
      </c>
      <c r="F23" s="213" t="s">
        <v>240</v>
      </c>
      <c r="G23" s="212"/>
      <c r="H23" s="212">
        <f>-ROUND(SUM(G21:G22)*3.3%,0)</f>
        <v>-150035341</v>
      </c>
      <c r="I23" s="211"/>
    </row>
    <row r="24" spans="1:9" ht="15" customHeight="1">
      <c r="A24" s="206" t="s">
        <v>250</v>
      </c>
      <c r="B24" s="206" t="s">
        <v>500</v>
      </c>
      <c r="C24" s="206" t="s">
        <v>462</v>
      </c>
      <c r="D24" s="206" t="s">
        <v>463</v>
      </c>
      <c r="E24" s="206" t="s">
        <v>245</v>
      </c>
      <c r="F24" s="213" t="s">
        <v>241</v>
      </c>
      <c r="G24" s="212"/>
      <c r="H24" s="212">
        <f>-SUM(G21:G22)-H23</f>
        <v>-4396490150.8999996</v>
      </c>
      <c r="I24" s="211">
        <f>SUM(G21:H24)</f>
        <v>0</v>
      </c>
    </row>
    <row r="25" spans="1:9" ht="15" customHeight="1">
      <c r="G25" s="212"/>
      <c r="H25" s="212"/>
      <c r="I25" s="214"/>
    </row>
    <row r="26" spans="1:9" ht="15" customHeight="1">
      <c r="A26" s="206" t="s">
        <v>250</v>
      </c>
      <c r="B26" s="206" t="s">
        <v>501</v>
      </c>
      <c r="C26" s="206" t="s">
        <v>462</v>
      </c>
      <c r="D26" s="206" t="s">
        <v>463</v>
      </c>
      <c r="E26" s="206" t="s">
        <v>502</v>
      </c>
      <c r="F26" s="206" t="s">
        <v>249</v>
      </c>
      <c r="G26" s="212">
        <f>-'Consol SoFP 23 &amp; 22'!AM105</f>
        <v>1737361929.9346149</v>
      </c>
      <c r="H26" s="212"/>
    </row>
    <row r="27" spans="1:9" ht="15" customHeight="1">
      <c r="A27" s="206" t="s">
        <v>250</v>
      </c>
      <c r="B27" s="206" t="s">
        <v>501</v>
      </c>
      <c r="C27" s="206" t="s">
        <v>462</v>
      </c>
      <c r="D27" s="206" t="s">
        <v>463</v>
      </c>
      <c r="E27" s="206" t="s">
        <v>502</v>
      </c>
      <c r="F27" s="213" t="s">
        <v>240</v>
      </c>
      <c r="G27" s="212"/>
      <c r="H27" s="212">
        <f>-ROUND(SUM(G26:G26)*3.3%,0)</f>
        <v>-57332944</v>
      </c>
      <c r="I27" s="211"/>
    </row>
    <row r="28" spans="1:9" ht="15" customHeight="1">
      <c r="A28" s="206" t="s">
        <v>250</v>
      </c>
      <c r="B28" s="206" t="s">
        <v>501</v>
      </c>
      <c r="C28" s="206" t="s">
        <v>462</v>
      </c>
      <c r="D28" s="206" t="s">
        <v>463</v>
      </c>
      <c r="E28" s="206" t="s">
        <v>502</v>
      </c>
      <c r="F28" s="213" t="s">
        <v>242</v>
      </c>
      <c r="G28" s="212"/>
      <c r="H28" s="212">
        <f>-SUM(G26:G26)-H27</f>
        <v>-1680028985.9346149</v>
      </c>
      <c r="I28" s="211">
        <f>SUM(G26:H28)</f>
        <v>0</v>
      </c>
    </row>
    <row r="29" spans="1:9" ht="15" customHeight="1">
      <c r="G29" s="212"/>
      <c r="H29" s="212"/>
      <c r="I29" s="214"/>
    </row>
    <row r="30" spans="1:9" ht="15" customHeight="1">
      <c r="A30" s="206" t="s">
        <v>250</v>
      </c>
      <c r="B30" s="206" t="s">
        <v>503</v>
      </c>
      <c r="C30" s="206" t="s">
        <v>462</v>
      </c>
      <c r="D30" s="206" t="s">
        <v>464</v>
      </c>
      <c r="E30" s="206" t="s">
        <v>502</v>
      </c>
      <c r="F30" s="206" t="s">
        <v>239</v>
      </c>
      <c r="G30" s="212">
        <f>-'Consol SoFP 23 &amp; 22'!AP93</f>
        <v>23625000</v>
      </c>
      <c r="H30" s="212"/>
    </row>
    <row r="31" spans="1:9" ht="15" customHeight="1">
      <c r="A31" s="206" t="s">
        <v>250</v>
      </c>
      <c r="B31" s="206" t="s">
        <v>503</v>
      </c>
      <c r="C31" s="206" t="s">
        <v>462</v>
      </c>
      <c r="D31" s="206" t="s">
        <v>464</v>
      </c>
      <c r="E31" s="206" t="s">
        <v>502</v>
      </c>
      <c r="F31" s="213" t="s">
        <v>240</v>
      </c>
      <c r="G31" s="212"/>
      <c r="H31" s="212">
        <f>-G30*51%</f>
        <v>-12048750</v>
      </c>
      <c r="I31" s="211"/>
    </row>
    <row r="32" spans="1:9" ht="15" customHeight="1">
      <c r="A32" s="206" t="s">
        <v>250</v>
      </c>
      <c r="B32" s="206" t="s">
        <v>503</v>
      </c>
      <c r="C32" s="206" t="s">
        <v>462</v>
      </c>
      <c r="D32" s="206" t="s">
        <v>464</v>
      </c>
      <c r="E32" s="206" t="s">
        <v>502</v>
      </c>
      <c r="F32" s="213" t="s">
        <v>241</v>
      </c>
      <c r="G32" s="212"/>
      <c r="H32" s="212">
        <f>-SUM(G30:H31)</f>
        <v>-11576250</v>
      </c>
      <c r="I32" s="211">
        <f>SUM(G30:H32)</f>
        <v>0</v>
      </c>
    </row>
    <row r="33" spans="1:10" ht="15" customHeight="1">
      <c r="G33" s="212"/>
      <c r="H33" s="212"/>
      <c r="I33" s="214"/>
    </row>
    <row r="34" spans="1:10" ht="15" customHeight="1">
      <c r="A34" s="206" t="s">
        <v>250</v>
      </c>
      <c r="B34" s="206" t="s">
        <v>504</v>
      </c>
      <c r="C34" s="206" t="s">
        <v>462</v>
      </c>
      <c r="D34" s="206" t="s">
        <v>464</v>
      </c>
      <c r="E34" s="206" t="s">
        <v>498</v>
      </c>
      <c r="F34" s="206" t="s">
        <v>240</v>
      </c>
      <c r="G34" s="212">
        <f>-SUM(H36:H36)*51%</f>
        <v>144135596.88675007</v>
      </c>
      <c r="H34" s="212"/>
    </row>
    <row r="35" spans="1:10" ht="15" customHeight="1">
      <c r="A35" s="206" t="s">
        <v>250</v>
      </c>
      <c r="B35" s="206" t="s">
        <v>504</v>
      </c>
      <c r="C35" s="206" t="s">
        <v>462</v>
      </c>
      <c r="D35" s="206" t="s">
        <v>464</v>
      </c>
      <c r="E35" s="206" t="s">
        <v>498</v>
      </c>
      <c r="F35" s="206" t="s">
        <v>242</v>
      </c>
      <c r="G35" s="212">
        <f>-SUM(H36+G34)</f>
        <v>138483220.53825006</v>
      </c>
      <c r="H35" s="212"/>
    </row>
    <row r="36" spans="1:10" ht="15" customHeight="1">
      <c r="A36" s="206" t="s">
        <v>250</v>
      </c>
      <c r="B36" s="206" t="s">
        <v>504</v>
      </c>
      <c r="C36" s="206" t="s">
        <v>462</v>
      </c>
      <c r="D36" s="206" t="s">
        <v>464</v>
      </c>
      <c r="E36" s="206" t="s">
        <v>498</v>
      </c>
      <c r="F36" s="213" t="s">
        <v>244</v>
      </c>
      <c r="G36" s="212"/>
      <c r="H36" s="212">
        <f>-'Consol SoFP 23 &amp; 22'!AP102</f>
        <v>-282618817.42500013</v>
      </c>
      <c r="I36" s="211">
        <f>SUM(G34:H36)</f>
        <v>0</v>
      </c>
    </row>
    <row r="37" spans="1:10" ht="15" customHeight="1">
      <c r="G37" s="212"/>
      <c r="H37" s="212"/>
      <c r="I37" s="214"/>
    </row>
    <row r="38" spans="1:10" ht="14.5">
      <c r="A38" s="206" t="s">
        <v>250</v>
      </c>
      <c r="B38" s="206" t="s">
        <v>505</v>
      </c>
      <c r="C38" s="206" t="s">
        <v>462</v>
      </c>
      <c r="D38" s="206" t="s">
        <v>465</v>
      </c>
      <c r="E38" s="206" t="s">
        <v>506</v>
      </c>
      <c r="F38" s="206" t="s">
        <v>239</v>
      </c>
      <c r="G38" s="212">
        <f>-'Consol SoFP 23 &amp; 22'!AS93</f>
        <v>984375000</v>
      </c>
      <c r="H38" s="212"/>
    </row>
    <row r="39" spans="1:10" ht="15" customHeight="1">
      <c r="A39" s="206" t="s">
        <v>250</v>
      </c>
      <c r="B39" s="206" t="s">
        <v>505</v>
      </c>
      <c r="C39" s="206" t="s">
        <v>462</v>
      </c>
      <c r="D39" s="206" t="s">
        <v>465</v>
      </c>
      <c r="E39" s="206" t="s">
        <v>506</v>
      </c>
      <c r="F39" s="213" t="s">
        <v>240</v>
      </c>
      <c r="G39" s="212"/>
      <c r="H39" s="212">
        <f>-G38*51%</f>
        <v>-502031250</v>
      </c>
    </row>
    <row r="40" spans="1:10" ht="15" customHeight="1">
      <c r="A40" s="206" t="s">
        <v>250</v>
      </c>
      <c r="B40" s="206" t="s">
        <v>505</v>
      </c>
      <c r="C40" s="206" t="s">
        <v>462</v>
      </c>
      <c r="D40" s="206" t="s">
        <v>465</v>
      </c>
      <c r="E40" s="206" t="s">
        <v>506</v>
      </c>
      <c r="F40" s="213" t="s">
        <v>241</v>
      </c>
      <c r="G40" s="212"/>
      <c r="H40" s="212">
        <f>-SUM(G38,H39)</f>
        <v>-482343750</v>
      </c>
      <c r="I40" s="212">
        <f>SUM(G38:H40)</f>
        <v>0</v>
      </c>
    </row>
    <row r="41" spans="1:10" ht="15" customHeight="1">
      <c r="G41" s="212"/>
      <c r="H41" s="212"/>
      <c r="I41" s="211"/>
    </row>
    <row r="42" spans="1:10" ht="14.5">
      <c r="A42" s="206" t="s">
        <v>250</v>
      </c>
      <c r="B42" s="206" t="s">
        <v>507</v>
      </c>
      <c r="C42" s="206" t="s">
        <v>462</v>
      </c>
      <c r="D42" s="206" t="s">
        <v>465</v>
      </c>
      <c r="E42" s="206" t="s">
        <v>508</v>
      </c>
      <c r="F42" s="206" t="s">
        <v>509</v>
      </c>
      <c r="G42" s="212">
        <f>-'Consol SoFP 23 &amp; 22'!AS95</f>
        <v>2165625000</v>
      </c>
      <c r="H42" s="212"/>
    </row>
    <row r="43" spans="1:10" ht="15" customHeight="1">
      <c r="A43" s="206" t="s">
        <v>250</v>
      </c>
      <c r="B43" s="206" t="s">
        <v>507</v>
      </c>
      <c r="C43" s="206" t="s">
        <v>462</v>
      </c>
      <c r="D43" s="206" t="s">
        <v>465</v>
      </c>
      <c r="E43" s="206" t="s">
        <v>508</v>
      </c>
      <c r="F43" s="213" t="s">
        <v>240</v>
      </c>
      <c r="G43" s="212"/>
      <c r="H43" s="212">
        <f>'Proforma Adjustment'!E51</f>
        <v>-1104468750</v>
      </c>
    </row>
    <row r="44" spans="1:10" ht="15" customHeight="1">
      <c r="A44" s="206" t="s">
        <v>250</v>
      </c>
      <c r="B44" s="206" t="s">
        <v>507</v>
      </c>
      <c r="C44" s="206" t="s">
        <v>462</v>
      </c>
      <c r="D44" s="206" t="s">
        <v>465</v>
      </c>
      <c r="E44" s="206" t="s">
        <v>508</v>
      </c>
      <c r="F44" s="213" t="s">
        <v>241</v>
      </c>
      <c r="G44" s="212"/>
      <c r="H44" s="212">
        <f>-SUM(G42,H43)</f>
        <v>-1061156250</v>
      </c>
      <c r="I44" s="212">
        <f>SUM(G42:H44)</f>
        <v>0</v>
      </c>
    </row>
    <row r="46" spans="1:10" ht="15" customHeight="1">
      <c r="A46" s="206" t="s">
        <v>250</v>
      </c>
      <c r="B46" s="206" t="s">
        <v>507</v>
      </c>
      <c r="C46" s="206" t="s">
        <v>462</v>
      </c>
      <c r="D46" s="206" t="s">
        <v>465</v>
      </c>
      <c r="E46" s="206" t="s">
        <v>510</v>
      </c>
      <c r="F46" s="206" t="s">
        <v>243</v>
      </c>
      <c r="G46" s="212">
        <f>-'Consol SoFP 23 &amp; 22'!AS101</f>
        <v>11332579376.475</v>
      </c>
      <c r="H46" s="212"/>
      <c r="J46" s="211"/>
    </row>
    <row r="47" spans="1:10" ht="15" customHeight="1">
      <c r="A47" s="206" t="s">
        <v>250</v>
      </c>
      <c r="B47" s="206" t="s">
        <v>507</v>
      </c>
      <c r="C47" s="206" t="s">
        <v>462</v>
      </c>
      <c r="D47" s="206" t="s">
        <v>465</v>
      </c>
      <c r="E47" s="206" t="s">
        <v>510</v>
      </c>
      <c r="F47" s="206" t="s">
        <v>244</v>
      </c>
      <c r="G47" s="212">
        <f>-'Consol SoFP 23 &amp; 22'!AS102</f>
        <v>-574553968</v>
      </c>
      <c r="H47" s="212"/>
      <c r="J47" s="211"/>
    </row>
    <row r="48" spans="1:10" ht="15" customHeight="1">
      <c r="A48" s="206" t="s">
        <v>250</v>
      </c>
      <c r="B48" s="206" t="s">
        <v>507</v>
      </c>
      <c r="C48" s="206" t="s">
        <v>462</v>
      </c>
      <c r="D48" s="206" t="s">
        <v>465</v>
      </c>
      <c r="E48" s="206" t="s">
        <v>510</v>
      </c>
      <c r="F48" s="213" t="s">
        <v>240</v>
      </c>
      <c r="G48" s="212"/>
      <c r="H48" s="212">
        <f>-SUM(G46:G47)*51%</f>
        <v>-5486592958.3222504</v>
      </c>
    </row>
    <row r="49" spans="1:12" ht="15" customHeight="1">
      <c r="A49" s="206" t="s">
        <v>250</v>
      </c>
      <c r="B49" s="206" t="s">
        <v>507</v>
      </c>
      <c r="C49" s="206" t="s">
        <v>462</v>
      </c>
      <c r="D49" s="206" t="s">
        <v>465</v>
      </c>
      <c r="E49" s="206" t="s">
        <v>510</v>
      </c>
      <c r="F49" s="213" t="s">
        <v>241</v>
      </c>
      <c r="G49" s="212"/>
      <c r="H49" s="212">
        <f>-G46*49%</f>
        <v>-5552963894.4727497</v>
      </c>
      <c r="I49" s="212"/>
    </row>
    <row r="50" spans="1:12" ht="15" customHeight="1">
      <c r="A50" s="206" t="s">
        <v>250</v>
      </c>
      <c r="B50" s="206" t="s">
        <v>507</v>
      </c>
      <c r="C50" s="206" t="s">
        <v>462</v>
      </c>
      <c r="D50" s="206" t="s">
        <v>465</v>
      </c>
      <c r="E50" s="206" t="s">
        <v>510</v>
      </c>
      <c r="F50" s="213" t="s">
        <v>242</v>
      </c>
      <c r="G50" s="212"/>
      <c r="H50" s="212">
        <f>-G47*49%</f>
        <v>281531444.31999999</v>
      </c>
      <c r="I50" s="212">
        <f>SUM(G46:H50)</f>
        <v>0</v>
      </c>
    </row>
    <row r="51" spans="1:12" ht="15" customHeight="1">
      <c r="G51" s="212"/>
      <c r="H51" s="212"/>
    </row>
    <row r="52" spans="1:12" ht="14.5">
      <c r="A52" s="206" t="s">
        <v>250</v>
      </c>
      <c r="B52" s="206" t="s">
        <v>511</v>
      </c>
      <c r="C52" s="206" t="s">
        <v>462</v>
      </c>
      <c r="D52" s="206" t="s">
        <v>512</v>
      </c>
      <c r="E52" s="206" t="s">
        <v>508</v>
      </c>
      <c r="F52" s="206" t="s">
        <v>239</v>
      </c>
      <c r="G52" s="212">
        <f>-'Consol SoFP 23 &amp; 22'!AV93</f>
        <v>472500000</v>
      </c>
      <c r="H52" s="212"/>
    </row>
    <row r="53" spans="1:12" ht="15" customHeight="1">
      <c r="A53" s="206" t="s">
        <v>250</v>
      </c>
      <c r="B53" s="206" t="s">
        <v>511</v>
      </c>
      <c r="C53" s="206" t="s">
        <v>462</v>
      </c>
      <c r="D53" s="206" t="s">
        <v>512</v>
      </c>
      <c r="E53" s="206" t="s">
        <v>508</v>
      </c>
      <c r="F53" s="213" t="s">
        <v>240</v>
      </c>
      <c r="G53" s="212"/>
      <c r="H53" s="212">
        <f>-G52*51%</f>
        <v>-240975000</v>
      </c>
    </row>
    <row r="54" spans="1:12" ht="15" customHeight="1">
      <c r="A54" s="206" t="s">
        <v>250</v>
      </c>
      <c r="B54" s="206" t="s">
        <v>511</v>
      </c>
      <c r="C54" s="206" t="s">
        <v>462</v>
      </c>
      <c r="D54" s="206" t="s">
        <v>512</v>
      </c>
      <c r="E54" s="206" t="s">
        <v>508</v>
      </c>
      <c r="F54" s="213" t="s">
        <v>241</v>
      </c>
      <c r="G54" s="212"/>
      <c r="H54" s="212">
        <f>-SUM(G52,H53)</f>
        <v>-231525000</v>
      </c>
      <c r="I54" s="212">
        <f>SUM(G52:H54)</f>
        <v>0</v>
      </c>
    </row>
    <row r="55" spans="1:12" ht="15" customHeight="1">
      <c r="G55" s="212"/>
      <c r="H55" s="212"/>
      <c r="I55" s="211"/>
    </row>
    <row r="56" spans="1:12" ht="15" customHeight="1">
      <c r="A56" s="206" t="s">
        <v>250</v>
      </c>
      <c r="B56" s="206" t="s">
        <v>513</v>
      </c>
      <c r="C56" s="206" t="s">
        <v>462</v>
      </c>
      <c r="D56" s="206" t="s">
        <v>512</v>
      </c>
      <c r="E56" s="206" t="s">
        <v>510</v>
      </c>
      <c r="F56" s="206" t="s">
        <v>243</v>
      </c>
      <c r="G56" s="212">
        <f>-'Consol SoFP 23 &amp; 22'!AV101</f>
        <v>20240927228</v>
      </c>
      <c r="H56" s="212"/>
      <c r="J56" s="211"/>
      <c r="L56" s="481">
        <f>'Capital Proforma Control'!J10</f>
        <v>0.51</v>
      </c>
    </row>
    <row r="57" spans="1:12" ht="15" customHeight="1">
      <c r="A57" s="206" t="s">
        <v>250</v>
      </c>
      <c r="B57" s="206" t="s">
        <v>513</v>
      </c>
      <c r="C57" s="206" t="s">
        <v>462</v>
      </c>
      <c r="D57" s="206" t="s">
        <v>512</v>
      </c>
      <c r="E57" s="206" t="s">
        <v>510</v>
      </c>
      <c r="F57" s="206" t="s">
        <v>244</v>
      </c>
      <c r="G57" s="212">
        <f>-'Consol SoFP 23 &amp; 22'!AV102</f>
        <v>-39420351553.376801</v>
      </c>
      <c r="H57" s="212"/>
      <c r="J57" s="211"/>
    </row>
    <row r="58" spans="1:12" ht="15" customHeight="1">
      <c r="A58" s="206" t="s">
        <v>250</v>
      </c>
      <c r="B58" s="206" t="s">
        <v>513</v>
      </c>
      <c r="C58" s="206" t="s">
        <v>462</v>
      </c>
      <c r="D58" s="206" t="s">
        <v>512</v>
      </c>
      <c r="E58" s="206" t="s">
        <v>510</v>
      </c>
      <c r="F58" s="213" t="s">
        <v>240</v>
      </c>
      <c r="G58" s="212"/>
      <c r="H58" s="212">
        <f>-SUM(G56:G57)*'Capital Proforma Control'!J10</f>
        <v>9781506405.9421692</v>
      </c>
    </row>
    <row r="59" spans="1:12" ht="15" customHeight="1">
      <c r="A59" s="206" t="s">
        <v>250</v>
      </c>
      <c r="B59" s="206" t="s">
        <v>513</v>
      </c>
      <c r="C59" s="206" t="s">
        <v>462</v>
      </c>
      <c r="D59" s="206" t="s">
        <v>512</v>
      </c>
      <c r="E59" s="206" t="s">
        <v>510</v>
      </c>
      <c r="F59" s="213" t="s">
        <v>241</v>
      </c>
      <c r="G59" s="212"/>
      <c r="H59" s="212">
        <f>-G56*(1-L56)</f>
        <v>-9918054341.7199993</v>
      </c>
      <c r="I59" s="212"/>
    </row>
    <row r="60" spans="1:12" ht="15" customHeight="1">
      <c r="A60" s="206" t="s">
        <v>250</v>
      </c>
      <c r="B60" s="206" t="s">
        <v>513</v>
      </c>
      <c r="C60" s="206" t="s">
        <v>462</v>
      </c>
      <c r="D60" s="206" t="s">
        <v>512</v>
      </c>
      <c r="E60" s="206" t="s">
        <v>510</v>
      </c>
      <c r="F60" s="213" t="s">
        <v>242</v>
      </c>
      <c r="G60" s="212"/>
      <c r="H60" s="212">
        <f>-G57*(1-L56)</f>
        <v>19315972261.154633</v>
      </c>
      <c r="I60" s="212">
        <f>SUM(G56:H60)</f>
        <v>0</v>
      </c>
    </row>
    <row r="62" spans="1:12" ht="15" customHeight="1">
      <c r="A62" s="206" t="s">
        <v>250</v>
      </c>
      <c r="B62" s="206" t="s">
        <v>514</v>
      </c>
      <c r="C62" s="206" t="s">
        <v>462</v>
      </c>
      <c r="D62" s="206" t="s">
        <v>515</v>
      </c>
      <c r="E62" s="206" t="s">
        <v>516</v>
      </c>
      <c r="F62" s="206" t="s">
        <v>59</v>
      </c>
      <c r="G62" s="212">
        <f>-'Interco Matrix BS 2022'!E7</f>
        <v>1417500000</v>
      </c>
      <c r="H62" s="212"/>
      <c r="J62" s="206" t="s">
        <v>517</v>
      </c>
    </row>
    <row r="63" spans="1:12" ht="15" customHeight="1">
      <c r="A63" s="206" t="s">
        <v>250</v>
      </c>
      <c r="B63" s="206" t="s">
        <v>514</v>
      </c>
      <c r="C63" s="206" t="s">
        <v>462</v>
      </c>
      <c r="D63" s="206" t="s">
        <v>515</v>
      </c>
      <c r="E63" s="206" t="s">
        <v>516</v>
      </c>
      <c r="F63" s="206" t="s">
        <v>68</v>
      </c>
      <c r="G63" s="212">
        <f>-'Consol SoFP 23 &amp; 22'!AK70</f>
        <v>16469976445</v>
      </c>
      <c r="H63" s="212"/>
      <c r="J63" s="206" t="s">
        <v>518</v>
      </c>
    </row>
    <row r="64" spans="1:12" ht="15" customHeight="1">
      <c r="A64" s="206" t="s">
        <v>250</v>
      </c>
      <c r="B64" s="206" t="s">
        <v>514</v>
      </c>
      <c r="C64" s="206" t="s">
        <v>462</v>
      </c>
      <c r="D64" s="206" t="s">
        <v>515</v>
      </c>
      <c r="E64" s="206" t="s">
        <v>516</v>
      </c>
      <c r="F64" s="206" t="s">
        <v>59</v>
      </c>
      <c r="G64" s="212">
        <f>-'Interco Matrix BS 2022'!D25</f>
        <v>1575000</v>
      </c>
      <c r="H64" s="212"/>
      <c r="J64" s="206" t="s">
        <v>519</v>
      </c>
    </row>
    <row r="65" spans="1:10" ht="15" customHeight="1">
      <c r="A65" s="206" t="s">
        <v>250</v>
      </c>
      <c r="B65" s="206" t="s">
        <v>514</v>
      </c>
      <c r="C65" s="206" t="s">
        <v>462</v>
      </c>
      <c r="D65" s="206" t="s">
        <v>515</v>
      </c>
      <c r="E65" s="206" t="s">
        <v>516</v>
      </c>
      <c r="F65" s="213" t="s">
        <v>29</v>
      </c>
      <c r="G65" s="212"/>
      <c r="H65" s="212">
        <f>-'Interco Matrix BS 2022'!D14</f>
        <v>-1417500000</v>
      </c>
      <c r="I65" s="212"/>
      <c r="J65" s="206" t="s">
        <v>518</v>
      </c>
    </row>
    <row r="66" spans="1:10" ht="15" customHeight="1">
      <c r="A66" s="206" t="s">
        <v>250</v>
      </c>
      <c r="B66" s="206" t="s">
        <v>514</v>
      </c>
      <c r="C66" s="206" t="s">
        <v>462</v>
      </c>
      <c r="D66" s="206" t="s">
        <v>515</v>
      </c>
      <c r="E66" s="206" t="s">
        <v>516</v>
      </c>
      <c r="F66" s="213" t="s">
        <v>32</v>
      </c>
      <c r="G66" s="212"/>
      <c r="H66" s="212">
        <f>-'Interco Matrix BS 2022'!E10</f>
        <v>-16469976444.866993</v>
      </c>
      <c r="I66" s="212"/>
      <c r="J66" s="206" t="s">
        <v>517</v>
      </c>
    </row>
    <row r="67" spans="1:10" ht="15" customHeight="1">
      <c r="A67" s="206" t="s">
        <v>250</v>
      </c>
      <c r="B67" s="206" t="s">
        <v>514</v>
      </c>
      <c r="C67" s="206" t="s">
        <v>462</v>
      </c>
      <c r="D67" s="206" t="s">
        <v>515</v>
      </c>
      <c r="E67" s="206" t="s">
        <v>516</v>
      </c>
      <c r="F67" s="213" t="s">
        <v>29</v>
      </c>
      <c r="G67" s="212"/>
      <c r="H67" s="212">
        <f>-'Interco Matrix BS 2022'!G8</f>
        <v>-1575000</v>
      </c>
      <c r="I67" s="212">
        <f>SUM(G62:H67)</f>
        <v>0.13300704956054688</v>
      </c>
      <c r="J67" s="206" t="s">
        <v>517</v>
      </c>
    </row>
    <row r="68" spans="1:10" ht="15" customHeight="1"/>
    <row r="69" spans="1:10" ht="15" customHeight="1">
      <c r="A69" s="206" t="s">
        <v>250</v>
      </c>
      <c r="B69" s="206" t="s">
        <v>520</v>
      </c>
      <c r="C69" s="206" t="s">
        <v>462</v>
      </c>
      <c r="D69" s="206" t="s">
        <v>521</v>
      </c>
      <c r="E69" s="206" t="s">
        <v>522</v>
      </c>
      <c r="F69" s="206" t="s">
        <v>65</v>
      </c>
      <c r="G69" s="212">
        <f>-'Interco Matrix BS 2022'!H9</f>
        <v>14058094952.475</v>
      </c>
      <c r="H69" s="212"/>
      <c r="J69" s="206" t="s">
        <v>517</v>
      </c>
    </row>
    <row r="70" spans="1:10" ht="15" customHeight="1">
      <c r="A70" s="206" t="s">
        <v>250</v>
      </c>
      <c r="B70" s="206" t="s">
        <v>520</v>
      </c>
      <c r="C70" s="206" t="s">
        <v>462</v>
      </c>
      <c r="D70" s="206" t="s">
        <v>521</v>
      </c>
      <c r="E70" s="206" t="s">
        <v>522</v>
      </c>
      <c r="F70" s="206" t="s">
        <v>65</v>
      </c>
      <c r="G70" s="212">
        <f>-'Interco Matrix BS 2022'!D63</f>
        <v>130394112647.57324</v>
      </c>
      <c r="H70" s="212"/>
      <c r="J70" s="206" t="s">
        <v>523</v>
      </c>
    </row>
    <row r="71" spans="1:10" ht="15" customHeight="1">
      <c r="A71" s="206" t="s">
        <v>250</v>
      </c>
      <c r="B71" s="206" t="s">
        <v>520</v>
      </c>
      <c r="C71" s="206" t="s">
        <v>462</v>
      </c>
      <c r="D71" s="206" t="s">
        <v>521</v>
      </c>
      <c r="E71" s="206" t="s">
        <v>522</v>
      </c>
      <c r="F71" s="206" t="s">
        <v>62</v>
      </c>
      <c r="G71" s="212">
        <f>-'Interco Matrix BS 2022'!E65</f>
        <v>1798008334</v>
      </c>
      <c r="H71" s="212">
        <v>0</v>
      </c>
      <c r="I71" s="212"/>
      <c r="J71" s="206" t="s">
        <v>523</v>
      </c>
    </row>
    <row r="72" spans="1:10" ht="15" customHeight="1">
      <c r="B72" s="206" t="s">
        <v>520</v>
      </c>
      <c r="C72" s="206" t="s">
        <v>462</v>
      </c>
      <c r="D72" s="206" t="s">
        <v>521</v>
      </c>
      <c r="F72" s="206" t="s">
        <v>65</v>
      </c>
      <c r="G72" s="212">
        <f>-H87</f>
        <v>8728958944.7613792</v>
      </c>
      <c r="H72" s="212"/>
      <c r="I72" s="212"/>
    </row>
    <row r="73" spans="1:10" ht="15" customHeight="1">
      <c r="A73" s="206" t="s">
        <v>250</v>
      </c>
      <c r="B73" s="206" t="s">
        <v>520</v>
      </c>
      <c r="C73" s="206" t="s">
        <v>462</v>
      </c>
      <c r="D73" s="206" t="s">
        <v>521</v>
      </c>
      <c r="E73" s="206" t="s">
        <v>522</v>
      </c>
      <c r="F73" s="213" t="s">
        <v>29</v>
      </c>
      <c r="G73" s="212"/>
      <c r="H73" s="212">
        <f>-G83</f>
        <v>-8728958944.7613792</v>
      </c>
      <c r="I73" s="212"/>
      <c r="J73" s="206" t="s">
        <v>523</v>
      </c>
    </row>
    <row r="74" spans="1:10" ht="15" customHeight="1">
      <c r="A74" s="206" t="s">
        <v>250</v>
      </c>
      <c r="B74" s="206" t="s">
        <v>520</v>
      </c>
      <c r="C74" s="206" t="s">
        <v>462</v>
      </c>
      <c r="D74" s="206" t="s">
        <v>521</v>
      </c>
      <c r="E74" s="206" t="s">
        <v>522</v>
      </c>
      <c r="F74" s="213" t="s">
        <v>29</v>
      </c>
      <c r="G74" s="212"/>
      <c r="H74" s="212">
        <f>-'Interco Matrix BS 2022'!L8</f>
        <v>-130394112646.51161</v>
      </c>
      <c r="I74" s="212"/>
      <c r="J74" s="206" t="s">
        <v>517</v>
      </c>
    </row>
    <row r="75" spans="1:10" ht="15" customHeight="1">
      <c r="A75" s="206" t="s">
        <v>250</v>
      </c>
      <c r="B75" s="206" t="s">
        <v>520</v>
      </c>
      <c r="C75" s="206" t="s">
        <v>462</v>
      </c>
      <c r="D75" s="206" t="s">
        <v>521</v>
      </c>
      <c r="E75" s="206" t="s">
        <v>522</v>
      </c>
      <c r="F75" s="213" t="s">
        <v>32</v>
      </c>
      <c r="G75" s="212"/>
      <c r="H75" s="212">
        <f>-'Interco Matrix BS 2022'!L10</f>
        <v>-1798008334.2783434</v>
      </c>
      <c r="I75" s="212"/>
      <c r="J75" s="206" t="s">
        <v>517</v>
      </c>
    </row>
    <row r="76" spans="1:10" ht="15" customHeight="1">
      <c r="A76" s="206" t="s">
        <v>250</v>
      </c>
      <c r="B76" s="206" t="s">
        <v>520</v>
      </c>
      <c r="C76" s="206" t="s">
        <v>462</v>
      </c>
      <c r="D76" s="206" t="s">
        <v>521</v>
      </c>
      <c r="E76" s="206" t="s">
        <v>522</v>
      </c>
      <c r="F76" s="213" t="s">
        <v>29</v>
      </c>
      <c r="G76" s="212"/>
      <c r="H76" s="212">
        <f>-'Interco Matrix BS 2022'!D32</f>
        <v>-14058094952.475</v>
      </c>
      <c r="I76" s="212">
        <f>SUM(G69:H76)</f>
        <v>0.78329277038574219</v>
      </c>
      <c r="J76" s="206" t="s">
        <v>524</v>
      </c>
    </row>
    <row r="77" spans="1:10" ht="15" customHeight="1"/>
    <row r="78" spans="1:10" ht="15" customHeight="1">
      <c r="A78" s="206" t="s">
        <v>250</v>
      </c>
      <c r="B78" s="206" t="s">
        <v>525</v>
      </c>
      <c r="C78" s="206" t="s">
        <v>515</v>
      </c>
      <c r="D78" s="206" t="s">
        <v>521</v>
      </c>
      <c r="E78" s="206" t="s">
        <v>526</v>
      </c>
      <c r="F78" s="206" t="s">
        <v>65</v>
      </c>
      <c r="G78" s="212">
        <f>-'Interco Matrix BS 2022'!E33</f>
        <v>85479975</v>
      </c>
      <c r="H78" s="212"/>
      <c r="J78" s="206" t="s">
        <v>524</v>
      </c>
    </row>
    <row r="79" spans="1:10" ht="15" customHeight="1">
      <c r="A79" s="206" t="s">
        <v>250</v>
      </c>
      <c r="B79" s="206" t="s">
        <v>525</v>
      </c>
      <c r="C79" s="206" t="s">
        <v>515</v>
      </c>
      <c r="D79" s="206" t="s">
        <v>521</v>
      </c>
      <c r="E79" s="206" t="s">
        <v>526</v>
      </c>
      <c r="F79" s="206" t="s">
        <v>65</v>
      </c>
      <c r="G79" s="212">
        <f>-'Interco Matrix BS 2022'!E63</f>
        <v>3050955732.4749999</v>
      </c>
      <c r="H79" s="212"/>
      <c r="J79" s="206" t="s">
        <v>523</v>
      </c>
    </row>
    <row r="80" spans="1:10" ht="15" customHeight="1">
      <c r="A80" s="206" t="s">
        <v>250</v>
      </c>
      <c r="B80" s="206" t="s">
        <v>525</v>
      </c>
      <c r="C80" s="206" t="s">
        <v>515</v>
      </c>
      <c r="D80" s="206" t="s">
        <v>521</v>
      </c>
      <c r="E80" s="206" t="s">
        <v>526</v>
      </c>
      <c r="F80" s="213" t="s">
        <v>29</v>
      </c>
      <c r="G80" s="212"/>
      <c r="H80" s="212">
        <f>-'Interco Matrix BS 2022'!H14</f>
        <v>-85479975</v>
      </c>
      <c r="I80" s="212"/>
      <c r="J80" s="206" t="s">
        <v>518</v>
      </c>
    </row>
    <row r="81" spans="1:10" ht="15" customHeight="1">
      <c r="A81" s="206" t="s">
        <v>250</v>
      </c>
      <c r="B81" s="206" t="s">
        <v>525</v>
      </c>
      <c r="C81" s="206" t="s">
        <v>515</v>
      </c>
      <c r="D81" s="206" t="s">
        <v>521</v>
      </c>
      <c r="E81" s="206" t="s">
        <v>526</v>
      </c>
      <c r="F81" s="213" t="s">
        <v>29</v>
      </c>
      <c r="G81" s="212"/>
      <c r="H81" s="212">
        <f>-'Interco Matrix BS 2022'!L14</f>
        <v>-3050955732.8249998</v>
      </c>
      <c r="I81" s="212"/>
      <c r="J81" s="206" t="s">
        <v>518</v>
      </c>
    </row>
    <row r="82" spans="1:10" ht="15" customHeight="1"/>
    <row r="83" spans="1:10" ht="15" customHeight="1">
      <c r="B83" s="206" t="s">
        <v>527</v>
      </c>
      <c r="C83" s="206" t="s">
        <v>462</v>
      </c>
      <c r="D83" s="206" t="s">
        <v>512</v>
      </c>
      <c r="F83" s="206" t="s">
        <v>29</v>
      </c>
      <c r="G83" s="212">
        <v>8728958944.7613792</v>
      </c>
      <c r="H83" s="212"/>
    </row>
    <row r="84" spans="1:10" ht="15" customHeight="1">
      <c r="B84" s="206" t="s">
        <v>527</v>
      </c>
      <c r="C84" s="206" t="s">
        <v>462</v>
      </c>
      <c r="D84" s="206" t="s">
        <v>512</v>
      </c>
      <c r="F84" s="213" t="s">
        <v>458</v>
      </c>
      <c r="G84" s="212"/>
      <c r="H84" s="212">
        <v>-8728958944.7613792</v>
      </c>
    </row>
    <row r="86" spans="1:10" ht="15" customHeight="1">
      <c r="B86" s="206" t="s">
        <v>527</v>
      </c>
      <c r="C86" s="206" t="s">
        <v>462</v>
      </c>
      <c r="D86" s="206" t="s">
        <v>512</v>
      </c>
      <c r="F86" s="206" t="s">
        <v>458</v>
      </c>
      <c r="G86" s="212">
        <v>8728958944.7613792</v>
      </c>
      <c r="H86" s="212"/>
    </row>
    <row r="87" spans="1:10" ht="15" customHeight="1">
      <c r="B87" s="206" t="s">
        <v>527</v>
      </c>
      <c r="C87" s="206" t="s">
        <v>462</v>
      </c>
      <c r="D87" s="206" t="s">
        <v>512</v>
      </c>
      <c r="F87" s="213" t="s">
        <v>65</v>
      </c>
      <c r="G87" s="212"/>
      <c r="H87" s="212">
        <v>-8728958944.7613792</v>
      </c>
    </row>
  </sheetData>
  <pageMargins left="0.7" right="0.7" top="0.75" bottom="0.75" header="0.3" footer="0.3"/>
  <pageSetup orientation="portrait" r:id="rId1"/>
  <headerFooter>
    <oddHeader>&amp;CV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644C-EB35-452D-9EF2-3AEA35B4FB62}">
  <sheetPr>
    <tabColor rgb="FF002060"/>
  </sheetPr>
  <dimension ref="B3:S59"/>
  <sheetViews>
    <sheetView workbookViewId="0"/>
  </sheetViews>
  <sheetFormatPr defaultColWidth="7.7265625" defaultRowHeight="12.5" outlineLevelRow="1" outlineLevelCol="1"/>
  <cols>
    <col min="1" max="1" width="4.453125" style="482" bestFit="1" customWidth="1"/>
    <col min="2" max="2" width="6.26953125" style="482" bestFit="1" customWidth="1"/>
    <col min="3" max="3" width="36.1796875" style="482" customWidth="1"/>
    <col min="4" max="4" width="18.26953125" style="482" customWidth="1"/>
    <col min="5" max="5" width="20.81640625" style="483" customWidth="1"/>
    <col min="6" max="8" width="20.81640625" style="484" customWidth="1"/>
    <col min="9" max="11" width="20.81640625" style="484" customWidth="1" outlineLevel="1"/>
    <col min="12" max="13" width="20.81640625" style="484" customWidth="1"/>
    <col min="14" max="14" width="17.81640625" style="482" bestFit="1" customWidth="1"/>
    <col min="15" max="15" width="18.7265625" style="485" customWidth="1"/>
    <col min="16" max="16" width="19" style="482" customWidth="1"/>
    <col min="17" max="16384" width="7.7265625" style="482"/>
  </cols>
  <sheetData>
    <row r="3" spans="2:19">
      <c r="E3" s="483" t="s">
        <v>233</v>
      </c>
    </row>
    <row r="4" spans="2:19">
      <c r="B4" s="670"/>
      <c r="C4" s="671"/>
      <c r="D4" s="486"/>
      <c r="E4" s="674" t="s">
        <v>722</v>
      </c>
      <c r="F4" s="674"/>
      <c r="G4" s="674"/>
      <c r="H4" s="675" t="s">
        <v>782</v>
      </c>
      <c r="I4" s="676"/>
      <c r="J4" s="676"/>
      <c r="K4" s="676"/>
      <c r="L4" s="677"/>
      <c r="M4" s="678" t="s">
        <v>661</v>
      </c>
      <c r="N4" s="680" t="s">
        <v>225</v>
      </c>
      <c r="O4" s="487"/>
    </row>
    <row r="5" spans="2:19">
      <c r="B5" s="672"/>
      <c r="C5" s="673"/>
      <c r="D5" s="488" t="s">
        <v>640</v>
      </c>
      <c r="E5" s="489" t="s">
        <v>688</v>
      </c>
      <c r="F5" s="490" t="s">
        <v>802</v>
      </c>
      <c r="G5" s="490" t="s">
        <v>740</v>
      </c>
      <c r="H5" s="491" t="s">
        <v>465</v>
      </c>
      <c r="I5" s="491" t="s">
        <v>815</v>
      </c>
      <c r="J5" s="491" t="s">
        <v>639</v>
      </c>
      <c r="K5" s="491" t="s">
        <v>461</v>
      </c>
      <c r="L5" s="491" t="s">
        <v>609</v>
      </c>
      <c r="M5" s="679"/>
      <c r="N5" s="681"/>
      <c r="O5" s="487" t="s">
        <v>528</v>
      </c>
      <c r="P5" s="492" t="s">
        <v>109</v>
      </c>
    </row>
    <row r="6" spans="2:19">
      <c r="B6" s="493" t="s">
        <v>640</v>
      </c>
      <c r="C6" s="494" t="s">
        <v>21</v>
      </c>
      <c r="D6" s="495"/>
      <c r="E6" s="496"/>
      <c r="F6" s="496"/>
      <c r="G6" s="496"/>
      <c r="H6" s="497"/>
      <c r="I6" s="497"/>
      <c r="J6" s="497"/>
      <c r="K6" s="497"/>
      <c r="L6" s="497"/>
      <c r="M6" s="498">
        <f>SUM('-BS-RP Disclosure 2023'!G25:G27)</f>
        <v>30542833417.375</v>
      </c>
      <c r="N6" s="499">
        <f t="shared" ref="N6:N31" si="0">SUM(D6:M6)</f>
        <v>30542833417.375</v>
      </c>
      <c r="O6" s="487">
        <f>'Consol SoFP 23 &amp; 22'!H18</f>
        <v>30542833417</v>
      </c>
      <c r="P6" s="500">
        <f>ROUND(N6-O6,0)</f>
        <v>0</v>
      </c>
      <c r="Q6" s="501" t="str">
        <f>IF(P6=0,"Oke","recheck")</f>
        <v>Oke</v>
      </c>
    </row>
    <row r="7" spans="2:19">
      <c r="B7" s="493"/>
      <c r="C7" s="494" t="s">
        <v>59</v>
      </c>
      <c r="D7" s="502"/>
      <c r="E7" s="496">
        <f>'-BS-RP Disclosure 2023'!G170</f>
        <v>-15966037037.836618</v>
      </c>
      <c r="F7" s="496"/>
      <c r="G7" s="496"/>
      <c r="H7" s="497"/>
      <c r="I7" s="497"/>
      <c r="J7" s="497"/>
      <c r="K7" s="497"/>
      <c r="L7" s="497">
        <f>'-BS-RP Disclosure 2023'!G176</f>
        <v>-1130613.75</v>
      </c>
      <c r="M7" s="498">
        <f>SUM('-BS-RP Disclosure 2023'!G179:G192)</f>
        <v>-709979273.32500005</v>
      </c>
      <c r="N7" s="499">
        <f t="shared" si="0"/>
        <v>-16677146924.911619</v>
      </c>
      <c r="O7" s="487">
        <f>'Consol SoFP 23 &amp; 22'!H61</f>
        <v>-16677146926</v>
      </c>
      <c r="P7" s="500">
        <f t="shared" ref="P7:P53" si="1">ROUND(N7-O7,0)</f>
        <v>1</v>
      </c>
      <c r="Q7" s="501" t="str">
        <f t="shared" ref="Q7:Q53" si="2">IF(P7=0,"Oke","recheck")</f>
        <v>recheck</v>
      </c>
    </row>
    <row r="8" spans="2:19">
      <c r="B8" s="493"/>
      <c r="C8" s="494" t="s">
        <v>29</v>
      </c>
      <c r="D8" s="502"/>
      <c r="E8" s="496">
        <f>'-BS-RP Disclosure 2023'!G67</f>
        <v>602607419216.77502</v>
      </c>
      <c r="F8" s="496">
        <f>'-BS-RP Disclosure 2023'!G77</f>
        <v>13253447670.75</v>
      </c>
      <c r="G8" s="496">
        <f>'-BS-RP Disclosure 2023'!G68</f>
        <v>9187565842.3500004</v>
      </c>
      <c r="H8" s="497">
        <f>'-BS-RP Disclosure 2023'!G69</f>
        <v>33728578502.849998</v>
      </c>
      <c r="I8" s="497">
        <v>0</v>
      </c>
      <c r="J8" s="497"/>
      <c r="K8" s="497"/>
      <c r="L8" s="497">
        <f>'-BS-RP Disclosure 2023'!G72</f>
        <v>144237470598.54584</v>
      </c>
      <c r="M8" s="498">
        <f>SUM('-BS-RP Disclosure 2023'!G75:G80)</f>
        <v>14221099060.875</v>
      </c>
      <c r="N8" s="499">
        <f t="shared" si="0"/>
        <v>817235580892.14575</v>
      </c>
      <c r="O8" s="487">
        <f>'Consol SoFP 23 &amp; 22'!H26</f>
        <v>803982133222</v>
      </c>
      <c r="P8" s="500">
        <f t="shared" si="1"/>
        <v>13253447670</v>
      </c>
      <c r="Q8" s="501" t="str">
        <f t="shared" si="2"/>
        <v>recheck</v>
      </c>
    </row>
    <row r="9" spans="2:19">
      <c r="B9" s="493"/>
      <c r="C9" s="494" t="s">
        <v>65</v>
      </c>
      <c r="D9" s="502"/>
      <c r="E9" s="496"/>
      <c r="F9" s="496"/>
      <c r="G9" s="496"/>
      <c r="H9" s="497"/>
      <c r="I9" s="497"/>
      <c r="J9" s="497"/>
      <c r="K9" s="497"/>
      <c r="L9" s="497"/>
      <c r="M9" s="498">
        <f>SUM('-BS-RP Disclosure 2023'!G236:G237)</f>
        <v>-15877040271.749998</v>
      </c>
      <c r="N9" s="499">
        <f t="shared" si="0"/>
        <v>-15877040271.749998</v>
      </c>
      <c r="O9" s="487">
        <f>'Consol SoFP 23 &amp; 22'!H67</f>
        <v>-15877040272</v>
      </c>
      <c r="P9" s="500">
        <f t="shared" si="1"/>
        <v>0</v>
      </c>
      <c r="Q9" s="501" t="str">
        <f t="shared" si="2"/>
        <v>Oke</v>
      </c>
    </row>
    <row r="10" spans="2:19">
      <c r="B10" s="493"/>
      <c r="C10" s="494" t="s">
        <v>32</v>
      </c>
      <c r="D10" s="502"/>
      <c r="E10" s="496">
        <f>'-BS-RP Disclosure 2023'!G95</f>
        <v>17087265240.85804</v>
      </c>
      <c r="F10" s="496"/>
      <c r="G10" s="496"/>
      <c r="H10" s="497"/>
      <c r="I10" s="497"/>
      <c r="J10" s="497"/>
      <c r="K10" s="497"/>
      <c r="L10" s="497">
        <f>'-BS-RP Disclosure 2023'!G102</f>
        <v>757589512.04999995</v>
      </c>
      <c r="M10" s="498">
        <f>SUM('-BS-RP Disclosure 2023'!G110:G112,'-BS-RP Disclosure 2023'!G115)</f>
        <v>14797548529.8291</v>
      </c>
      <c r="N10" s="499">
        <f t="shared" si="0"/>
        <v>32642403282.737137</v>
      </c>
      <c r="O10" s="487">
        <f>'Consol SoFP 23 &amp; 22'!H29</f>
        <v>58448443601</v>
      </c>
      <c r="P10" s="500">
        <f t="shared" si="1"/>
        <v>-25806040318</v>
      </c>
      <c r="Q10" s="501" t="str">
        <f t="shared" si="2"/>
        <v>recheck</v>
      </c>
      <c r="S10" s="482" t="s">
        <v>529</v>
      </c>
    </row>
    <row r="11" spans="2:19">
      <c r="B11" s="493"/>
      <c r="C11" s="494" t="s">
        <v>62</v>
      </c>
      <c r="D11" s="502"/>
      <c r="E11" s="496"/>
      <c r="F11" s="496"/>
      <c r="G11" s="496"/>
      <c r="H11" s="497"/>
      <c r="I11" s="497"/>
      <c r="J11" s="497"/>
      <c r="K11" s="497"/>
      <c r="L11" s="497"/>
      <c r="M11" s="498"/>
      <c r="N11" s="499">
        <f t="shared" si="0"/>
        <v>0</v>
      </c>
      <c r="O11" s="487"/>
      <c r="P11" s="500">
        <f t="shared" si="1"/>
        <v>0</v>
      </c>
      <c r="Q11" s="501" t="str">
        <f t="shared" si="2"/>
        <v>Oke</v>
      </c>
    </row>
    <row r="12" spans="2:19">
      <c r="B12" s="493" t="s">
        <v>688</v>
      </c>
      <c r="C12" s="494" t="s">
        <v>21</v>
      </c>
      <c r="D12" s="503">
        <v>3513008907.4499998</v>
      </c>
      <c r="E12" s="495"/>
      <c r="F12" s="496"/>
      <c r="G12" s="496"/>
      <c r="H12" s="497"/>
      <c r="I12" s="497"/>
      <c r="J12" s="497"/>
      <c r="K12" s="497"/>
      <c r="L12" s="497"/>
      <c r="M12" s="498"/>
      <c r="N12" s="499">
        <f t="shared" si="0"/>
        <v>3513008907.4499998</v>
      </c>
      <c r="O12" s="483">
        <f>'Consol SoFP 23 &amp; 22'!K18</f>
        <v>3513008908</v>
      </c>
      <c r="P12" s="500">
        <f t="shared" si="1"/>
        <v>-1</v>
      </c>
      <c r="Q12" s="501" t="str">
        <f t="shared" si="2"/>
        <v>recheck</v>
      </c>
    </row>
    <row r="13" spans="2:19">
      <c r="B13" s="493"/>
      <c r="C13" s="494" t="s">
        <v>59</v>
      </c>
      <c r="D13" s="503">
        <v>0</v>
      </c>
      <c r="E13" s="502"/>
      <c r="F13" s="496"/>
      <c r="G13" s="496"/>
      <c r="H13" s="497"/>
      <c r="I13" s="497"/>
      <c r="J13" s="497"/>
      <c r="K13" s="497"/>
      <c r="L13" s="497"/>
      <c r="M13" s="498"/>
      <c r="N13" s="499">
        <f t="shared" si="0"/>
        <v>0</v>
      </c>
      <c r="O13" s="483">
        <f>'Consol SoFP 23 &amp; 22'!K61</f>
        <v>0</v>
      </c>
      <c r="P13" s="500">
        <f t="shared" si="1"/>
        <v>0</v>
      </c>
      <c r="Q13" s="501" t="str">
        <f t="shared" si="2"/>
        <v>Oke</v>
      </c>
    </row>
    <row r="14" spans="2:19">
      <c r="B14" s="493"/>
      <c r="C14" s="494" t="s">
        <v>29</v>
      </c>
      <c r="D14" s="503">
        <v>0</v>
      </c>
      <c r="E14" s="502"/>
      <c r="F14" s="496">
        <v>1719061514.0999999</v>
      </c>
      <c r="G14" s="496"/>
      <c r="H14" s="497">
        <v>85479975</v>
      </c>
      <c r="I14" s="497">
        <v>86625000</v>
      </c>
      <c r="J14" s="497"/>
      <c r="K14" s="497"/>
      <c r="L14" s="497">
        <v>40883219692.875</v>
      </c>
      <c r="M14" s="498">
        <f>2729917990*1.575</f>
        <v>4299620834.25</v>
      </c>
      <c r="N14" s="499">
        <f t="shared" si="0"/>
        <v>47074007016.224998</v>
      </c>
      <c r="O14" s="483">
        <f>'Consol SoFP 23 &amp; 22'!K26</f>
        <v>47074007016</v>
      </c>
      <c r="P14" s="500">
        <f t="shared" si="1"/>
        <v>0</v>
      </c>
      <c r="Q14" s="501" t="str">
        <f t="shared" si="2"/>
        <v>Oke</v>
      </c>
    </row>
    <row r="15" spans="2:19">
      <c r="B15" s="493"/>
      <c r="C15" s="494" t="s">
        <v>65</v>
      </c>
      <c r="D15" s="503">
        <f>-382607885721*1.575</f>
        <v>-602607420010.57495</v>
      </c>
      <c r="E15" s="502"/>
      <c r="F15" s="496"/>
      <c r="G15" s="496"/>
      <c r="H15" s="497"/>
      <c r="I15" s="497"/>
      <c r="J15" s="497"/>
      <c r="K15" s="497"/>
      <c r="L15" s="497"/>
      <c r="M15" s="498"/>
      <c r="N15" s="499">
        <f t="shared" si="0"/>
        <v>-602607420010.57495</v>
      </c>
      <c r="O15" s="483">
        <f>'Consol SoFP 23 &amp; 22'!K67</f>
        <v>-602607420011</v>
      </c>
      <c r="P15" s="500">
        <f t="shared" si="1"/>
        <v>0</v>
      </c>
      <c r="Q15" s="501" t="str">
        <f t="shared" si="2"/>
        <v>Oke</v>
      </c>
    </row>
    <row r="16" spans="2:19">
      <c r="B16" s="493"/>
      <c r="C16" s="494" t="s">
        <v>32</v>
      </c>
      <c r="D16" s="503">
        <f>'-BS-RP Disclosure 2023'!H94</f>
        <v>12453028130.025</v>
      </c>
      <c r="E16" s="502"/>
      <c r="F16" s="496"/>
      <c r="G16" s="496"/>
      <c r="H16" s="504">
        <f>'-BS-RP Disclosure 2023'!H98</f>
        <v>0</v>
      </c>
      <c r="I16" s="497"/>
      <c r="J16" s="497"/>
      <c r="K16" s="497"/>
      <c r="L16" s="497">
        <f>'-BS-RP Disclosure 2023'!H102</f>
        <v>30256823164.049999</v>
      </c>
      <c r="M16" s="498">
        <f>10472200347*1.575</f>
        <v>16493715546.525</v>
      </c>
      <c r="N16" s="499">
        <f t="shared" si="0"/>
        <v>59203566840.599998</v>
      </c>
      <c r="O16" s="483">
        <f>'Consol SoFP 23 &amp; 22'!K29</f>
        <v>63036055189</v>
      </c>
      <c r="P16" s="500">
        <f t="shared" si="1"/>
        <v>-3832488348</v>
      </c>
      <c r="Q16" s="501" t="str">
        <f t="shared" si="2"/>
        <v>recheck</v>
      </c>
      <c r="S16" s="482" t="s">
        <v>529</v>
      </c>
    </row>
    <row r="17" spans="2:17">
      <c r="B17" s="493"/>
      <c r="C17" s="494" t="s">
        <v>68</v>
      </c>
      <c r="D17" s="503">
        <v>-17087265241.199999</v>
      </c>
      <c r="E17" s="502"/>
      <c r="F17" s="496"/>
      <c r="G17" s="496"/>
      <c r="H17" s="497"/>
      <c r="I17" s="497"/>
      <c r="J17" s="497"/>
      <c r="K17" s="497"/>
      <c r="L17" s="497"/>
      <c r="M17" s="498"/>
      <c r="N17" s="499">
        <f t="shared" si="0"/>
        <v>-17087265241.199999</v>
      </c>
      <c r="O17" s="483">
        <f>'Consol SoFP 23 &amp; 22'!K70</f>
        <v>-17087265241</v>
      </c>
      <c r="P17" s="500">
        <f t="shared" si="1"/>
        <v>0</v>
      </c>
      <c r="Q17" s="501" t="str">
        <f t="shared" si="2"/>
        <v>Oke</v>
      </c>
    </row>
    <row r="18" spans="2:17">
      <c r="B18" s="493" t="s">
        <v>740</v>
      </c>
      <c r="C18" s="494" t="s">
        <v>21</v>
      </c>
      <c r="D18" s="503"/>
      <c r="E18" s="496"/>
      <c r="F18" s="496"/>
      <c r="G18" s="495"/>
      <c r="H18" s="497"/>
      <c r="I18" s="497"/>
      <c r="J18" s="497"/>
      <c r="K18" s="497"/>
      <c r="L18" s="497"/>
      <c r="M18" s="498"/>
      <c r="N18" s="499">
        <f t="shared" si="0"/>
        <v>0</v>
      </c>
      <c r="O18" s="483">
        <v>0</v>
      </c>
      <c r="P18" s="500">
        <f t="shared" si="1"/>
        <v>0</v>
      </c>
      <c r="Q18" s="501" t="str">
        <f t="shared" si="2"/>
        <v>Oke</v>
      </c>
    </row>
    <row r="19" spans="2:17">
      <c r="B19" s="493"/>
      <c r="C19" s="494" t="s">
        <v>59</v>
      </c>
      <c r="D19" s="503"/>
      <c r="E19" s="496"/>
      <c r="F19" s="496"/>
      <c r="G19" s="495"/>
      <c r="H19" s="497"/>
      <c r="I19" s="497"/>
      <c r="J19" s="497"/>
      <c r="K19" s="497"/>
      <c r="L19" s="497"/>
      <c r="M19" s="498"/>
      <c r="N19" s="499">
        <f t="shared" si="0"/>
        <v>0</v>
      </c>
      <c r="O19" s="483">
        <f>'Consol SoFP 23 &amp; 22'!L61</f>
        <v>0</v>
      </c>
      <c r="P19" s="500">
        <f t="shared" si="1"/>
        <v>0</v>
      </c>
      <c r="Q19" s="501" t="str">
        <f t="shared" si="2"/>
        <v>Oke</v>
      </c>
    </row>
    <row r="20" spans="2:17">
      <c r="B20" s="493"/>
      <c r="C20" s="494" t="s">
        <v>29</v>
      </c>
      <c r="D20" s="503"/>
      <c r="E20" s="496"/>
      <c r="F20" s="496"/>
      <c r="G20" s="495"/>
      <c r="H20" s="497"/>
      <c r="I20" s="497"/>
      <c r="J20" s="497"/>
      <c r="K20" s="497"/>
      <c r="L20" s="497"/>
      <c r="M20" s="498"/>
      <c r="N20" s="499">
        <f t="shared" si="0"/>
        <v>0</v>
      </c>
      <c r="O20" s="483"/>
      <c r="P20" s="500">
        <f t="shared" si="1"/>
        <v>0</v>
      </c>
      <c r="Q20" s="501" t="str">
        <f t="shared" si="2"/>
        <v>Oke</v>
      </c>
    </row>
    <row r="21" spans="2:17">
      <c r="B21" s="493"/>
      <c r="C21" s="494" t="s">
        <v>65</v>
      </c>
      <c r="D21" s="503">
        <f>-5833375138*1.575</f>
        <v>-9187565842.3500004</v>
      </c>
      <c r="E21" s="496"/>
      <c r="F21" s="496"/>
      <c r="G21" s="502"/>
      <c r="H21" s="497"/>
      <c r="I21" s="497"/>
      <c r="J21" s="497"/>
      <c r="K21" s="497"/>
      <c r="L21" s="497"/>
      <c r="M21" s="498"/>
      <c r="N21" s="499">
        <f t="shared" si="0"/>
        <v>-9187565842.3500004</v>
      </c>
      <c r="O21" s="483">
        <f>'Consol SoFP 23 &amp; 22'!L67</f>
        <v>-9187565842</v>
      </c>
      <c r="P21" s="500">
        <f t="shared" si="1"/>
        <v>0</v>
      </c>
      <c r="Q21" s="501" t="str">
        <f t="shared" si="2"/>
        <v>Oke</v>
      </c>
    </row>
    <row r="22" spans="2:17">
      <c r="B22" s="493"/>
      <c r="C22" s="494" t="s">
        <v>32</v>
      </c>
      <c r="D22" s="503"/>
      <c r="E22" s="496"/>
      <c r="F22" s="496"/>
      <c r="G22" s="502"/>
      <c r="H22" s="497"/>
      <c r="I22" s="497"/>
      <c r="J22" s="497"/>
      <c r="K22" s="497"/>
      <c r="L22" s="497"/>
      <c r="M22" s="498"/>
      <c r="N22" s="499">
        <f t="shared" si="0"/>
        <v>0</v>
      </c>
      <c r="O22" s="483">
        <f>'Consol SoFP 23 &amp; 22'!L29</f>
        <v>0</v>
      </c>
      <c r="P22" s="500">
        <f t="shared" si="1"/>
        <v>0</v>
      </c>
      <c r="Q22" s="501" t="str">
        <f t="shared" si="2"/>
        <v>Oke</v>
      </c>
    </row>
    <row r="23" spans="2:17">
      <c r="B23" s="493"/>
      <c r="C23" s="494" t="s">
        <v>62</v>
      </c>
      <c r="D23" s="503"/>
      <c r="E23" s="496"/>
      <c r="F23" s="496"/>
      <c r="G23" s="502"/>
      <c r="H23" s="497"/>
      <c r="I23" s="497"/>
      <c r="J23" s="497"/>
      <c r="K23" s="497"/>
      <c r="L23" s="497"/>
      <c r="M23" s="498"/>
      <c r="N23" s="499">
        <f t="shared" si="0"/>
        <v>0</v>
      </c>
      <c r="O23" s="483">
        <f>'Consol SoFP 23 &amp; 22'!L64</f>
        <v>0</v>
      </c>
      <c r="P23" s="500">
        <f t="shared" si="1"/>
        <v>0</v>
      </c>
      <c r="Q23" s="501" t="str">
        <f t="shared" si="2"/>
        <v>Oke</v>
      </c>
    </row>
    <row r="24" spans="2:17">
      <c r="B24" s="493" t="s">
        <v>465</v>
      </c>
      <c r="C24" s="494" t="s">
        <v>21</v>
      </c>
      <c r="D24" s="503"/>
      <c r="E24" s="496"/>
      <c r="F24" s="496"/>
      <c r="G24" s="496"/>
      <c r="H24" s="502"/>
      <c r="I24" s="497"/>
      <c r="J24" s="497"/>
      <c r="K24" s="497"/>
      <c r="L24" s="497"/>
      <c r="M24" s="498"/>
      <c r="N24" s="499">
        <f t="shared" si="0"/>
        <v>0</v>
      </c>
      <c r="O24" s="483">
        <v>0</v>
      </c>
      <c r="P24" s="500">
        <f t="shared" si="1"/>
        <v>0</v>
      </c>
      <c r="Q24" s="501" t="str">
        <f t="shared" si="2"/>
        <v>Oke</v>
      </c>
    </row>
    <row r="25" spans="2:17">
      <c r="B25" s="493"/>
      <c r="C25" s="494" t="s">
        <v>59</v>
      </c>
      <c r="D25" s="503"/>
      <c r="E25" s="496"/>
      <c r="F25" s="496"/>
      <c r="G25" s="496"/>
      <c r="H25" s="502"/>
      <c r="I25" s="497"/>
      <c r="J25" s="497"/>
      <c r="K25" s="497"/>
      <c r="L25" s="497"/>
      <c r="M25" s="498">
        <f>-41265000*1.575</f>
        <v>-64992375</v>
      </c>
      <c r="N25" s="499">
        <f t="shared" si="0"/>
        <v>-64992375</v>
      </c>
      <c r="O25" s="483">
        <f>'Consol SoFP 23 &amp; 22'!Q61</f>
        <v>-64992375</v>
      </c>
      <c r="P25" s="500">
        <f t="shared" si="1"/>
        <v>0</v>
      </c>
      <c r="Q25" s="501" t="str">
        <f t="shared" si="2"/>
        <v>Oke</v>
      </c>
    </row>
    <row r="26" spans="2:17">
      <c r="B26" s="493"/>
      <c r="C26" s="494" t="s">
        <v>29</v>
      </c>
      <c r="D26" s="503"/>
      <c r="E26" s="496"/>
      <c r="F26" s="496"/>
      <c r="G26" s="496"/>
      <c r="H26" s="502"/>
      <c r="I26" s="497"/>
      <c r="J26" s="497"/>
      <c r="K26" s="497"/>
      <c r="L26" s="497"/>
      <c r="M26" s="498"/>
      <c r="N26" s="499">
        <f t="shared" si="0"/>
        <v>0</v>
      </c>
      <c r="O26" s="483"/>
      <c r="P26" s="500">
        <f t="shared" si="1"/>
        <v>0</v>
      </c>
      <c r="Q26" s="501" t="str">
        <f t="shared" si="2"/>
        <v>Oke</v>
      </c>
    </row>
    <row r="27" spans="2:17">
      <c r="B27" s="493"/>
      <c r="C27" s="494" t="s">
        <v>65</v>
      </c>
      <c r="D27" s="503">
        <f>'-BS-RP Disclosure 2023'!P226</f>
        <v>-33728578502.849998</v>
      </c>
      <c r="E27" s="496">
        <f>'-BS-RP Disclosure 2023'!P227</f>
        <v>-85479974.69569397</v>
      </c>
      <c r="F27" s="496"/>
      <c r="G27" s="496"/>
      <c r="H27" s="502"/>
      <c r="I27" s="497"/>
      <c r="J27" s="497"/>
      <c r="K27" s="497"/>
      <c r="L27" s="497"/>
      <c r="M27" s="498">
        <f>-25588714*1.575</f>
        <v>-40302224.549999997</v>
      </c>
      <c r="N27" s="499">
        <f t="shared" si="0"/>
        <v>-33854360702.095692</v>
      </c>
      <c r="O27" s="483">
        <f>'Consol SoFP 23 &amp; 22'!Q67</f>
        <v>-33854360702.670692</v>
      </c>
      <c r="P27" s="500">
        <f t="shared" si="1"/>
        <v>1</v>
      </c>
      <c r="Q27" s="501" t="str">
        <f t="shared" si="2"/>
        <v>recheck</v>
      </c>
    </row>
    <row r="28" spans="2:17">
      <c r="B28" s="493"/>
      <c r="C28" s="494" t="s">
        <v>32</v>
      </c>
      <c r="D28" s="503"/>
      <c r="E28" s="496"/>
      <c r="F28" s="496"/>
      <c r="G28" s="496"/>
      <c r="H28" s="502"/>
      <c r="I28" s="497"/>
      <c r="J28" s="497"/>
      <c r="K28" s="497"/>
      <c r="L28" s="497"/>
      <c r="M28" s="498"/>
      <c r="N28" s="499">
        <f t="shared" si="0"/>
        <v>0</v>
      </c>
      <c r="O28" s="483"/>
      <c r="P28" s="500">
        <f t="shared" si="1"/>
        <v>0</v>
      </c>
      <c r="Q28" s="501" t="str">
        <f t="shared" si="2"/>
        <v>Oke</v>
      </c>
    </row>
    <row r="29" spans="2:17">
      <c r="B29" s="493"/>
      <c r="C29" s="494" t="s">
        <v>62</v>
      </c>
      <c r="D29" s="503"/>
      <c r="E29" s="496"/>
      <c r="F29" s="496"/>
      <c r="G29" s="496"/>
      <c r="H29" s="502"/>
      <c r="I29" s="497"/>
      <c r="J29" s="497"/>
      <c r="K29" s="497"/>
      <c r="L29" s="497"/>
      <c r="M29" s="498"/>
      <c r="N29" s="499">
        <f t="shared" si="0"/>
        <v>0</v>
      </c>
      <c r="O29" s="483"/>
      <c r="P29" s="500">
        <f t="shared" si="1"/>
        <v>0</v>
      </c>
      <c r="Q29" s="501" t="str">
        <f t="shared" si="2"/>
        <v>Oke</v>
      </c>
    </row>
    <row r="30" spans="2:17" outlineLevel="1">
      <c r="B30" s="493" t="s">
        <v>815</v>
      </c>
      <c r="C30" s="494" t="s">
        <v>21</v>
      </c>
      <c r="D30" s="503"/>
      <c r="E30" s="496"/>
      <c r="F30" s="496"/>
      <c r="G30" s="496"/>
      <c r="H30" s="497"/>
      <c r="I30" s="502"/>
      <c r="J30" s="497"/>
      <c r="K30" s="497"/>
      <c r="L30" s="497"/>
      <c r="M30" s="498"/>
      <c r="N30" s="499">
        <f t="shared" si="0"/>
        <v>0</v>
      </c>
      <c r="O30" s="483"/>
      <c r="P30" s="500">
        <f t="shared" si="1"/>
        <v>0</v>
      </c>
      <c r="Q30" s="501" t="str">
        <f t="shared" si="2"/>
        <v>Oke</v>
      </c>
    </row>
    <row r="31" spans="2:17" outlineLevel="1">
      <c r="B31" s="493"/>
      <c r="C31" s="494" t="s">
        <v>59</v>
      </c>
      <c r="D31" s="503"/>
      <c r="E31" s="496"/>
      <c r="F31" s="496"/>
      <c r="G31" s="496"/>
      <c r="H31" s="497"/>
      <c r="I31" s="502"/>
      <c r="J31" s="497"/>
      <c r="K31" s="497"/>
      <c r="L31" s="497"/>
      <c r="M31" s="498"/>
      <c r="N31" s="499">
        <f t="shared" si="0"/>
        <v>0</v>
      </c>
      <c r="O31" s="483"/>
      <c r="P31" s="500">
        <f t="shared" si="1"/>
        <v>0</v>
      </c>
      <c r="Q31" s="501" t="str">
        <f t="shared" si="2"/>
        <v>Oke</v>
      </c>
    </row>
    <row r="32" spans="2:17" outlineLevel="1">
      <c r="B32" s="493"/>
      <c r="C32" s="494" t="s">
        <v>29</v>
      </c>
      <c r="D32" s="503"/>
      <c r="E32" s="496"/>
      <c r="F32" s="496"/>
      <c r="G32" s="496"/>
      <c r="H32" s="497"/>
      <c r="I32" s="502"/>
      <c r="J32" s="497"/>
      <c r="K32" s="497"/>
      <c r="L32" s="497"/>
      <c r="M32" s="498"/>
      <c r="N32" s="499">
        <f t="shared" ref="N32:N53" si="3">SUM(D32:M32)</f>
        <v>0</v>
      </c>
      <c r="O32" s="483"/>
      <c r="P32" s="500">
        <f t="shared" si="1"/>
        <v>0</v>
      </c>
      <c r="Q32" s="501" t="str">
        <f t="shared" si="2"/>
        <v>Oke</v>
      </c>
    </row>
    <row r="33" spans="2:17" outlineLevel="1">
      <c r="B33" s="493"/>
      <c r="C33" s="494" t="s">
        <v>65</v>
      </c>
      <c r="D33" s="503"/>
      <c r="E33" s="496"/>
      <c r="F33" s="496"/>
      <c r="G33" s="496"/>
      <c r="H33" s="497"/>
      <c r="I33" s="502"/>
      <c r="J33" s="497"/>
      <c r="K33" s="497"/>
      <c r="L33" s="497"/>
      <c r="M33" s="498"/>
      <c r="N33" s="499">
        <f t="shared" si="3"/>
        <v>0</v>
      </c>
      <c r="O33" s="483"/>
      <c r="P33" s="500">
        <f t="shared" si="1"/>
        <v>0</v>
      </c>
      <c r="Q33" s="501" t="str">
        <f t="shared" si="2"/>
        <v>Oke</v>
      </c>
    </row>
    <row r="34" spans="2:17" outlineLevel="1">
      <c r="B34" s="493"/>
      <c r="C34" s="494" t="s">
        <v>32</v>
      </c>
      <c r="D34" s="503"/>
      <c r="E34" s="496"/>
      <c r="F34" s="496"/>
      <c r="G34" s="496"/>
      <c r="H34" s="497"/>
      <c r="I34" s="502"/>
      <c r="J34" s="497"/>
      <c r="K34" s="497"/>
      <c r="L34" s="497"/>
      <c r="M34" s="498"/>
      <c r="N34" s="499">
        <f t="shared" si="3"/>
        <v>0</v>
      </c>
      <c r="O34" s="483"/>
      <c r="P34" s="500">
        <f t="shared" si="1"/>
        <v>0</v>
      </c>
      <c r="Q34" s="501" t="str">
        <f t="shared" si="2"/>
        <v>Oke</v>
      </c>
    </row>
    <row r="35" spans="2:17" outlineLevel="1">
      <c r="B35" s="493"/>
      <c r="C35" s="494" t="s">
        <v>62</v>
      </c>
      <c r="D35" s="503"/>
      <c r="E35" s="496"/>
      <c r="F35" s="496"/>
      <c r="G35" s="496"/>
      <c r="H35" s="497"/>
      <c r="I35" s="502"/>
      <c r="J35" s="497"/>
      <c r="K35" s="497"/>
      <c r="L35" s="497"/>
      <c r="M35" s="498"/>
      <c r="N35" s="499">
        <f t="shared" si="3"/>
        <v>0</v>
      </c>
      <c r="O35" s="483"/>
      <c r="P35" s="500">
        <f t="shared" si="1"/>
        <v>0</v>
      </c>
      <c r="Q35" s="501" t="str">
        <f t="shared" si="2"/>
        <v>Oke</v>
      </c>
    </row>
    <row r="36" spans="2:17" outlineLevel="1">
      <c r="B36" s="493" t="s">
        <v>639</v>
      </c>
      <c r="C36" s="494" t="s">
        <v>21</v>
      </c>
      <c r="D36" s="503"/>
      <c r="E36" s="496"/>
      <c r="F36" s="496"/>
      <c r="G36" s="496"/>
      <c r="H36" s="497"/>
      <c r="I36" s="497"/>
      <c r="J36" s="502"/>
      <c r="K36" s="497"/>
      <c r="L36" s="497"/>
      <c r="M36" s="498"/>
      <c r="N36" s="499">
        <f t="shared" si="3"/>
        <v>0</v>
      </c>
      <c r="O36" s="483"/>
      <c r="P36" s="500">
        <f t="shared" si="1"/>
        <v>0</v>
      </c>
      <c r="Q36" s="501" t="str">
        <f t="shared" si="2"/>
        <v>Oke</v>
      </c>
    </row>
    <row r="37" spans="2:17" outlineLevel="1">
      <c r="B37" s="493"/>
      <c r="C37" s="494" t="s">
        <v>59</v>
      </c>
      <c r="D37" s="503"/>
      <c r="E37" s="496"/>
      <c r="F37" s="496"/>
      <c r="G37" s="496"/>
      <c r="H37" s="497"/>
      <c r="I37" s="497"/>
      <c r="J37" s="502"/>
      <c r="K37" s="497"/>
      <c r="L37" s="497"/>
      <c r="M37" s="498"/>
      <c r="N37" s="499">
        <f t="shared" si="3"/>
        <v>0</v>
      </c>
      <c r="O37" s="483"/>
      <c r="P37" s="500">
        <f t="shared" si="1"/>
        <v>0</v>
      </c>
      <c r="Q37" s="501" t="str">
        <f t="shared" si="2"/>
        <v>Oke</v>
      </c>
    </row>
    <row r="38" spans="2:17" outlineLevel="1">
      <c r="B38" s="493"/>
      <c r="C38" s="494" t="s">
        <v>29</v>
      </c>
      <c r="D38" s="503"/>
      <c r="E38" s="496"/>
      <c r="F38" s="496"/>
      <c r="G38" s="496"/>
      <c r="H38" s="497"/>
      <c r="I38" s="497"/>
      <c r="J38" s="502"/>
      <c r="K38" s="497"/>
      <c r="L38" s="497"/>
      <c r="M38" s="498"/>
      <c r="N38" s="499">
        <f t="shared" si="3"/>
        <v>0</v>
      </c>
      <c r="O38" s="483"/>
      <c r="P38" s="500">
        <f t="shared" si="1"/>
        <v>0</v>
      </c>
      <c r="Q38" s="501" t="str">
        <f t="shared" si="2"/>
        <v>Oke</v>
      </c>
    </row>
    <row r="39" spans="2:17" outlineLevel="1">
      <c r="B39" s="493"/>
      <c r="C39" s="494" t="s">
        <v>65</v>
      </c>
      <c r="D39" s="503"/>
      <c r="E39" s="496"/>
      <c r="F39" s="496"/>
      <c r="G39" s="496"/>
      <c r="H39" s="497"/>
      <c r="I39" s="497"/>
      <c r="J39" s="502"/>
      <c r="K39" s="497"/>
      <c r="L39" s="497"/>
      <c r="M39" s="498"/>
      <c r="N39" s="499">
        <f t="shared" si="3"/>
        <v>0</v>
      </c>
      <c r="O39" s="483"/>
      <c r="P39" s="500">
        <f t="shared" si="1"/>
        <v>0</v>
      </c>
      <c r="Q39" s="501" t="str">
        <f t="shared" si="2"/>
        <v>Oke</v>
      </c>
    </row>
    <row r="40" spans="2:17" outlineLevel="1">
      <c r="B40" s="493"/>
      <c r="C40" s="494" t="s">
        <v>32</v>
      </c>
      <c r="D40" s="503"/>
      <c r="E40" s="496"/>
      <c r="F40" s="496"/>
      <c r="G40" s="496"/>
      <c r="H40" s="497"/>
      <c r="I40" s="497"/>
      <c r="J40" s="502"/>
      <c r="K40" s="497"/>
      <c r="L40" s="497"/>
      <c r="M40" s="498"/>
      <c r="N40" s="499">
        <f t="shared" si="3"/>
        <v>0</v>
      </c>
      <c r="O40" s="483"/>
      <c r="P40" s="500">
        <f t="shared" si="1"/>
        <v>0</v>
      </c>
      <c r="Q40" s="501" t="str">
        <f t="shared" si="2"/>
        <v>Oke</v>
      </c>
    </row>
    <row r="41" spans="2:17" outlineLevel="1">
      <c r="B41" s="493"/>
      <c r="C41" s="494" t="s">
        <v>62</v>
      </c>
      <c r="D41" s="503"/>
      <c r="E41" s="496"/>
      <c r="F41" s="496"/>
      <c r="G41" s="496"/>
      <c r="H41" s="497"/>
      <c r="I41" s="497"/>
      <c r="J41" s="502"/>
      <c r="K41" s="497"/>
      <c r="L41" s="497"/>
      <c r="M41" s="498"/>
      <c r="N41" s="499">
        <f t="shared" si="3"/>
        <v>0</v>
      </c>
      <c r="O41" s="483"/>
      <c r="P41" s="500">
        <f t="shared" si="1"/>
        <v>0</v>
      </c>
      <c r="Q41" s="501" t="str">
        <f t="shared" si="2"/>
        <v>Oke</v>
      </c>
    </row>
    <row r="42" spans="2:17" outlineLevel="1">
      <c r="B42" s="493" t="s">
        <v>461</v>
      </c>
      <c r="C42" s="494" t="s">
        <v>21</v>
      </c>
      <c r="D42" s="503"/>
      <c r="E42" s="496"/>
      <c r="F42" s="496"/>
      <c r="G42" s="496"/>
      <c r="H42" s="497"/>
      <c r="I42" s="497"/>
      <c r="J42" s="497"/>
      <c r="K42" s="502"/>
      <c r="L42" s="497"/>
      <c r="M42" s="498"/>
      <c r="N42" s="499">
        <f t="shared" si="3"/>
        <v>0</v>
      </c>
      <c r="O42" s="483"/>
      <c r="P42" s="500">
        <f t="shared" si="1"/>
        <v>0</v>
      </c>
      <c r="Q42" s="501" t="str">
        <f t="shared" si="2"/>
        <v>Oke</v>
      </c>
    </row>
    <row r="43" spans="2:17" outlineLevel="1">
      <c r="B43" s="493"/>
      <c r="C43" s="494" t="s">
        <v>59</v>
      </c>
      <c r="D43" s="503"/>
      <c r="E43" s="496"/>
      <c r="F43" s="496"/>
      <c r="G43" s="496"/>
      <c r="H43" s="497"/>
      <c r="I43" s="497"/>
      <c r="J43" s="497"/>
      <c r="K43" s="502"/>
      <c r="L43" s="497"/>
      <c r="M43" s="498"/>
      <c r="N43" s="499">
        <f t="shared" si="3"/>
        <v>0</v>
      </c>
      <c r="O43" s="483"/>
      <c r="P43" s="500">
        <f t="shared" si="1"/>
        <v>0</v>
      </c>
      <c r="Q43" s="501" t="str">
        <f t="shared" si="2"/>
        <v>Oke</v>
      </c>
    </row>
    <row r="44" spans="2:17" outlineLevel="1">
      <c r="B44" s="493"/>
      <c r="C44" s="494" t="s">
        <v>29</v>
      </c>
      <c r="D44" s="503"/>
      <c r="E44" s="496"/>
      <c r="F44" s="496"/>
      <c r="G44" s="496"/>
      <c r="H44" s="497"/>
      <c r="I44" s="497"/>
      <c r="J44" s="497"/>
      <c r="K44" s="502"/>
      <c r="L44" s="497"/>
      <c r="M44" s="498"/>
      <c r="N44" s="499">
        <f t="shared" si="3"/>
        <v>0</v>
      </c>
      <c r="O44" s="483"/>
      <c r="P44" s="500">
        <f t="shared" si="1"/>
        <v>0</v>
      </c>
      <c r="Q44" s="501" t="str">
        <f t="shared" si="2"/>
        <v>Oke</v>
      </c>
    </row>
    <row r="45" spans="2:17" outlineLevel="1">
      <c r="B45" s="493"/>
      <c r="C45" s="494" t="s">
        <v>65</v>
      </c>
      <c r="D45" s="503"/>
      <c r="E45" s="496"/>
      <c r="F45" s="496"/>
      <c r="G45" s="496"/>
      <c r="H45" s="497"/>
      <c r="I45" s="497"/>
      <c r="J45" s="497"/>
      <c r="K45" s="502"/>
      <c r="L45" s="497"/>
      <c r="M45" s="498"/>
      <c r="N45" s="499">
        <f t="shared" si="3"/>
        <v>0</v>
      </c>
      <c r="O45" s="483"/>
      <c r="P45" s="500">
        <f t="shared" si="1"/>
        <v>0</v>
      </c>
      <c r="Q45" s="501" t="str">
        <f t="shared" si="2"/>
        <v>Oke</v>
      </c>
    </row>
    <row r="46" spans="2:17" outlineLevel="1">
      <c r="B46" s="493"/>
      <c r="C46" s="494" t="s">
        <v>32</v>
      </c>
      <c r="D46" s="503"/>
      <c r="E46" s="496"/>
      <c r="F46" s="496"/>
      <c r="G46" s="496"/>
      <c r="H46" s="497"/>
      <c r="I46" s="497"/>
      <c r="J46" s="497"/>
      <c r="K46" s="502"/>
      <c r="L46" s="497"/>
      <c r="M46" s="498"/>
      <c r="N46" s="499">
        <f t="shared" si="3"/>
        <v>0</v>
      </c>
      <c r="O46" s="483"/>
      <c r="P46" s="500">
        <f t="shared" si="1"/>
        <v>0</v>
      </c>
      <c r="Q46" s="501" t="str">
        <f t="shared" si="2"/>
        <v>Oke</v>
      </c>
    </row>
    <row r="47" spans="2:17" outlineLevel="1">
      <c r="B47" s="493"/>
      <c r="C47" s="494" t="s">
        <v>62</v>
      </c>
      <c r="D47" s="503"/>
      <c r="E47" s="496"/>
      <c r="F47" s="496"/>
      <c r="G47" s="496"/>
      <c r="H47" s="497"/>
      <c r="I47" s="497"/>
      <c r="J47" s="497"/>
      <c r="K47" s="502"/>
      <c r="L47" s="497"/>
      <c r="M47" s="498"/>
      <c r="N47" s="499">
        <f t="shared" si="3"/>
        <v>0</v>
      </c>
      <c r="O47" s="483"/>
      <c r="P47" s="500">
        <f t="shared" si="1"/>
        <v>0</v>
      </c>
      <c r="Q47" s="501" t="str">
        <f t="shared" si="2"/>
        <v>Oke</v>
      </c>
    </row>
    <row r="48" spans="2:17" outlineLevel="1">
      <c r="B48" s="493" t="s">
        <v>796</v>
      </c>
      <c r="C48" s="494" t="s">
        <v>21</v>
      </c>
      <c r="D48" s="503"/>
      <c r="E48" s="496"/>
      <c r="F48" s="496"/>
      <c r="G48" s="496"/>
      <c r="H48" s="497"/>
      <c r="I48" s="497"/>
      <c r="J48" s="497"/>
      <c r="K48" s="497"/>
      <c r="L48" s="497"/>
      <c r="M48" s="498"/>
      <c r="N48" s="499">
        <f t="shared" si="3"/>
        <v>0</v>
      </c>
      <c r="O48" s="483"/>
      <c r="P48" s="500">
        <f t="shared" si="1"/>
        <v>0</v>
      </c>
      <c r="Q48" s="501" t="str">
        <f t="shared" si="2"/>
        <v>Oke</v>
      </c>
    </row>
    <row r="49" spans="2:17" outlineLevel="1">
      <c r="B49" s="493"/>
      <c r="C49" s="494" t="s">
        <v>59</v>
      </c>
      <c r="D49" s="503"/>
      <c r="E49" s="496"/>
      <c r="F49" s="496"/>
      <c r="G49" s="496"/>
      <c r="H49" s="497"/>
      <c r="I49" s="497"/>
      <c r="J49" s="497"/>
      <c r="K49" s="497"/>
      <c r="L49" s="497"/>
      <c r="M49" s="498"/>
      <c r="N49" s="499">
        <f t="shared" si="3"/>
        <v>0</v>
      </c>
      <c r="O49" s="483"/>
      <c r="P49" s="500">
        <f t="shared" si="1"/>
        <v>0</v>
      </c>
      <c r="Q49" s="501" t="str">
        <f t="shared" si="2"/>
        <v>Oke</v>
      </c>
    </row>
    <row r="50" spans="2:17" outlineLevel="1">
      <c r="B50" s="493"/>
      <c r="C50" s="494" t="s">
        <v>29</v>
      </c>
      <c r="D50" s="503"/>
      <c r="E50" s="496"/>
      <c r="F50" s="496"/>
      <c r="G50" s="496"/>
      <c r="H50" s="497"/>
      <c r="I50" s="497"/>
      <c r="J50" s="497"/>
      <c r="K50" s="497"/>
      <c r="L50" s="497"/>
      <c r="M50" s="498"/>
      <c r="N50" s="499">
        <f t="shared" si="3"/>
        <v>0</v>
      </c>
      <c r="O50" s="483"/>
      <c r="P50" s="500">
        <f t="shared" si="1"/>
        <v>0</v>
      </c>
      <c r="Q50" s="501" t="str">
        <f t="shared" si="2"/>
        <v>Oke</v>
      </c>
    </row>
    <row r="51" spans="2:17" outlineLevel="1">
      <c r="B51" s="493"/>
      <c r="C51" s="494" t="s">
        <v>65</v>
      </c>
      <c r="D51" s="503"/>
      <c r="E51" s="496"/>
      <c r="F51" s="496"/>
      <c r="G51" s="496"/>
      <c r="H51" s="497"/>
      <c r="I51" s="497"/>
      <c r="J51" s="497"/>
      <c r="K51" s="497"/>
      <c r="L51" s="497"/>
      <c r="M51" s="498"/>
      <c r="N51" s="499">
        <f t="shared" si="3"/>
        <v>0</v>
      </c>
      <c r="O51" s="483"/>
      <c r="P51" s="500">
        <f t="shared" si="1"/>
        <v>0</v>
      </c>
      <c r="Q51" s="501" t="str">
        <f t="shared" si="2"/>
        <v>Oke</v>
      </c>
    </row>
    <row r="52" spans="2:17" outlineLevel="1">
      <c r="B52" s="493"/>
      <c r="C52" s="494" t="s">
        <v>32</v>
      </c>
      <c r="D52" s="503"/>
      <c r="E52" s="496"/>
      <c r="F52" s="496"/>
      <c r="G52" s="496"/>
      <c r="H52" s="497"/>
      <c r="I52" s="497"/>
      <c r="J52" s="497"/>
      <c r="K52" s="497"/>
      <c r="L52" s="497"/>
      <c r="M52" s="498"/>
      <c r="N52" s="499">
        <f t="shared" si="3"/>
        <v>0</v>
      </c>
      <c r="O52" s="483"/>
      <c r="P52" s="500">
        <f t="shared" si="1"/>
        <v>0</v>
      </c>
      <c r="Q52" s="501" t="str">
        <f t="shared" si="2"/>
        <v>Oke</v>
      </c>
    </row>
    <row r="53" spans="2:17" outlineLevel="1">
      <c r="B53" s="493"/>
      <c r="C53" s="494" t="s">
        <v>62</v>
      </c>
      <c r="D53" s="503"/>
      <c r="E53" s="496"/>
      <c r="F53" s="496"/>
      <c r="G53" s="496"/>
      <c r="H53" s="497"/>
      <c r="I53" s="497"/>
      <c r="J53" s="497"/>
      <c r="K53" s="497"/>
      <c r="L53" s="497"/>
      <c r="M53" s="498"/>
      <c r="N53" s="499">
        <f t="shared" si="3"/>
        <v>0</v>
      </c>
      <c r="O53" s="483"/>
      <c r="P53" s="500">
        <f t="shared" si="1"/>
        <v>0</v>
      </c>
      <c r="Q53" s="501" t="str">
        <f t="shared" si="2"/>
        <v>Oke</v>
      </c>
    </row>
    <row r="54" spans="2:17">
      <c r="B54" s="493" t="s">
        <v>609</v>
      </c>
      <c r="C54" s="494" t="s">
        <v>21</v>
      </c>
      <c r="D54" s="503">
        <f>717850*1.575</f>
        <v>1130613.75</v>
      </c>
      <c r="E54" s="496"/>
      <c r="F54" s="496"/>
      <c r="G54" s="496"/>
      <c r="H54" s="497"/>
      <c r="I54" s="497"/>
      <c r="J54" s="497"/>
      <c r="K54" s="497"/>
      <c r="L54" s="502"/>
      <c r="M54" s="498">
        <f>11948895699*1.575</f>
        <v>18819510725.924999</v>
      </c>
      <c r="N54" s="499">
        <f t="shared" ref="N54:N59" si="4">SUM(D54:M54)</f>
        <v>18820641339.674999</v>
      </c>
      <c r="O54" s="483">
        <f>'Consol SoFP 23 &amp; 22'!T18</f>
        <v>18820641340</v>
      </c>
      <c r="P54" s="500">
        <f t="shared" ref="P54:P59" si="5">ROUND(N54-O54,0)</f>
        <v>0</v>
      </c>
      <c r="Q54" s="501" t="str">
        <f t="shared" ref="Q54:Q59" si="6">IF(P54=0,"Oke","recheck")</f>
        <v>Oke</v>
      </c>
    </row>
    <row r="55" spans="2:17">
      <c r="B55" s="493"/>
      <c r="C55" s="494" t="s">
        <v>59</v>
      </c>
      <c r="D55" s="503">
        <v>-481009214</v>
      </c>
      <c r="E55" s="496"/>
      <c r="F55" s="496"/>
      <c r="G55" s="496"/>
      <c r="H55" s="497"/>
      <c r="I55" s="497"/>
      <c r="J55" s="497"/>
      <c r="K55" s="497"/>
      <c r="L55" s="502"/>
      <c r="M55" s="498"/>
      <c r="N55" s="499">
        <f t="shared" si="4"/>
        <v>-481009214</v>
      </c>
      <c r="O55" s="483">
        <v>-481009214</v>
      </c>
      <c r="P55" s="500">
        <f t="shared" si="5"/>
        <v>0</v>
      </c>
      <c r="Q55" s="501" t="str">
        <f t="shared" si="6"/>
        <v>Oke</v>
      </c>
    </row>
    <row r="56" spans="2:17">
      <c r="B56" s="493"/>
      <c r="C56" s="494" t="s">
        <v>29</v>
      </c>
      <c r="D56" s="503">
        <v>0</v>
      </c>
      <c r="E56" s="496">
        <v>0</v>
      </c>
      <c r="F56" s="496"/>
      <c r="G56" s="496"/>
      <c r="H56" s="497"/>
      <c r="I56" s="497"/>
      <c r="J56" s="497"/>
      <c r="K56" s="497"/>
      <c r="L56" s="502"/>
      <c r="M56" s="498"/>
      <c r="N56" s="499">
        <f t="shared" si="4"/>
        <v>0</v>
      </c>
      <c r="O56" s="483">
        <f>'Consol SoFP 23 &amp; 22'!T26</f>
        <v>0</v>
      </c>
      <c r="P56" s="500">
        <f t="shared" si="5"/>
        <v>0</v>
      </c>
      <c r="Q56" s="501" t="str">
        <f t="shared" si="6"/>
        <v>Oke</v>
      </c>
    </row>
    <row r="57" spans="2:17">
      <c r="B57" s="493"/>
      <c r="C57" s="494" t="s">
        <v>65</v>
      </c>
      <c r="D57" s="503">
        <f>-91579346411.7751*1.575</f>
        <v>-144237470598.54578</v>
      </c>
      <c r="E57" s="496">
        <f>-25957599805*1.575</f>
        <v>-40883219692.875</v>
      </c>
      <c r="F57" s="496"/>
      <c r="G57" s="496"/>
      <c r="H57" s="497"/>
      <c r="I57" s="497"/>
      <c r="J57" s="497"/>
      <c r="K57" s="497"/>
      <c r="L57" s="502"/>
      <c r="M57" s="498"/>
      <c r="N57" s="499">
        <f>SUM(D57:M57)</f>
        <v>-185120690291.42078</v>
      </c>
      <c r="O57" s="483">
        <f>'Consol SoFP 23 &amp; 22'!T67+'Consol SoFP 23 &amp; 22'!T83</f>
        <v>-185120690291</v>
      </c>
      <c r="P57" s="500">
        <f t="shared" si="5"/>
        <v>0</v>
      </c>
      <c r="Q57" s="501" t="str">
        <f t="shared" si="6"/>
        <v>Oke</v>
      </c>
    </row>
    <row r="58" spans="2:17">
      <c r="B58" s="493"/>
      <c r="C58" s="494" t="s">
        <v>62</v>
      </c>
      <c r="D58" s="503">
        <f>-5344221650*1.575</f>
        <v>-8417149098.75</v>
      </c>
      <c r="E58" s="496"/>
      <c r="F58" s="496"/>
      <c r="G58" s="496"/>
      <c r="H58" s="497"/>
      <c r="I58" s="497"/>
      <c r="J58" s="497"/>
      <c r="K58" s="497"/>
      <c r="L58" s="502"/>
      <c r="M58" s="498"/>
      <c r="N58" s="499">
        <f t="shared" si="4"/>
        <v>-8417149098.75</v>
      </c>
      <c r="O58" s="483">
        <f>'Consol SoFP 23 &amp; 22'!T64</f>
        <v>-8417149098.9674196</v>
      </c>
      <c r="P58" s="500">
        <f t="shared" si="5"/>
        <v>0</v>
      </c>
      <c r="Q58" s="501" t="str">
        <f t="shared" si="6"/>
        <v>Oke</v>
      </c>
    </row>
    <row r="59" spans="2:17">
      <c r="B59" s="493"/>
      <c r="C59" s="494" t="s">
        <v>68</v>
      </c>
      <c r="D59" s="503"/>
      <c r="E59" s="496">
        <f>-19210681374*1.575</f>
        <v>-30256823164.049999</v>
      </c>
      <c r="F59" s="496"/>
      <c r="G59" s="496"/>
      <c r="H59" s="497"/>
      <c r="I59" s="497"/>
      <c r="J59" s="497"/>
      <c r="K59" s="497"/>
      <c r="L59" s="502"/>
      <c r="M59" s="498"/>
      <c r="N59" s="499">
        <f t="shared" si="4"/>
        <v>-30256823164.049999</v>
      </c>
      <c r="O59" s="483">
        <f>'Consol SoFP 23 &amp; 22'!T70</f>
        <v>-30256823164</v>
      </c>
      <c r="P59" s="500">
        <f t="shared" si="5"/>
        <v>0</v>
      </c>
      <c r="Q59" s="501" t="str">
        <f t="shared" si="6"/>
        <v>Oke</v>
      </c>
    </row>
  </sheetData>
  <mergeCells count="5">
    <mergeCell ref="B4:C5"/>
    <mergeCell ref="E4:G4"/>
    <mergeCell ref="H4:L4"/>
    <mergeCell ref="M4:M5"/>
    <mergeCell ref="N4:N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A234-5F41-456E-A1F9-8A2E9F91FBB6}">
  <sheetPr>
    <tabColor rgb="FF002060"/>
  </sheetPr>
  <dimension ref="A1:AG348"/>
  <sheetViews>
    <sheetView workbookViewId="0"/>
  </sheetViews>
  <sheetFormatPr defaultColWidth="9.1796875" defaultRowHeight="12.5" outlineLevelCol="1"/>
  <cols>
    <col min="1" max="1" width="10.54296875" style="206" customWidth="1"/>
    <col min="2" max="2" width="2.453125" style="206" customWidth="1"/>
    <col min="3" max="3" width="1.81640625" style="206" customWidth="1"/>
    <col min="4" max="4" width="37" style="206" customWidth="1"/>
    <col min="5" max="7" width="21" style="206" hidden="1" customWidth="1" outlineLevel="1"/>
    <col min="8" max="8" width="21" style="206" customWidth="1" collapsed="1"/>
    <col min="9" max="11" width="21" style="206" hidden="1" customWidth="1" outlineLevel="1"/>
    <col min="12" max="12" width="21" style="206" customWidth="1" collapsed="1"/>
    <col min="13" max="14" width="21" style="206" hidden="1" customWidth="1" outlineLevel="1"/>
    <col min="15" max="15" width="21" style="206" customWidth="1" collapsed="1"/>
    <col min="16" max="18" width="21" style="206" hidden="1" customWidth="1" outlineLevel="1"/>
    <col min="19" max="19" width="21" style="206" customWidth="1" collapsed="1"/>
    <col min="20" max="21" width="21" style="206" hidden="1" customWidth="1" outlineLevel="1"/>
    <col min="22" max="22" width="21" style="206" customWidth="1" collapsed="1"/>
    <col min="23" max="24" width="21" style="206" hidden="1" customWidth="1" outlineLevel="1"/>
    <col min="25" max="25" width="21" style="206" customWidth="1" collapsed="1"/>
    <col min="26" max="26" width="1.54296875" style="206" customWidth="1"/>
    <col min="27" max="27" width="21" style="206" customWidth="1"/>
    <col min="28" max="28" width="1.54296875" style="206" customWidth="1"/>
    <col min="29" max="31" width="21" style="206" customWidth="1"/>
    <col min="32" max="32" width="18.7265625" style="206" bestFit="1" customWidth="1"/>
    <col min="33" max="33" width="15" style="206" bestFit="1" customWidth="1"/>
    <col min="34" max="16384" width="9.1796875" style="206"/>
  </cols>
  <sheetData>
    <row r="1" spans="1:31" s="417" customFormat="1" ht="13">
      <c r="A1" s="414" t="s">
        <v>542</v>
      </c>
      <c r="B1" s="415"/>
      <c r="C1" s="416"/>
    </row>
    <row r="2" spans="1:31" s="417" customFormat="1" ht="13">
      <c r="A2" s="414" t="s">
        <v>421</v>
      </c>
      <c r="B2" s="415"/>
      <c r="C2" s="416"/>
    </row>
    <row r="3" spans="1:31" s="417" customFormat="1" ht="13">
      <c r="A3" s="418" t="s">
        <v>422</v>
      </c>
      <c r="B3" s="415"/>
      <c r="C3" s="416"/>
    </row>
    <row r="4" spans="1:31" s="417" customFormat="1" ht="13">
      <c r="B4" s="415"/>
      <c r="C4" s="416"/>
    </row>
    <row r="5" spans="1:31" s="417" customFormat="1"/>
    <row r="6" spans="1:31" s="422" customFormat="1" ht="13">
      <c r="A6" s="419" t="s">
        <v>423</v>
      </c>
      <c r="B6" s="420"/>
      <c r="C6" s="421"/>
    </row>
    <row r="7" spans="1:31" s="423" customFormat="1">
      <c r="I7" s="424"/>
      <c r="J7" s="424"/>
      <c r="M7" s="424"/>
      <c r="P7" s="424"/>
      <c r="Q7" s="424"/>
      <c r="T7" s="424"/>
      <c r="W7" s="424"/>
    </row>
    <row r="8" spans="1:31" s="423" customFormat="1">
      <c r="H8" s="425"/>
      <c r="I8" s="424"/>
      <c r="J8" s="424"/>
      <c r="M8" s="424"/>
      <c r="P8" s="424"/>
      <c r="Q8" s="424"/>
      <c r="T8" s="424"/>
      <c r="W8" s="424"/>
    </row>
    <row r="9" spans="1:31" s="423" customFormat="1" ht="13">
      <c r="E9" s="426"/>
      <c r="F9" s="426"/>
      <c r="G9" s="426"/>
      <c r="H9" s="426" t="s">
        <v>640</v>
      </c>
      <c r="I9" s="426"/>
      <c r="J9" s="426"/>
      <c r="K9" s="426"/>
      <c r="L9" s="426" t="s">
        <v>688</v>
      </c>
      <c r="M9" s="426"/>
      <c r="N9" s="426"/>
      <c r="O9" s="426" t="s">
        <v>740</v>
      </c>
      <c r="P9" s="426"/>
      <c r="Q9" s="426"/>
      <c r="R9" s="426"/>
      <c r="S9" s="426" t="s">
        <v>465</v>
      </c>
      <c r="T9" s="426"/>
      <c r="U9" s="426"/>
      <c r="V9" s="426" t="s">
        <v>629</v>
      </c>
      <c r="W9" s="426"/>
      <c r="X9" s="426"/>
      <c r="Y9" s="426" t="s">
        <v>461</v>
      </c>
    </row>
    <row r="10" spans="1:31" s="423" customFormat="1"/>
    <row r="11" spans="1:31" s="423" customFormat="1" ht="13">
      <c r="B11" s="427" t="s">
        <v>424</v>
      </c>
      <c r="C11" s="427" t="s">
        <v>425</v>
      </c>
      <c r="E11" s="423">
        <v>1</v>
      </c>
      <c r="I11" s="423">
        <v>1</v>
      </c>
      <c r="M11" s="423">
        <v>1</v>
      </c>
      <c r="P11" s="423">
        <v>1</v>
      </c>
      <c r="T11" s="423">
        <v>1</v>
      </c>
      <c r="W11" s="423">
        <v>1</v>
      </c>
    </row>
    <row r="12" spans="1:31" s="423" customFormat="1" ht="13">
      <c r="E12" s="428" t="s">
        <v>426</v>
      </c>
      <c r="F12" s="428" t="s">
        <v>6</v>
      </c>
      <c r="G12" s="428" t="s">
        <v>334</v>
      </c>
      <c r="H12" s="428" t="s">
        <v>427</v>
      </c>
      <c r="I12" s="428" t="s">
        <v>426</v>
      </c>
      <c r="J12" s="428" t="s">
        <v>6</v>
      </c>
      <c r="K12" s="428" t="s">
        <v>334</v>
      </c>
      <c r="L12" s="428" t="s">
        <v>427</v>
      </c>
      <c r="M12" s="428" t="s">
        <v>426</v>
      </c>
      <c r="N12" s="428" t="s">
        <v>334</v>
      </c>
      <c r="O12" s="428" t="s">
        <v>427</v>
      </c>
      <c r="P12" s="428" t="s">
        <v>426</v>
      </c>
      <c r="Q12" s="428" t="s">
        <v>6</v>
      </c>
      <c r="R12" s="428" t="s">
        <v>334</v>
      </c>
      <c r="S12" s="428" t="s">
        <v>427</v>
      </c>
      <c r="T12" s="428" t="s">
        <v>426</v>
      </c>
      <c r="U12" s="428" t="s">
        <v>334</v>
      </c>
      <c r="V12" s="428" t="s">
        <v>427</v>
      </c>
      <c r="W12" s="428" t="s">
        <v>426</v>
      </c>
      <c r="X12" s="428" t="s">
        <v>334</v>
      </c>
      <c r="Y12" s="428" t="s">
        <v>427</v>
      </c>
      <c r="AA12" s="428" t="s">
        <v>428</v>
      </c>
      <c r="AC12" s="428" t="s">
        <v>11</v>
      </c>
      <c r="AD12" s="428" t="s">
        <v>429</v>
      </c>
      <c r="AE12" s="428" t="s">
        <v>13</v>
      </c>
    </row>
    <row r="13" spans="1:31" s="423" customFormat="1" ht="13">
      <c r="E13" s="429">
        <v>45657</v>
      </c>
      <c r="F13" s="429"/>
      <c r="G13" s="429" t="s">
        <v>430</v>
      </c>
      <c r="H13" s="429">
        <v>45657</v>
      </c>
      <c r="I13" s="429">
        <v>45657</v>
      </c>
      <c r="J13" s="429"/>
      <c r="K13" s="429" t="s">
        <v>431</v>
      </c>
      <c r="L13" s="429">
        <v>45657</v>
      </c>
      <c r="M13" s="429">
        <v>45657</v>
      </c>
      <c r="N13" s="429"/>
      <c r="O13" s="429">
        <v>45657</v>
      </c>
      <c r="P13" s="429">
        <v>45657</v>
      </c>
      <c r="Q13" s="429"/>
      <c r="R13" s="429" t="s">
        <v>432</v>
      </c>
      <c r="S13" s="429">
        <v>45657</v>
      </c>
      <c r="T13" s="429">
        <v>45657</v>
      </c>
      <c r="U13" s="429"/>
      <c r="V13" s="429">
        <v>45657</v>
      </c>
      <c r="W13" s="429">
        <v>45657</v>
      </c>
      <c r="X13" s="429"/>
      <c r="Y13" s="429">
        <v>45657</v>
      </c>
      <c r="AA13" s="429">
        <v>45657</v>
      </c>
      <c r="AC13" s="429">
        <v>45657</v>
      </c>
      <c r="AD13" s="429">
        <v>45657</v>
      </c>
      <c r="AE13" s="429">
        <v>45657</v>
      </c>
    </row>
    <row r="14" spans="1:31" s="423" customFormat="1" ht="13" customHeight="1">
      <c r="C14" s="430"/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431"/>
      <c r="U14" s="431"/>
      <c r="V14" s="431"/>
      <c r="W14" s="431"/>
      <c r="X14" s="431"/>
      <c r="Y14" s="431"/>
      <c r="AA14" s="432"/>
      <c r="AC14" s="432"/>
      <c r="AD14" s="432"/>
      <c r="AE14" s="432"/>
    </row>
    <row r="15" spans="1:31" s="423" customFormat="1">
      <c r="A15" s="433" t="s">
        <v>640</v>
      </c>
      <c r="C15" s="423" t="s">
        <v>543</v>
      </c>
      <c r="D15" s="434"/>
      <c r="E15" s="435">
        <v>0</v>
      </c>
      <c r="F15" s="435">
        <v>0</v>
      </c>
      <c r="G15" s="435"/>
      <c r="H15" s="435">
        <f>SUM(E15:G15)</f>
        <v>0</v>
      </c>
      <c r="I15" s="435">
        <v>3513008909.0250001</v>
      </c>
      <c r="J15" s="435">
        <v>-3513008909.0250001</v>
      </c>
      <c r="K15" s="435"/>
      <c r="L15" s="435">
        <f>SUM(I15:K15)</f>
        <v>0</v>
      </c>
      <c r="M15" s="435">
        <v>0</v>
      </c>
      <c r="N15" s="435"/>
      <c r="O15" s="435">
        <f>SUM(M15:N15)</f>
        <v>0</v>
      </c>
      <c r="P15" s="435">
        <v>65017401.75</v>
      </c>
      <c r="Q15" s="435">
        <v>27137155002.299999</v>
      </c>
      <c r="R15" s="435"/>
      <c r="S15" s="435">
        <f t="shared" ref="S15:S21" si="0">SUM(P15:R15)</f>
        <v>27202172404.049999</v>
      </c>
      <c r="T15" s="435">
        <v>1130613.75</v>
      </c>
      <c r="U15" s="435">
        <v>0</v>
      </c>
      <c r="V15" s="435">
        <f>SUM(T15:U15)</f>
        <v>1130613.75</v>
      </c>
      <c r="W15" s="435">
        <v>0</v>
      </c>
      <c r="X15" s="435"/>
      <c r="Y15" s="435">
        <f>SUM(W15:X15)</f>
        <v>0</v>
      </c>
      <c r="AA15" s="435">
        <v>0</v>
      </c>
      <c r="AC15" s="435">
        <f>SUM(H15,L15,O15,S15,V15,Y15)</f>
        <v>27203303017.799999</v>
      </c>
      <c r="AD15" s="435">
        <f>'Elimination 2024'!H159+'Elimination 2024'!H156+'Elimination 2024'!H165</f>
        <v>-27203303017.799999</v>
      </c>
      <c r="AE15" s="435">
        <f>SUM(AC15:AD15)</f>
        <v>0</v>
      </c>
    </row>
    <row r="16" spans="1:31" s="423" customFormat="1">
      <c r="A16" s="423" t="s">
        <v>688</v>
      </c>
      <c r="D16" s="423" t="s">
        <v>546</v>
      </c>
      <c r="E16" s="435">
        <v>-340613843.84999996</v>
      </c>
      <c r="F16" s="435">
        <v>-541006200</v>
      </c>
      <c r="G16" s="435">
        <f>'Adjustment Consol'!I39</f>
        <v>881620045.42499995</v>
      </c>
      <c r="H16" s="435">
        <f>SUM(E16:G16)</f>
        <v>1.5750000476837158</v>
      </c>
      <c r="I16" s="435">
        <v>0</v>
      </c>
      <c r="J16" s="435">
        <v>0</v>
      </c>
      <c r="K16" s="435"/>
      <c r="L16" s="435">
        <f>SUM(I16:K16)</f>
        <v>0</v>
      </c>
      <c r="M16" s="435">
        <v>0</v>
      </c>
      <c r="N16" s="435"/>
      <c r="O16" s="435">
        <f>SUM(M16:N16)</f>
        <v>0</v>
      </c>
      <c r="P16" s="435">
        <v>0</v>
      </c>
      <c r="Q16" s="435">
        <v>2142168526.575</v>
      </c>
      <c r="R16" s="435"/>
      <c r="S16" s="435">
        <f t="shared" si="0"/>
        <v>2142168526.575</v>
      </c>
      <c r="T16" s="435">
        <v>0</v>
      </c>
      <c r="U16" s="435">
        <v>0</v>
      </c>
      <c r="V16" s="435">
        <f>SUM(T16:U16)</f>
        <v>0</v>
      </c>
      <c r="W16" s="435">
        <v>0</v>
      </c>
      <c r="X16" s="435"/>
      <c r="Y16" s="435">
        <f>SUM(W16:X16)</f>
        <v>0</v>
      </c>
      <c r="AA16" s="435">
        <v>0</v>
      </c>
      <c r="AC16" s="435">
        <f t="shared" ref="AC16:AC22" si="1">SUM(H16,L16,O16,S16,V16,Y16)</f>
        <v>2142168528.1500001</v>
      </c>
      <c r="AD16" s="435">
        <f>'Elimination 2024'!H162</f>
        <v>-2142168528.1499999</v>
      </c>
      <c r="AE16" s="435">
        <f>SUM(AC16:AD16)</f>
        <v>0</v>
      </c>
    </row>
    <row r="17" spans="1:33" s="423" customFormat="1">
      <c r="A17" s="423" t="s">
        <v>802</v>
      </c>
      <c r="D17" s="423" t="s">
        <v>552</v>
      </c>
      <c r="E17" s="435">
        <v>0</v>
      </c>
      <c r="F17" s="435">
        <v>0</v>
      </c>
      <c r="G17" s="435"/>
      <c r="H17" s="435">
        <f>SUM(E17:G17)</f>
        <v>0</v>
      </c>
      <c r="I17" s="435">
        <v>0</v>
      </c>
      <c r="J17" s="435">
        <v>0</v>
      </c>
      <c r="K17" s="435"/>
      <c r="L17" s="435">
        <f>SUM(I17:K17)</f>
        <v>0</v>
      </c>
      <c r="M17" s="435">
        <v>0</v>
      </c>
      <c r="N17" s="435"/>
      <c r="O17" s="435">
        <f>SUM(M17:N17)</f>
        <v>0</v>
      </c>
      <c r="P17" s="435">
        <v>0</v>
      </c>
      <c r="Q17" s="435">
        <v>0</v>
      </c>
      <c r="R17" s="435"/>
      <c r="S17" s="435">
        <f t="shared" si="0"/>
        <v>0</v>
      </c>
      <c r="T17" s="435">
        <v>0</v>
      </c>
      <c r="U17" s="435">
        <v>0</v>
      </c>
      <c r="V17" s="435">
        <f>SUM(T17:U17)</f>
        <v>0</v>
      </c>
      <c r="W17" s="435">
        <v>0</v>
      </c>
      <c r="X17" s="435"/>
      <c r="Y17" s="435">
        <f>SUM(W17:X17)</f>
        <v>0</v>
      </c>
      <c r="AA17" s="435">
        <v>0</v>
      </c>
      <c r="AC17" s="435">
        <f t="shared" si="1"/>
        <v>0</v>
      </c>
      <c r="AD17" s="435"/>
      <c r="AE17" s="435">
        <f>SUM(AC17:AD17)</f>
        <v>0</v>
      </c>
    </row>
    <row r="18" spans="1:33" s="423" customFormat="1">
      <c r="A18" s="423" t="s">
        <v>740</v>
      </c>
      <c r="D18" s="423" t="s">
        <v>547</v>
      </c>
      <c r="E18" s="435">
        <v>0</v>
      </c>
      <c r="F18" s="435">
        <v>0</v>
      </c>
      <c r="G18" s="435"/>
      <c r="H18" s="435">
        <f>SUM(E18:G18)</f>
        <v>0</v>
      </c>
      <c r="I18" s="435">
        <v>0</v>
      </c>
      <c r="J18" s="435">
        <v>0</v>
      </c>
      <c r="K18" s="435"/>
      <c r="L18" s="435">
        <f>SUM(I18:K18)</f>
        <v>0</v>
      </c>
      <c r="M18" s="435">
        <v>0</v>
      </c>
      <c r="N18" s="435"/>
      <c r="O18" s="435">
        <f>SUM(M18:N18)</f>
        <v>0</v>
      </c>
      <c r="P18" s="435">
        <v>0</v>
      </c>
      <c r="Q18" s="435">
        <v>0</v>
      </c>
      <c r="R18" s="435"/>
      <c r="S18" s="435">
        <f t="shared" si="0"/>
        <v>0</v>
      </c>
      <c r="T18" s="435">
        <v>0</v>
      </c>
      <c r="U18" s="435">
        <v>0</v>
      </c>
      <c r="V18" s="435">
        <f>SUM(T18:U18)</f>
        <v>0</v>
      </c>
      <c r="W18" s="435">
        <v>0</v>
      </c>
      <c r="X18" s="435"/>
      <c r="Y18" s="435">
        <f>SUM(W18:X18)</f>
        <v>0</v>
      </c>
      <c r="AA18" s="435">
        <v>0</v>
      </c>
      <c r="AC18" s="435">
        <f t="shared" si="1"/>
        <v>0</v>
      </c>
      <c r="AD18" s="435"/>
      <c r="AE18" s="435">
        <f>SUM(AC18:AD18)</f>
        <v>0</v>
      </c>
    </row>
    <row r="19" spans="1:33" s="423" customFormat="1">
      <c r="A19" s="423" t="s">
        <v>465</v>
      </c>
      <c r="D19" s="423" t="s">
        <v>548</v>
      </c>
      <c r="E19" s="435">
        <v>158356800</v>
      </c>
      <c r="F19" s="435">
        <v>-165547272.03524998</v>
      </c>
      <c r="G19" s="435">
        <f>SUM('Adjustment Consol'!I33,'Adjustment Consol'!I36)</f>
        <v>14774284578.374998</v>
      </c>
      <c r="H19" s="435">
        <f t="shared" ref="H19:H21" si="2">SUM(E19:G19)</f>
        <v>14767094106.339748</v>
      </c>
      <c r="I19" s="435">
        <f>6871272.975+7190472.03525162</f>
        <v>14061745.010251619</v>
      </c>
      <c r="J19" s="435">
        <v>-6871272.9749999996</v>
      </c>
      <c r="K19" s="435">
        <f>'Adjustment Consol'!I55</f>
        <v>2204243023.5</v>
      </c>
      <c r="L19" s="435">
        <f t="shared" ref="L19:L22" si="3">SUM(I19:K19)</f>
        <v>2211433495.5352516</v>
      </c>
      <c r="M19" s="435">
        <v>0</v>
      </c>
      <c r="N19" s="435"/>
      <c r="O19" s="435">
        <f t="shared" ref="O19:O21" si="4">SUM(M19:N19)</f>
        <v>0</v>
      </c>
      <c r="P19" s="435">
        <v>0</v>
      </c>
      <c r="Q19" s="435">
        <v>0</v>
      </c>
      <c r="R19" s="435"/>
      <c r="S19" s="435">
        <f t="shared" si="0"/>
        <v>0</v>
      </c>
      <c r="T19" s="435">
        <v>0</v>
      </c>
      <c r="U19" s="435">
        <v>0</v>
      </c>
      <c r="V19" s="435">
        <f t="shared" ref="V19:V21" si="5">SUM(T19:U19)</f>
        <v>0</v>
      </c>
      <c r="W19" s="435">
        <v>0</v>
      </c>
      <c r="X19" s="435"/>
      <c r="Y19" s="435">
        <f t="shared" ref="Y19:Y21" si="6">SUM(W19:X19)</f>
        <v>0</v>
      </c>
      <c r="AA19" s="435">
        <v>0</v>
      </c>
      <c r="AC19" s="435">
        <f t="shared" si="1"/>
        <v>16978527601.875</v>
      </c>
      <c r="AD19" s="435">
        <f>'Elimination 2024'!H150+'Elimination 2024'!H153</f>
        <v>-16978527601.875</v>
      </c>
      <c r="AE19" s="436">
        <f t="shared" ref="AE19:AE22" si="7">SUM(AC19:AD19)</f>
        <v>0</v>
      </c>
    </row>
    <row r="20" spans="1:33" s="423" customFormat="1">
      <c r="A20" s="433" t="s">
        <v>639</v>
      </c>
      <c r="D20" s="423" t="s">
        <v>545</v>
      </c>
      <c r="E20" s="435">
        <v>0</v>
      </c>
      <c r="F20" s="435">
        <v>0</v>
      </c>
      <c r="G20" s="435"/>
      <c r="H20" s="435">
        <f t="shared" si="2"/>
        <v>0</v>
      </c>
      <c r="I20" s="435">
        <v>0</v>
      </c>
      <c r="J20" s="435">
        <v>0</v>
      </c>
      <c r="K20" s="435"/>
      <c r="L20" s="435">
        <f t="shared" si="3"/>
        <v>0</v>
      </c>
      <c r="M20" s="435">
        <v>0</v>
      </c>
      <c r="N20" s="435"/>
      <c r="O20" s="435">
        <f t="shared" si="4"/>
        <v>0</v>
      </c>
      <c r="P20" s="435">
        <v>0</v>
      </c>
      <c r="Q20" s="435">
        <v>0</v>
      </c>
      <c r="R20" s="435"/>
      <c r="S20" s="435">
        <f t="shared" si="0"/>
        <v>0</v>
      </c>
      <c r="T20" s="435">
        <v>0</v>
      </c>
      <c r="U20" s="435">
        <v>0</v>
      </c>
      <c r="V20" s="435">
        <f t="shared" si="5"/>
        <v>0</v>
      </c>
      <c r="W20" s="435">
        <v>0</v>
      </c>
      <c r="X20" s="435"/>
      <c r="Y20" s="435">
        <f t="shared" si="6"/>
        <v>0</v>
      </c>
      <c r="AA20" s="435">
        <v>0</v>
      </c>
      <c r="AC20" s="435">
        <f t="shared" si="1"/>
        <v>0</v>
      </c>
      <c r="AD20" s="435"/>
      <c r="AE20" s="435">
        <f t="shared" si="7"/>
        <v>0</v>
      </c>
    </row>
    <row r="21" spans="1:33" s="423" customFormat="1">
      <c r="A21" s="423" t="s">
        <v>461</v>
      </c>
      <c r="D21" s="434" t="s">
        <v>549</v>
      </c>
      <c r="E21" s="435">
        <v>0</v>
      </c>
      <c r="F21" s="435">
        <v>0</v>
      </c>
      <c r="G21" s="435"/>
      <c r="H21" s="435">
        <f t="shared" si="2"/>
        <v>0</v>
      </c>
      <c r="I21" s="435">
        <v>0</v>
      </c>
      <c r="J21" s="435">
        <v>0</v>
      </c>
      <c r="K21" s="435"/>
      <c r="L21" s="435">
        <f t="shared" si="3"/>
        <v>0</v>
      </c>
      <c r="M21" s="435">
        <v>0</v>
      </c>
      <c r="N21" s="435"/>
      <c r="O21" s="435">
        <f t="shared" si="4"/>
        <v>0</v>
      </c>
      <c r="P21" s="435">
        <v>0</v>
      </c>
      <c r="Q21" s="435">
        <v>0</v>
      </c>
      <c r="R21" s="435"/>
      <c r="S21" s="435">
        <f t="shared" si="0"/>
        <v>0</v>
      </c>
      <c r="T21" s="435">
        <v>0</v>
      </c>
      <c r="U21" s="435">
        <v>0</v>
      </c>
      <c r="V21" s="435">
        <f t="shared" si="5"/>
        <v>0</v>
      </c>
      <c r="W21" s="435">
        <v>0</v>
      </c>
      <c r="X21" s="435"/>
      <c r="Y21" s="435">
        <f t="shared" si="6"/>
        <v>0</v>
      </c>
      <c r="AA21" s="435">
        <v>0</v>
      </c>
      <c r="AC21" s="435">
        <f t="shared" si="1"/>
        <v>0</v>
      </c>
      <c r="AD21" s="435"/>
      <c r="AE21" s="435">
        <f t="shared" si="7"/>
        <v>0</v>
      </c>
    </row>
    <row r="22" spans="1:33" s="423" customFormat="1">
      <c r="A22" s="433" t="s">
        <v>609</v>
      </c>
      <c r="D22" s="434" t="s">
        <v>544</v>
      </c>
      <c r="E22" s="435">
        <v>0</v>
      </c>
      <c r="F22" s="435">
        <v>0</v>
      </c>
      <c r="G22" s="435"/>
      <c r="H22" s="435"/>
      <c r="I22" s="435">
        <v>0</v>
      </c>
      <c r="J22" s="435">
        <v>0</v>
      </c>
      <c r="K22" s="435"/>
      <c r="L22" s="435">
        <f t="shared" si="3"/>
        <v>0</v>
      </c>
      <c r="M22" s="435"/>
      <c r="N22" s="435"/>
      <c r="O22" s="435"/>
      <c r="P22" s="435">
        <v>0</v>
      </c>
      <c r="Q22" s="435">
        <v>0</v>
      </c>
      <c r="R22" s="435"/>
      <c r="S22" s="435"/>
      <c r="T22" s="435"/>
      <c r="U22" s="435"/>
      <c r="V22" s="435"/>
      <c r="W22" s="435"/>
      <c r="X22" s="435"/>
      <c r="Y22" s="435"/>
      <c r="AA22" s="435">
        <v>0</v>
      </c>
      <c r="AC22" s="435">
        <f t="shared" si="1"/>
        <v>0</v>
      </c>
      <c r="AD22" s="435"/>
      <c r="AE22" s="435">
        <f t="shared" si="7"/>
        <v>0</v>
      </c>
    </row>
    <row r="23" spans="1:33" s="423" customFormat="1">
      <c r="A23" s="433"/>
      <c r="D23" s="434"/>
      <c r="E23" s="435"/>
      <c r="F23" s="435"/>
      <c r="G23" s="435"/>
      <c r="H23" s="435"/>
      <c r="I23" s="435"/>
      <c r="J23" s="435"/>
      <c r="K23" s="435"/>
      <c r="L23" s="435"/>
      <c r="M23" s="435"/>
      <c r="N23" s="435"/>
      <c r="O23" s="435"/>
      <c r="P23" s="435"/>
      <c r="Q23" s="435"/>
      <c r="R23" s="435"/>
      <c r="S23" s="435"/>
      <c r="T23" s="435"/>
      <c r="U23" s="435"/>
      <c r="V23" s="435"/>
      <c r="W23" s="435"/>
      <c r="X23" s="435"/>
      <c r="Y23" s="435"/>
      <c r="AA23" s="435"/>
      <c r="AC23" s="435"/>
      <c r="AD23" s="435"/>
      <c r="AE23" s="435"/>
    </row>
    <row r="24" spans="1:33" s="423" customFormat="1">
      <c r="A24" s="437"/>
      <c r="B24" s="438"/>
      <c r="C24" s="438" t="s">
        <v>661</v>
      </c>
      <c r="D24" s="439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38"/>
      <c r="AA24" s="440"/>
      <c r="AB24" s="438"/>
      <c r="AC24" s="440"/>
      <c r="AD24" s="440"/>
      <c r="AE24" s="440"/>
      <c r="AF24" s="438"/>
      <c r="AG24" s="438"/>
    </row>
    <row r="25" spans="1:33" s="423" customFormat="1">
      <c r="D25" s="423" t="s">
        <v>550</v>
      </c>
      <c r="E25" s="435">
        <f>387870811.65-4248744187.57425</f>
        <v>-3860873375.9242501</v>
      </c>
      <c r="F25" s="435">
        <v>858674152.35000002</v>
      </c>
      <c r="G25" s="435">
        <f>'Adjustment Consol'!J22+'Adjustment Consol'!I24</f>
        <v>1528888561.1999998</v>
      </c>
      <c r="H25" s="435">
        <f t="shared" ref="H25:H27" si="8">SUM(E25:G25)</f>
        <v>-1473310662.3742504</v>
      </c>
      <c r="I25" s="435">
        <v>0</v>
      </c>
      <c r="J25" s="435">
        <v>0</v>
      </c>
      <c r="K25" s="435"/>
      <c r="L25" s="435">
        <f t="shared" ref="L25:L27" si="9">SUM(I25:K25)</f>
        <v>0</v>
      </c>
      <c r="M25" s="435">
        <v>0</v>
      </c>
      <c r="N25" s="435"/>
      <c r="O25" s="435">
        <f t="shared" ref="O25:O26" si="10">SUM(M25:N25)</f>
        <v>0</v>
      </c>
      <c r="P25" s="435">
        <v>0</v>
      </c>
      <c r="Q25" s="435">
        <v>0</v>
      </c>
      <c r="R25" s="435"/>
      <c r="S25" s="435">
        <f>SUM(P25:R25)</f>
        <v>0</v>
      </c>
      <c r="T25" s="435">
        <v>18819510725.924999</v>
      </c>
      <c r="U25" s="435">
        <v>0</v>
      </c>
      <c r="V25" s="435">
        <f t="shared" ref="V25:V26" si="11">SUM(T25:U25)</f>
        <v>18819510725.924999</v>
      </c>
      <c r="W25" s="435">
        <v>0</v>
      </c>
      <c r="X25" s="435"/>
      <c r="Y25" s="435">
        <f t="shared" ref="Y25:Y26" si="12">SUM(W25:X25)</f>
        <v>0</v>
      </c>
      <c r="AA25" s="435">
        <v>0</v>
      </c>
      <c r="AC25" s="435">
        <f t="shared" ref="AC25:AC28" si="13">SUM(H25,L25,O25,S25,V25,Y25)</f>
        <v>17346200063.550751</v>
      </c>
      <c r="AD25" s="435"/>
      <c r="AE25" s="435">
        <f t="shared" ref="AE25:AE28" si="14">SUM(AC25:AD25)</f>
        <v>17346200063.550751</v>
      </c>
    </row>
    <row r="26" spans="1:33" s="423" customFormat="1">
      <c r="A26" s="423" t="s">
        <v>630</v>
      </c>
      <c r="D26" s="423" t="s">
        <v>551</v>
      </c>
      <c r="E26" s="435"/>
      <c r="F26" s="435"/>
      <c r="G26" s="435"/>
      <c r="H26" s="435">
        <f t="shared" si="8"/>
        <v>0</v>
      </c>
      <c r="I26" s="435">
        <f>178270025.85-7190472.03525162</f>
        <v>171079553.81474838</v>
      </c>
      <c r="J26" s="435">
        <v>-178270024.27500001</v>
      </c>
      <c r="K26" s="435"/>
      <c r="L26" s="435">
        <f t="shared" si="9"/>
        <v>-7190470.4602516294</v>
      </c>
      <c r="M26" s="435">
        <v>0</v>
      </c>
      <c r="N26" s="435"/>
      <c r="O26" s="435">
        <f t="shared" si="10"/>
        <v>0</v>
      </c>
      <c r="P26" s="435">
        <v>403984321.31924331</v>
      </c>
      <c r="Q26" s="435">
        <v>0</v>
      </c>
      <c r="R26" s="435"/>
      <c r="S26" s="435">
        <f>SUM(P26:R26)</f>
        <v>403984321.31924331</v>
      </c>
      <c r="T26" s="435">
        <v>0</v>
      </c>
      <c r="U26" s="435">
        <v>0</v>
      </c>
      <c r="V26" s="435">
        <f t="shared" si="11"/>
        <v>0</v>
      </c>
      <c r="W26" s="435">
        <v>0</v>
      </c>
      <c r="X26" s="435"/>
      <c r="Y26" s="435">
        <f t="shared" si="12"/>
        <v>0</v>
      </c>
      <c r="AA26" s="435">
        <v>0</v>
      </c>
      <c r="AC26" s="435">
        <f t="shared" si="13"/>
        <v>396793850.85899168</v>
      </c>
      <c r="AD26" s="435"/>
      <c r="AE26" s="435">
        <f t="shared" si="14"/>
        <v>396793850.85899168</v>
      </c>
    </row>
    <row r="27" spans="1:33" s="423" customFormat="1">
      <c r="A27" s="433" t="s">
        <v>816</v>
      </c>
      <c r="D27" s="434" t="s">
        <v>555</v>
      </c>
      <c r="E27" s="435"/>
      <c r="F27" s="435">
        <v>0</v>
      </c>
      <c r="G27" s="435"/>
      <c r="H27" s="435">
        <f t="shared" si="8"/>
        <v>0</v>
      </c>
      <c r="I27" s="435">
        <v>0</v>
      </c>
      <c r="J27" s="435">
        <v>14538385570.275</v>
      </c>
      <c r="K27" s="435"/>
      <c r="L27" s="435">
        <f t="shared" si="9"/>
        <v>14538385570.275</v>
      </c>
      <c r="M27" s="435"/>
      <c r="N27" s="435"/>
      <c r="O27" s="435"/>
      <c r="P27" s="435">
        <v>0</v>
      </c>
      <c r="Q27" s="435">
        <v>2367914852.5829997</v>
      </c>
      <c r="R27" s="435"/>
      <c r="S27" s="435">
        <f>SUM(P27:R27)</f>
        <v>2367914852.5829997</v>
      </c>
      <c r="T27" s="435"/>
      <c r="U27" s="435"/>
      <c r="V27" s="435"/>
      <c r="W27" s="435"/>
      <c r="X27" s="435"/>
      <c r="Y27" s="435"/>
      <c r="AA27" s="435">
        <v>0</v>
      </c>
      <c r="AC27" s="435">
        <f t="shared" si="13"/>
        <v>16906300422.858</v>
      </c>
      <c r="AD27" s="435"/>
      <c r="AE27" s="435">
        <f t="shared" si="14"/>
        <v>16906300422.858</v>
      </c>
    </row>
    <row r="28" spans="1:33" s="423" customFormat="1">
      <c r="A28" s="423" t="s">
        <v>811</v>
      </c>
      <c r="D28" s="423" t="s">
        <v>553</v>
      </c>
      <c r="E28" s="435">
        <v>322108461.67500001</v>
      </c>
      <c r="F28" s="435">
        <v>21784457480.625</v>
      </c>
      <c r="G28" s="435">
        <f>'Adjustment Consol'!J10+'Adjustment Consol'!J7</f>
        <v>-21784457480.625</v>
      </c>
      <c r="H28" s="435">
        <f t="shared" ref="H28" si="15">SUM(E28:G28)</f>
        <v>322108461.67499924</v>
      </c>
      <c r="I28" s="435">
        <v>0</v>
      </c>
      <c r="J28" s="435">
        <v>0</v>
      </c>
      <c r="K28" s="435"/>
      <c r="L28" s="435">
        <f t="shared" ref="L28" si="16">SUM(I28:K28)</f>
        <v>0</v>
      </c>
      <c r="M28" s="435">
        <v>0</v>
      </c>
      <c r="N28" s="435"/>
      <c r="O28" s="435">
        <f t="shared" ref="O28" si="17">SUM(M28:N28)</f>
        <v>0</v>
      </c>
      <c r="P28" s="435">
        <v>0</v>
      </c>
      <c r="Q28" s="435">
        <v>0</v>
      </c>
      <c r="R28" s="435"/>
      <c r="S28" s="435">
        <f>SUM(P28:R28)</f>
        <v>0</v>
      </c>
      <c r="T28" s="435">
        <v>0</v>
      </c>
      <c r="U28" s="435"/>
      <c r="V28" s="435">
        <f t="shared" ref="V28" si="18">SUM(T28:U28)</f>
        <v>0</v>
      </c>
      <c r="W28" s="435">
        <v>0</v>
      </c>
      <c r="X28" s="435"/>
      <c r="Y28" s="435">
        <f t="shared" ref="Y28" si="19">SUM(W28:X28)</f>
        <v>0</v>
      </c>
      <c r="AA28" s="435">
        <v>0</v>
      </c>
      <c r="AC28" s="435">
        <f t="shared" si="13"/>
        <v>322108461.67499924</v>
      </c>
      <c r="AD28" s="435"/>
      <c r="AE28" s="435">
        <f t="shared" si="14"/>
        <v>322108461.67499924</v>
      </c>
    </row>
    <row r="29" spans="1:33" s="423" customFormat="1">
      <c r="A29" s="433"/>
      <c r="E29" s="441"/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  <c r="W29" s="441"/>
      <c r="X29" s="441"/>
      <c r="Y29" s="441"/>
      <c r="AA29" s="441"/>
      <c r="AC29" s="441"/>
      <c r="AD29" s="441"/>
      <c r="AE29" s="441"/>
    </row>
    <row r="30" spans="1:33" s="427" customFormat="1" ht="13">
      <c r="C30" s="427" t="s">
        <v>178</v>
      </c>
      <c r="E30" s="442">
        <f t="shared" ref="E30:Y30" si="20">SUM(E25:E28,E19:E22,E16:E18,E15)</f>
        <v>-3721021958.0992498</v>
      </c>
      <c r="F30" s="442">
        <f t="shared" si="20"/>
        <v>21936578160.939747</v>
      </c>
      <c r="G30" s="442">
        <f t="shared" si="20"/>
        <v>-4599664295.625001</v>
      </c>
      <c r="H30" s="442">
        <f t="shared" si="20"/>
        <v>13615891907.215498</v>
      </c>
      <c r="I30" s="442">
        <f t="shared" si="20"/>
        <v>3698150207.8499999</v>
      </c>
      <c r="J30" s="442">
        <f t="shared" si="20"/>
        <v>10840235364</v>
      </c>
      <c r="K30" s="442">
        <f t="shared" si="20"/>
        <v>2204243023.5</v>
      </c>
      <c r="L30" s="442">
        <f t="shared" si="20"/>
        <v>16742628595.35</v>
      </c>
      <c r="M30" s="442">
        <f t="shared" si="20"/>
        <v>0</v>
      </c>
      <c r="N30" s="442">
        <f t="shared" si="20"/>
        <v>0</v>
      </c>
      <c r="O30" s="442">
        <f t="shared" si="20"/>
        <v>0</v>
      </c>
      <c r="P30" s="442">
        <f t="shared" si="20"/>
        <v>469001723.06924331</v>
      </c>
      <c r="Q30" s="442">
        <f t="shared" si="20"/>
        <v>31647238381.458</v>
      </c>
      <c r="R30" s="442">
        <f t="shared" si="20"/>
        <v>0</v>
      </c>
      <c r="S30" s="442">
        <f t="shared" si="20"/>
        <v>32116240104.527245</v>
      </c>
      <c r="T30" s="442">
        <f t="shared" si="20"/>
        <v>18820641339.674999</v>
      </c>
      <c r="U30" s="442">
        <f t="shared" si="20"/>
        <v>0</v>
      </c>
      <c r="V30" s="442">
        <f t="shared" si="20"/>
        <v>18820641339.674999</v>
      </c>
      <c r="W30" s="442">
        <f t="shared" si="20"/>
        <v>0</v>
      </c>
      <c r="X30" s="442">
        <f t="shared" si="20"/>
        <v>0</v>
      </c>
      <c r="Y30" s="442">
        <f t="shared" si="20"/>
        <v>0</v>
      </c>
      <c r="AA30" s="442">
        <f>SUM(AA25:AA28,AA19:AA22,AA16:AA18,AA15)</f>
        <v>0</v>
      </c>
      <c r="AC30" s="442">
        <f>SUM(AC25:AC28,AC19:AC22,AC16:AC18,AC15)</f>
        <v>81295401946.767746</v>
      </c>
      <c r="AD30" s="442">
        <f>SUM(AD25:AD28,AD19:AD22,AD16:AD18,AD15)</f>
        <v>-46323999147.824997</v>
      </c>
      <c r="AE30" s="442">
        <f>SUM(AE25:AE28,AE19:AE22,AE16:AE18,AE15)</f>
        <v>34971402798.942749</v>
      </c>
    </row>
    <row r="31" spans="1:33" s="427" customFormat="1" ht="13">
      <c r="E31" s="443"/>
      <c r="F31" s="443"/>
      <c r="G31" s="443"/>
      <c r="H31" s="443"/>
      <c r="I31" s="443"/>
      <c r="J31" s="443"/>
      <c r="K31" s="443"/>
      <c r="L31" s="443"/>
      <c r="M31" s="443"/>
      <c r="N31" s="443"/>
      <c r="O31" s="443"/>
      <c r="P31" s="443"/>
      <c r="Q31" s="443"/>
      <c r="R31" s="443"/>
      <c r="S31" s="443"/>
      <c r="T31" s="443"/>
      <c r="U31" s="443"/>
      <c r="V31" s="443"/>
      <c r="W31" s="443"/>
      <c r="X31" s="443"/>
      <c r="Y31" s="443"/>
      <c r="AA31" s="443"/>
      <c r="AC31" s="443"/>
      <c r="AD31" s="443"/>
      <c r="AE31" s="443"/>
    </row>
    <row r="32" spans="1:33" s="423" customFormat="1">
      <c r="C32" s="423" t="s">
        <v>433</v>
      </c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/>
      <c r="T32" s="441"/>
      <c r="U32" s="441"/>
      <c r="V32" s="441"/>
      <c r="W32" s="441"/>
      <c r="X32" s="441"/>
      <c r="Y32" s="441"/>
      <c r="AA32" s="441"/>
      <c r="AC32" s="441"/>
      <c r="AD32" s="441"/>
      <c r="AE32" s="441"/>
    </row>
    <row r="33" spans="1:31" s="427" customFormat="1" ht="13">
      <c r="C33" s="427" t="s">
        <v>434</v>
      </c>
      <c r="E33" s="444">
        <f t="shared" ref="E33:T33" si="21">SUM(E30:E32)</f>
        <v>-3721021958.0992498</v>
      </c>
      <c r="F33" s="444">
        <f t="shared" si="21"/>
        <v>21936578160.939747</v>
      </c>
      <c r="G33" s="444">
        <f t="shared" si="21"/>
        <v>-4599664295.625001</v>
      </c>
      <c r="H33" s="444">
        <f t="shared" si="21"/>
        <v>13615891907.215498</v>
      </c>
      <c r="I33" s="444">
        <f t="shared" si="21"/>
        <v>3698150207.8499999</v>
      </c>
      <c r="J33" s="444">
        <f t="shared" si="21"/>
        <v>10840235364</v>
      </c>
      <c r="K33" s="444">
        <f t="shared" si="21"/>
        <v>2204243023.5</v>
      </c>
      <c r="L33" s="444">
        <f t="shared" si="21"/>
        <v>16742628595.35</v>
      </c>
      <c r="M33" s="444">
        <f t="shared" ref="M33" si="22">SUM(M30:M32)</f>
        <v>0</v>
      </c>
      <c r="N33" s="444"/>
      <c r="O33" s="444">
        <f t="shared" ref="O33:Q33" si="23">SUM(O30:O32)</f>
        <v>0</v>
      </c>
      <c r="P33" s="444">
        <f t="shared" si="23"/>
        <v>469001723.06924331</v>
      </c>
      <c r="Q33" s="444">
        <f t="shared" si="23"/>
        <v>31647238381.458</v>
      </c>
      <c r="R33" s="444"/>
      <c r="S33" s="444">
        <f t="shared" ref="S33" si="24">SUM(S30:S32)</f>
        <v>32116240104.527245</v>
      </c>
      <c r="T33" s="444">
        <f t="shared" si="21"/>
        <v>18820641339.674999</v>
      </c>
      <c r="U33" s="444"/>
      <c r="V33" s="444">
        <f t="shared" ref="V33:W33" si="25">SUM(V30:V32)</f>
        <v>18820641339.674999</v>
      </c>
      <c r="W33" s="444">
        <f t="shared" si="25"/>
        <v>0</v>
      </c>
      <c r="X33" s="444"/>
      <c r="Y33" s="444">
        <f t="shared" ref="Y33" si="26">SUM(Y30:Y32)</f>
        <v>0</v>
      </c>
      <c r="AA33" s="444">
        <f t="shared" ref="AA33" si="27">SUM(AA30:AA32)</f>
        <v>0</v>
      </c>
      <c r="AC33" s="444">
        <f t="shared" ref="AC33:AE33" si="28">SUM(AC30:AC32)</f>
        <v>81295401946.767746</v>
      </c>
      <c r="AD33" s="444">
        <f t="shared" si="28"/>
        <v>-46323999147.824997</v>
      </c>
      <c r="AE33" s="444">
        <f t="shared" si="28"/>
        <v>34971402798.942749</v>
      </c>
    </row>
    <row r="34" spans="1:31" s="427" customFormat="1" ht="13"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AA34" s="443"/>
      <c r="AC34" s="443"/>
      <c r="AD34" s="443"/>
      <c r="AE34" s="443"/>
    </row>
    <row r="35" spans="1:31" s="427" customFormat="1" ht="13">
      <c r="D35" s="445" t="s">
        <v>435</v>
      </c>
      <c r="E35" s="446">
        <f>'Consol SoFP 24'!D18</f>
        <v>-3721021958</v>
      </c>
      <c r="F35" s="446">
        <f>'Consol SoFP 24'!E18</f>
        <v>21936578161</v>
      </c>
      <c r="G35" s="446">
        <f>'Consol SoFP 24'!F18</f>
        <v>0</v>
      </c>
      <c r="H35" s="446">
        <f>'Consol SoFP 24'!H18</f>
        <v>13615891907.374998</v>
      </c>
      <c r="I35" s="446">
        <f>'Consol SoFP 24'!I18</f>
        <v>3698150207</v>
      </c>
      <c r="J35" s="446">
        <f>'Consol SoFP 24'!J18</f>
        <v>10840235364</v>
      </c>
      <c r="K35" s="446">
        <f>'Consol SoFP 24'!K18</f>
        <v>2204243023.5</v>
      </c>
      <c r="L35" s="446">
        <f>'Consol SoFP 24'!L18</f>
        <v>16742628594.5</v>
      </c>
      <c r="M35" s="446">
        <f>'Consol SoFP 24'!M18</f>
        <v>0</v>
      </c>
      <c r="N35" s="446">
        <f>'Consol SoFP 24'!N18</f>
        <v>0</v>
      </c>
      <c r="O35" s="446">
        <f>'Consol SoFP 24'!O18</f>
        <v>0</v>
      </c>
      <c r="P35" s="446">
        <f>'Consol SoFP 24'!P18</f>
        <v>469001723</v>
      </c>
      <c r="Q35" s="446">
        <f>'Consol SoFP 24'!Q18</f>
        <v>31647238381</v>
      </c>
      <c r="R35" s="446">
        <f>'Consol SoFP 24'!R18</f>
        <v>0</v>
      </c>
      <c r="S35" s="446">
        <f>'Consol SoFP 24'!S18</f>
        <v>32116240104</v>
      </c>
      <c r="T35" s="446">
        <f>'Consol SoFP 24'!T18</f>
        <v>18820641340</v>
      </c>
      <c r="U35" s="446">
        <f>'Consol SoFP 24'!U18</f>
        <v>0</v>
      </c>
      <c r="V35" s="446">
        <f>'Consol SoFP 24'!V18</f>
        <v>18820641340</v>
      </c>
      <c r="W35" s="446">
        <f>'Consol SoFP 24'!W18</f>
        <v>0</v>
      </c>
      <c r="X35" s="446">
        <f>'Consol SoFP 24'!X18</f>
        <v>0</v>
      </c>
      <c r="Y35" s="446">
        <f>'Consol SoFP 24'!Y18</f>
        <v>0</v>
      </c>
      <c r="AA35" s="446">
        <v>0</v>
      </c>
      <c r="AC35" s="446">
        <f>'Consol SoFP 24'!AE18</f>
        <v>81295401945.875</v>
      </c>
      <c r="AD35" s="446">
        <f>SUM('Consol SoFP 24'!AG18:AG18)</f>
        <v>-46323999147.825005</v>
      </c>
      <c r="AE35" s="446">
        <f>'Consol SoFP 24'!AH18</f>
        <v>34971402798</v>
      </c>
    </row>
    <row r="36" spans="1:31" s="423" customFormat="1" ht="13">
      <c r="A36" s="417"/>
      <c r="B36" s="417"/>
      <c r="C36" s="417"/>
      <c r="D36" s="445" t="s">
        <v>111</v>
      </c>
      <c r="E36" s="442">
        <f>E33-E35</f>
        <v>-9.9249839782714844E-2</v>
      </c>
      <c r="F36" s="442">
        <f>F33-F35</f>
        <v>-6.0253143310546875E-2</v>
      </c>
      <c r="G36" s="442">
        <f t="shared" ref="G36:H36" si="29">G33-G35</f>
        <v>-4599664295.625001</v>
      </c>
      <c r="H36" s="442">
        <f t="shared" si="29"/>
        <v>-0.1595001220703125</v>
      </c>
      <c r="I36" s="442">
        <f t="shared" ref="I36:Y36" si="30">ROUND(I33-I35,0)</f>
        <v>1</v>
      </c>
      <c r="J36" s="442">
        <f t="shared" si="30"/>
        <v>0</v>
      </c>
      <c r="K36" s="442">
        <f t="shared" si="30"/>
        <v>0</v>
      </c>
      <c r="L36" s="442">
        <f t="shared" si="30"/>
        <v>1</v>
      </c>
      <c r="M36" s="442">
        <f t="shared" si="30"/>
        <v>0</v>
      </c>
      <c r="N36" s="442">
        <f t="shared" si="30"/>
        <v>0</v>
      </c>
      <c r="O36" s="442">
        <f t="shared" si="30"/>
        <v>0</v>
      </c>
      <c r="P36" s="442">
        <f t="shared" si="30"/>
        <v>0</v>
      </c>
      <c r="Q36" s="442">
        <f t="shared" si="30"/>
        <v>0</v>
      </c>
      <c r="R36" s="442">
        <f t="shared" si="30"/>
        <v>0</v>
      </c>
      <c r="S36" s="442">
        <f t="shared" si="30"/>
        <v>1</v>
      </c>
      <c r="T36" s="442">
        <f t="shared" si="30"/>
        <v>0</v>
      </c>
      <c r="U36" s="442">
        <f t="shared" si="30"/>
        <v>0</v>
      </c>
      <c r="V36" s="442">
        <f t="shared" si="30"/>
        <v>0</v>
      </c>
      <c r="W36" s="442">
        <f t="shared" si="30"/>
        <v>0</v>
      </c>
      <c r="X36" s="442">
        <f t="shared" si="30"/>
        <v>0</v>
      </c>
      <c r="Y36" s="442">
        <f t="shared" si="30"/>
        <v>0</v>
      </c>
      <c r="AA36" s="442">
        <f t="shared" ref="AA36:AE36" si="31">ROUND(AA33-AA35,0)</f>
        <v>0</v>
      </c>
      <c r="AC36" s="442">
        <f t="shared" si="31"/>
        <v>1</v>
      </c>
      <c r="AD36" s="442">
        <f t="shared" si="31"/>
        <v>0</v>
      </c>
      <c r="AE36" s="442">
        <f t="shared" si="31"/>
        <v>1</v>
      </c>
    </row>
    <row r="37" spans="1:31" s="449" customFormat="1" ht="13.5" thickBot="1">
      <c r="A37" s="447"/>
      <c r="B37" s="447"/>
      <c r="C37" s="447"/>
      <c r="D37" s="447"/>
      <c r="E37" s="448"/>
      <c r="F37" s="448"/>
      <c r="G37" s="448"/>
      <c r="H37" s="448"/>
      <c r="I37" s="448"/>
      <c r="J37" s="448"/>
      <c r="K37" s="448"/>
      <c r="L37" s="448"/>
      <c r="M37" s="448"/>
      <c r="N37" s="448"/>
      <c r="O37" s="448"/>
      <c r="P37" s="448"/>
      <c r="Q37" s="448"/>
      <c r="R37" s="448"/>
      <c r="S37" s="448"/>
      <c r="T37" s="448"/>
      <c r="U37" s="448"/>
      <c r="V37" s="448"/>
      <c r="W37" s="448"/>
      <c r="X37" s="448"/>
      <c r="Y37" s="448"/>
      <c r="AA37" s="448"/>
      <c r="AC37" s="448"/>
      <c r="AD37" s="448"/>
      <c r="AE37" s="448"/>
    </row>
    <row r="38" spans="1:31" s="423" customFormat="1" ht="13">
      <c r="B38" s="427" t="s">
        <v>436</v>
      </c>
      <c r="C38" s="427" t="s">
        <v>437</v>
      </c>
    </row>
    <row r="39" spans="1:31" s="423" customFormat="1" ht="13">
      <c r="E39" s="428" t="s">
        <v>426</v>
      </c>
      <c r="F39" s="428" t="s">
        <v>6</v>
      </c>
      <c r="G39" s="428" t="s">
        <v>334</v>
      </c>
      <c r="H39" s="428" t="s">
        <v>427</v>
      </c>
      <c r="I39" s="428" t="s">
        <v>426</v>
      </c>
      <c r="J39" s="428" t="s">
        <v>6</v>
      </c>
      <c r="K39" s="428" t="s">
        <v>334</v>
      </c>
      <c r="L39" s="428" t="s">
        <v>427</v>
      </c>
      <c r="M39" s="428" t="s">
        <v>426</v>
      </c>
      <c r="N39" s="428" t="s">
        <v>334</v>
      </c>
      <c r="O39" s="428" t="s">
        <v>427</v>
      </c>
      <c r="P39" s="428" t="s">
        <v>426</v>
      </c>
      <c r="Q39" s="428" t="s">
        <v>6</v>
      </c>
      <c r="R39" s="428" t="s">
        <v>334</v>
      </c>
      <c r="S39" s="428" t="s">
        <v>427</v>
      </c>
      <c r="T39" s="428" t="s">
        <v>426</v>
      </c>
      <c r="U39" s="428" t="s">
        <v>334</v>
      </c>
      <c r="V39" s="428" t="s">
        <v>427</v>
      </c>
      <c r="W39" s="428" t="s">
        <v>426</v>
      </c>
      <c r="X39" s="428" t="s">
        <v>334</v>
      </c>
      <c r="Y39" s="428" t="s">
        <v>427</v>
      </c>
      <c r="AA39" s="428" t="s">
        <v>428</v>
      </c>
      <c r="AC39" s="428" t="s">
        <v>11</v>
      </c>
      <c r="AD39" s="428" t="s">
        <v>429</v>
      </c>
      <c r="AE39" s="428" t="s">
        <v>13</v>
      </c>
    </row>
    <row r="40" spans="1:31" s="423" customFormat="1" ht="13">
      <c r="E40" s="429">
        <v>45657</v>
      </c>
      <c r="F40" s="429"/>
      <c r="G40" s="429"/>
      <c r="H40" s="429">
        <v>45657</v>
      </c>
      <c r="I40" s="429">
        <v>45657</v>
      </c>
      <c r="J40" s="429"/>
      <c r="K40" s="429"/>
      <c r="L40" s="429">
        <v>45657</v>
      </c>
      <c r="M40" s="429">
        <v>45657</v>
      </c>
      <c r="N40" s="429"/>
      <c r="O40" s="429">
        <v>45657</v>
      </c>
      <c r="P40" s="429">
        <v>45657</v>
      </c>
      <c r="Q40" s="429"/>
      <c r="R40" s="429"/>
      <c r="S40" s="429">
        <v>45657</v>
      </c>
      <c r="T40" s="429">
        <v>45657</v>
      </c>
      <c r="U40" s="429"/>
      <c r="V40" s="429">
        <v>45657</v>
      </c>
      <c r="W40" s="429">
        <v>45657</v>
      </c>
      <c r="X40" s="429"/>
      <c r="Y40" s="429">
        <v>45657</v>
      </c>
      <c r="AA40" s="429">
        <v>45657</v>
      </c>
      <c r="AC40" s="429">
        <v>45657</v>
      </c>
      <c r="AD40" s="429">
        <v>45657</v>
      </c>
      <c r="AE40" s="429">
        <v>45657</v>
      </c>
    </row>
    <row r="41" spans="1:31" s="423" customFormat="1" ht="13" customHeight="1">
      <c r="C41" s="430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1"/>
      <c r="U41" s="431"/>
      <c r="V41" s="431"/>
      <c r="W41" s="431"/>
      <c r="X41" s="431"/>
      <c r="Y41" s="431"/>
      <c r="AA41" s="432"/>
      <c r="AC41" s="432"/>
      <c r="AD41" s="432"/>
      <c r="AE41" s="432"/>
    </row>
    <row r="42" spans="1:31" s="423" customFormat="1">
      <c r="A42" s="433"/>
      <c r="C42" s="423" t="s">
        <v>543</v>
      </c>
      <c r="D42" s="434"/>
      <c r="E42" s="435">
        <v>0</v>
      </c>
      <c r="F42" s="435"/>
      <c r="G42" s="435"/>
      <c r="H42" s="435">
        <v>0</v>
      </c>
      <c r="I42" s="435">
        <v>0</v>
      </c>
      <c r="J42" s="435"/>
      <c r="K42" s="435"/>
      <c r="L42" s="435">
        <f t="shared" ref="L42" si="32">SUM(I42:K42)</f>
        <v>0</v>
      </c>
      <c r="M42" s="435">
        <v>0</v>
      </c>
      <c r="N42" s="435"/>
      <c r="O42" s="435">
        <f t="shared" ref="O42" si="33">SUM(M42:N42)</f>
        <v>0</v>
      </c>
      <c r="P42" s="435">
        <v>0</v>
      </c>
      <c r="Q42" s="435"/>
      <c r="R42" s="435"/>
      <c r="S42" s="435">
        <f t="shared" ref="S42:S49" si="34">SUM(P42:R42)</f>
        <v>0</v>
      </c>
      <c r="T42" s="435">
        <v>0</v>
      </c>
      <c r="U42" s="435"/>
      <c r="V42" s="435">
        <f t="shared" ref="V42:V49" si="35">SUM(T42:U42)</f>
        <v>0</v>
      </c>
      <c r="W42" s="435">
        <v>0</v>
      </c>
      <c r="X42" s="435"/>
      <c r="Y42" s="435">
        <f t="shared" ref="Y42:Y49" si="36">SUM(W42:X42)</f>
        <v>0</v>
      </c>
      <c r="AA42" s="435">
        <v>0</v>
      </c>
      <c r="AC42" s="435">
        <f t="shared" ref="AC42:AC49" si="37">SUM(H42,L42,O42,S42,V42,Y42)</f>
        <v>0</v>
      </c>
      <c r="AD42" s="435"/>
      <c r="AE42" s="435">
        <f>SUM(AC42:AD42)</f>
        <v>0</v>
      </c>
    </row>
    <row r="43" spans="1:31" s="423" customFormat="1">
      <c r="D43" s="423" t="s">
        <v>546</v>
      </c>
      <c r="E43" s="435">
        <v>0</v>
      </c>
      <c r="F43" s="435"/>
      <c r="G43" s="435"/>
      <c r="H43" s="435">
        <f>SUM(E43:G43)</f>
        <v>0</v>
      </c>
      <c r="I43" s="435">
        <v>0</v>
      </c>
      <c r="J43" s="435"/>
      <c r="K43" s="435"/>
      <c r="L43" s="435">
        <f>SUM(I43:K43)</f>
        <v>0</v>
      </c>
      <c r="M43" s="435">
        <v>0</v>
      </c>
      <c r="N43" s="435"/>
      <c r="O43" s="435">
        <f>SUM(M43:N43)</f>
        <v>0</v>
      </c>
      <c r="P43" s="435">
        <v>0</v>
      </c>
      <c r="Q43" s="435"/>
      <c r="R43" s="435"/>
      <c r="S43" s="435">
        <f t="shared" si="34"/>
        <v>0</v>
      </c>
      <c r="T43" s="435">
        <v>0</v>
      </c>
      <c r="U43" s="435"/>
      <c r="V43" s="435">
        <f>SUM(T43:U43)</f>
        <v>0</v>
      </c>
      <c r="W43" s="435">
        <v>0</v>
      </c>
      <c r="X43" s="435"/>
      <c r="Y43" s="435">
        <f>SUM(W43:X43)</f>
        <v>0</v>
      </c>
      <c r="AA43" s="435">
        <v>0</v>
      </c>
      <c r="AC43" s="435">
        <f t="shared" si="37"/>
        <v>0</v>
      </c>
      <c r="AD43" s="435"/>
      <c r="AE43" s="435">
        <f>SUM(AC43:AD43)</f>
        <v>0</v>
      </c>
    </row>
    <row r="44" spans="1:31" s="423" customFormat="1">
      <c r="D44" s="423" t="s">
        <v>552</v>
      </c>
      <c r="E44" s="435">
        <v>0</v>
      </c>
      <c r="F44" s="435"/>
      <c r="G44" s="435"/>
      <c r="H44" s="435">
        <f>SUM(E44:G44)</f>
        <v>0</v>
      </c>
      <c r="I44" s="435">
        <v>0</v>
      </c>
      <c r="J44" s="435"/>
      <c r="K44" s="435"/>
      <c r="L44" s="435">
        <f>SUM(I44:K44)</f>
        <v>0</v>
      </c>
      <c r="M44" s="435">
        <v>0</v>
      </c>
      <c r="N44" s="435"/>
      <c r="O44" s="435">
        <f>SUM(M44:N44)</f>
        <v>0</v>
      </c>
      <c r="P44" s="435">
        <v>0</v>
      </c>
      <c r="Q44" s="435"/>
      <c r="R44" s="435"/>
      <c r="S44" s="435">
        <f t="shared" si="34"/>
        <v>0</v>
      </c>
      <c r="T44" s="435">
        <v>0</v>
      </c>
      <c r="U44" s="435"/>
      <c r="V44" s="435">
        <f>SUM(T44:U44)</f>
        <v>0</v>
      </c>
      <c r="W44" s="435">
        <v>0</v>
      </c>
      <c r="X44" s="435"/>
      <c r="Y44" s="435">
        <f>SUM(W44:X44)</f>
        <v>0</v>
      </c>
      <c r="AA44" s="435">
        <v>0</v>
      </c>
      <c r="AC44" s="435">
        <f t="shared" si="37"/>
        <v>0</v>
      </c>
      <c r="AD44" s="435"/>
      <c r="AE44" s="435">
        <f>SUM(AC44:AD44)</f>
        <v>0</v>
      </c>
    </row>
    <row r="45" spans="1:31" s="423" customFormat="1">
      <c r="D45" s="423" t="s">
        <v>547</v>
      </c>
      <c r="E45" s="435">
        <v>0</v>
      </c>
      <c r="F45" s="435"/>
      <c r="G45" s="435"/>
      <c r="H45" s="435">
        <f>SUM(E45:G45)</f>
        <v>0</v>
      </c>
      <c r="I45" s="435">
        <v>0</v>
      </c>
      <c r="J45" s="435"/>
      <c r="K45" s="435"/>
      <c r="L45" s="435">
        <f>SUM(I45:K45)</f>
        <v>0</v>
      </c>
      <c r="M45" s="435">
        <v>0</v>
      </c>
      <c r="N45" s="435"/>
      <c r="O45" s="435">
        <f>SUM(M45:N45)</f>
        <v>0</v>
      </c>
      <c r="P45" s="435">
        <v>0</v>
      </c>
      <c r="Q45" s="435"/>
      <c r="R45" s="435"/>
      <c r="S45" s="435">
        <f t="shared" si="34"/>
        <v>0</v>
      </c>
      <c r="T45" s="435">
        <v>0</v>
      </c>
      <c r="U45" s="435"/>
      <c r="V45" s="435">
        <f>SUM(T45:U45)</f>
        <v>0</v>
      </c>
      <c r="W45" s="435">
        <v>0</v>
      </c>
      <c r="X45" s="435"/>
      <c r="Y45" s="435">
        <f>SUM(W45:X45)</f>
        <v>0</v>
      </c>
      <c r="AA45" s="435">
        <v>0</v>
      </c>
      <c r="AC45" s="435">
        <f t="shared" si="37"/>
        <v>0</v>
      </c>
      <c r="AD45" s="435"/>
      <c r="AE45" s="435">
        <f>SUM(AC45:AD45)</f>
        <v>0</v>
      </c>
    </row>
    <row r="46" spans="1:31" s="423" customFormat="1">
      <c r="D46" s="423" t="s">
        <v>548</v>
      </c>
      <c r="E46" s="435">
        <v>0</v>
      </c>
      <c r="F46" s="435"/>
      <c r="G46" s="435"/>
      <c r="H46" s="435">
        <f t="shared" ref="H46:H49" si="38">SUM(E46:G46)</f>
        <v>0</v>
      </c>
      <c r="I46" s="435">
        <v>0</v>
      </c>
      <c r="J46" s="435"/>
      <c r="K46" s="435"/>
      <c r="L46" s="435">
        <f t="shared" ref="L46:L49" si="39">SUM(I46:K46)</f>
        <v>0</v>
      </c>
      <c r="M46" s="435">
        <v>0</v>
      </c>
      <c r="N46" s="435"/>
      <c r="O46" s="435">
        <f t="shared" ref="O46:O49" si="40">SUM(M46:N46)</f>
        <v>0</v>
      </c>
      <c r="P46" s="435">
        <v>0</v>
      </c>
      <c r="Q46" s="435"/>
      <c r="R46" s="435"/>
      <c r="S46" s="435">
        <f t="shared" si="34"/>
        <v>0</v>
      </c>
      <c r="T46" s="435">
        <v>0</v>
      </c>
      <c r="U46" s="435"/>
      <c r="V46" s="435">
        <f t="shared" si="35"/>
        <v>0</v>
      </c>
      <c r="W46" s="435">
        <v>0</v>
      </c>
      <c r="X46" s="435"/>
      <c r="Y46" s="435">
        <f t="shared" si="36"/>
        <v>0</v>
      </c>
      <c r="AA46" s="435">
        <v>0</v>
      </c>
      <c r="AC46" s="435">
        <f t="shared" si="37"/>
        <v>0</v>
      </c>
      <c r="AD46" s="435"/>
      <c r="AE46" s="435">
        <f t="shared" ref="AE46:AE49" si="41">SUM(AC46:AD46)</f>
        <v>0</v>
      </c>
    </row>
    <row r="47" spans="1:31" s="423" customFormat="1">
      <c r="A47" s="433"/>
      <c r="D47" s="423" t="s">
        <v>545</v>
      </c>
      <c r="E47" s="435">
        <v>0</v>
      </c>
      <c r="F47" s="435"/>
      <c r="G47" s="435"/>
      <c r="H47" s="435">
        <f t="shared" si="38"/>
        <v>0</v>
      </c>
      <c r="I47" s="435">
        <v>0</v>
      </c>
      <c r="J47" s="435"/>
      <c r="K47" s="435"/>
      <c r="L47" s="435">
        <f t="shared" si="39"/>
        <v>0</v>
      </c>
      <c r="M47" s="435">
        <v>0</v>
      </c>
      <c r="N47" s="435"/>
      <c r="O47" s="435">
        <f t="shared" si="40"/>
        <v>0</v>
      </c>
      <c r="P47" s="435">
        <v>0</v>
      </c>
      <c r="Q47" s="435"/>
      <c r="R47" s="435"/>
      <c r="S47" s="435">
        <f t="shared" si="34"/>
        <v>0</v>
      </c>
      <c r="T47" s="435">
        <v>0</v>
      </c>
      <c r="U47" s="435"/>
      <c r="V47" s="435">
        <f t="shared" si="35"/>
        <v>0</v>
      </c>
      <c r="W47" s="435">
        <v>0</v>
      </c>
      <c r="X47" s="435"/>
      <c r="Y47" s="435">
        <f t="shared" si="36"/>
        <v>0</v>
      </c>
      <c r="AA47" s="435">
        <v>0</v>
      </c>
      <c r="AC47" s="435">
        <f t="shared" si="37"/>
        <v>0</v>
      </c>
      <c r="AD47" s="435"/>
      <c r="AE47" s="435">
        <f t="shared" si="41"/>
        <v>0</v>
      </c>
    </row>
    <row r="48" spans="1:31" s="423" customFormat="1">
      <c r="D48" s="423" t="s">
        <v>549</v>
      </c>
      <c r="E48" s="435">
        <v>0</v>
      </c>
      <c r="F48" s="435"/>
      <c r="G48" s="435"/>
      <c r="H48" s="435">
        <f t="shared" si="38"/>
        <v>0</v>
      </c>
      <c r="I48" s="435">
        <v>0</v>
      </c>
      <c r="J48" s="435"/>
      <c r="K48" s="435"/>
      <c r="L48" s="435">
        <f t="shared" si="39"/>
        <v>0</v>
      </c>
      <c r="M48" s="435">
        <v>0</v>
      </c>
      <c r="N48" s="435"/>
      <c r="O48" s="435">
        <f t="shared" si="40"/>
        <v>0</v>
      </c>
      <c r="P48" s="435">
        <v>0</v>
      </c>
      <c r="Q48" s="435"/>
      <c r="R48" s="435"/>
      <c r="S48" s="435">
        <f t="shared" si="34"/>
        <v>0</v>
      </c>
      <c r="T48" s="435">
        <v>0</v>
      </c>
      <c r="U48" s="435"/>
      <c r="V48" s="435">
        <f t="shared" si="35"/>
        <v>0</v>
      </c>
      <c r="W48" s="435">
        <v>0</v>
      </c>
      <c r="X48" s="435"/>
      <c r="Y48" s="435">
        <f t="shared" si="36"/>
        <v>0</v>
      </c>
      <c r="AA48" s="435">
        <v>0</v>
      </c>
      <c r="AC48" s="435">
        <f t="shared" si="37"/>
        <v>0</v>
      </c>
      <c r="AD48" s="435"/>
      <c r="AE48" s="435">
        <f t="shared" si="41"/>
        <v>0</v>
      </c>
    </row>
    <row r="49" spans="1:31" s="423" customFormat="1">
      <c r="A49" s="433"/>
      <c r="D49" s="434" t="s">
        <v>544</v>
      </c>
      <c r="E49" s="435">
        <v>0</v>
      </c>
      <c r="F49" s="435"/>
      <c r="G49" s="435"/>
      <c r="H49" s="435">
        <f t="shared" si="38"/>
        <v>0</v>
      </c>
      <c r="I49" s="435">
        <v>0</v>
      </c>
      <c r="J49" s="435"/>
      <c r="K49" s="435"/>
      <c r="L49" s="435">
        <f t="shared" si="39"/>
        <v>0</v>
      </c>
      <c r="M49" s="435">
        <v>0</v>
      </c>
      <c r="N49" s="435"/>
      <c r="O49" s="435">
        <f t="shared" si="40"/>
        <v>0</v>
      </c>
      <c r="P49" s="435">
        <v>0</v>
      </c>
      <c r="Q49" s="435"/>
      <c r="R49" s="435"/>
      <c r="S49" s="435">
        <f t="shared" si="34"/>
        <v>0</v>
      </c>
      <c r="T49" s="435">
        <v>0</v>
      </c>
      <c r="U49" s="435"/>
      <c r="V49" s="435">
        <f t="shared" si="35"/>
        <v>0</v>
      </c>
      <c r="W49" s="435">
        <v>0</v>
      </c>
      <c r="X49" s="435"/>
      <c r="Y49" s="435">
        <f t="shared" si="36"/>
        <v>0</v>
      </c>
      <c r="AA49" s="435">
        <v>0</v>
      </c>
      <c r="AC49" s="435">
        <f t="shared" si="37"/>
        <v>0</v>
      </c>
      <c r="AD49" s="435"/>
      <c r="AE49" s="435">
        <f t="shared" si="41"/>
        <v>0</v>
      </c>
    </row>
    <row r="50" spans="1:31" s="423" customFormat="1">
      <c r="A50" s="433"/>
      <c r="D50" s="434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AA50" s="435"/>
      <c r="AC50" s="435"/>
      <c r="AD50" s="435"/>
      <c r="AE50" s="435"/>
    </row>
    <row r="51" spans="1:31" s="423" customFormat="1">
      <c r="A51" s="433"/>
      <c r="E51" s="441"/>
      <c r="F51" s="441"/>
      <c r="G51" s="441"/>
      <c r="H51" s="441"/>
      <c r="I51" s="441"/>
      <c r="J51" s="441"/>
      <c r="K51" s="441"/>
      <c r="L51" s="441"/>
      <c r="M51" s="441"/>
      <c r="N51" s="441"/>
      <c r="O51" s="441"/>
      <c r="P51" s="441"/>
      <c r="Q51" s="441"/>
      <c r="R51" s="441"/>
      <c r="S51" s="441"/>
      <c r="T51" s="441"/>
      <c r="U51" s="441"/>
      <c r="V51" s="441"/>
      <c r="W51" s="441"/>
      <c r="X51" s="441"/>
      <c r="Y51" s="441"/>
      <c r="AA51" s="441"/>
      <c r="AC51" s="441"/>
      <c r="AD51" s="441"/>
      <c r="AE51" s="441"/>
    </row>
    <row r="52" spans="1:31" s="427" customFormat="1" ht="13">
      <c r="C52" s="427" t="s">
        <v>178</v>
      </c>
      <c r="E52" s="442">
        <f>SUM(E42:E49)</f>
        <v>0</v>
      </c>
      <c r="F52" s="442"/>
      <c r="G52" s="442">
        <f t="shared" ref="G52:AA52" si="42">SUM(G42:G49)</f>
        <v>0</v>
      </c>
      <c r="H52" s="442">
        <f t="shared" si="42"/>
        <v>0</v>
      </c>
      <c r="I52" s="442">
        <f t="shared" si="42"/>
        <v>0</v>
      </c>
      <c r="J52" s="442"/>
      <c r="K52" s="442">
        <f t="shared" si="42"/>
        <v>0</v>
      </c>
      <c r="L52" s="442">
        <f t="shared" si="42"/>
        <v>0</v>
      </c>
      <c r="M52" s="442">
        <f t="shared" si="42"/>
        <v>0</v>
      </c>
      <c r="N52" s="442">
        <f t="shared" si="42"/>
        <v>0</v>
      </c>
      <c r="O52" s="442">
        <f t="shared" si="42"/>
        <v>0</v>
      </c>
      <c r="P52" s="442">
        <f t="shared" si="42"/>
        <v>0</v>
      </c>
      <c r="Q52" s="442"/>
      <c r="R52" s="442">
        <f t="shared" si="42"/>
        <v>0</v>
      </c>
      <c r="S52" s="442">
        <f t="shared" si="42"/>
        <v>0</v>
      </c>
      <c r="T52" s="442">
        <f t="shared" si="42"/>
        <v>0</v>
      </c>
      <c r="U52" s="442">
        <f t="shared" si="42"/>
        <v>0</v>
      </c>
      <c r="V52" s="442">
        <f t="shared" si="42"/>
        <v>0</v>
      </c>
      <c r="W52" s="442">
        <f t="shared" si="42"/>
        <v>0</v>
      </c>
      <c r="X52" s="442">
        <f t="shared" si="42"/>
        <v>0</v>
      </c>
      <c r="Y52" s="442">
        <f t="shared" si="42"/>
        <v>0</v>
      </c>
      <c r="Z52" s="442">
        <f t="shared" si="42"/>
        <v>0</v>
      </c>
      <c r="AA52" s="442">
        <f t="shared" si="42"/>
        <v>0</v>
      </c>
      <c r="AC52" s="442">
        <f t="shared" ref="AC52:AE52" si="43">SUM(AC42:AC49)</f>
        <v>0</v>
      </c>
      <c r="AD52" s="442">
        <f t="shared" si="43"/>
        <v>0</v>
      </c>
      <c r="AE52" s="442">
        <f t="shared" si="43"/>
        <v>0</v>
      </c>
    </row>
    <row r="53" spans="1:31" s="427" customFormat="1" ht="13">
      <c r="E53" s="443"/>
      <c r="F53" s="443"/>
      <c r="G53" s="443"/>
      <c r="H53" s="443"/>
      <c r="I53" s="443"/>
      <c r="J53" s="443"/>
      <c r="K53" s="443"/>
      <c r="L53" s="443"/>
      <c r="M53" s="443"/>
      <c r="N53" s="443"/>
      <c r="O53" s="443"/>
      <c r="P53" s="443"/>
      <c r="Q53" s="443"/>
      <c r="R53" s="443"/>
      <c r="S53" s="443"/>
      <c r="T53" s="443"/>
      <c r="U53" s="443"/>
      <c r="V53" s="443"/>
      <c r="W53" s="443"/>
      <c r="X53" s="443"/>
      <c r="Y53" s="443"/>
      <c r="AA53" s="443"/>
      <c r="AC53" s="443"/>
      <c r="AD53" s="443"/>
      <c r="AE53" s="443"/>
    </row>
    <row r="54" spans="1:31" s="423" customFormat="1">
      <c r="C54" s="423" t="s">
        <v>433</v>
      </c>
      <c r="E54" s="441"/>
      <c r="F54" s="441"/>
      <c r="G54" s="441"/>
      <c r="H54" s="441"/>
      <c r="I54" s="441"/>
      <c r="J54" s="441"/>
      <c r="K54" s="441"/>
      <c r="L54" s="441"/>
      <c r="M54" s="441"/>
      <c r="N54" s="441"/>
      <c r="O54" s="441"/>
      <c r="P54" s="441"/>
      <c r="Q54" s="441"/>
      <c r="R54" s="441"/>
      <c r="S54" s="441"/>
      <c r="T54" s="441"/>
      <c r="U54" s="441"/>
      <c r="V54" s="441"/>
      <c r="W54" s="441"/>
      <c r="X54" s="441"/>
      <c r="Y54" s="441"/>
      <c r="AA54" s="441">
        <v>0</v>
      </c>
      <c r="AC54" s="441">
        <v>0</v>
      </c>
      <c r="AD54" s="441">
        <v>0</v>
      </c>
      <c r="AE54" s="441">
        <v>0</v>
      </c>
    </row>
    <row r="55" spans="1:31" s="427" customFormat="1" ht="13">
      <c r="C55" s="427" t="s">
        <v>434</v>
      </c>
      <c r="E55" s="444">
        <f t="shared" ref="E55:T55" si="44">SUM(E52:E54)</f>
        <v>0</v>
      </c>
      <c r="F55" s="444"/>
      <c r="G55" s="444"/>
      <c r="H55" s="444">
        <f t="shared" si="44"/>
        <v>0</v>
      </c>
      <c r="I55" s="444">
        <f t="shared" si="44"/>
        <v>0</v>
      </c>
      <c r="J55" s="444"/>
      <c r="K55" s="444"/>
      <c r="L55" s="444">
        <f t="shared" ref="L55" si="45">SUM(L52:L54)</f>
        <v>0</v>
      </c>
      <c r="M55" s="444">
        <f t="shared" ref="M55" si="46">SUM(M52:M54)</f>
        <v>0</v>
      </c>
      <c r="N55" s="444"/>
      <c r="O55" s="444">
        <f t="shared" ref="O55:P55" si="47">SUM(O52:O54)</f>
        <v>0</v>
      </c>
      <c r="P55" s="444">
        <f t="shared" si="47"/>
        <v>0</v>
      </c>
      <c r="Q55" s="444"/>
      <c r="R55" s="444"/>
      <c r="S55" s="444">
        <f t="shared" ref="S55" si="48">SUM(S52:S54)</f>
        <v>0</v>
      </c>
      <c r="T55" s="444">
        <f t="shared" si="44"/>
        <v>0</v>
      </c>
      <c r="U55" s="444"/>
      <c r="V55" s="444">
        <f t="shared" ref="V55:W55" si="49">SUM(V52:V54)</f>
        <v>0</v>
      </c>
      <c r="W55" s="444">
        <f t="shared" si="49"/>
        <v>0</v>
      </c>
      <c r="X55" s="444"/>
      <c r="Y55" s="444">
        <f t="shared" ref="Y55" si="50">SUM(Y52:Y54)</f>
        <v>0</v>
      </c>
      <c r="AA55" s="444">
        <f t="shared" ref="AA55" si="51">SUM(AA52:AA54)</f>
        <v>0</v>
      </c>
      <c r="AC55" s="444">
        <f t="shared" ref="AC55:AE55" si="52">SUM(AC52:AC54)</f>
        <v>0</v>
      </c>
      <c r="AD55" s="444">
        <f t="shared" si="52"/>
        <v>0</v>
      </c>
      <c r="AE55" s="444">
        <f t="shared" si="52"/>
        <v>0</v>
      </c>
    </row>
    <row r="56" spans="1:31" s="427" customFormat="1" ht="13"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AA56" s="443"/>
      <c r="AC56" s="443"/>
      <c r="AD56" s="443"/>
      <c r="AE56" s="443"/>
    </row>
    <row r="57" spans="1:31" s="427" customFormat="1" ht="13">
      <c r="D57" s="445" t="s">
        <v>435</v>
      </c>
      <c r="E57" s="446">
        <f>'Consol SoFP 24'!D21</f>
        <v>0</v>
      </c>
      <c r="F57" s="446"/>
      <c r="G57" s="446">
        <f>'Consol SoFP 24'!F21</f>
        <v>0</v>
      </c>
      <c r="H57" s="446">
        <f>'Consol SoFP 24'!H21</f>
        <v>0</v>
      </c>
      <c r="I57" s="446">
        <f>'Consol SoFP 24'!I21</f>
        <v>0</v>
      </c>
      <c r="J57" s="446"/>
      <c r="K57" s="446">
        <f>'Consol SoFP 24'!K21</f>
        <v>0</v>
      </c>
      <c r="L57" s="446">
        <f>'Consol SoFP 24'!L21</f>
        <v>0</v>
      </c>
      <c r="M57" s="446">
        <f>'Consol SoFP 24'!M21</f>
        <v>0</v>
      </c>
      <c r="N57" s="446">
        <f>'Consol SoFP 24'!N21</f>
        <v>0</v>
      </c>
      <c r="O57" s="446">
        <f>'Consol SoFP 24'!O21</f>
        <v>0</v>
      </c>
      <c r="P57" s="446">
        <f>'Consol SoFP 24'!P21</f>
        <v>0</v>
      </c>
      <c r="Q57" s="446"/>
      <c r="R57" s="446">
        <f>'Consol SoFP 24'!R21</f>
        <v>0</v>
      </c>
      <c r="S57" s="446">
        <f>'Consol SoFP 24'!S21</f>
        <v>0</v>
      </c>
      <c r="T57" s="446">
        <f>'Consol SoFP 24'!T21</f>
        <v>0</v>
      </c>
      <c r="U57" s="446">
        <f>'Consol SoFP 24'!U21</f>
        <v>0</v>
      </c>
      <c r="V57" s="446">
        <f>'Consol SoFP 24'!V21</f>
        <v>0</v>
      </c>
      <c r="W57" s="446">
        <f>'Consol SoFP 24'!W21</f>
        <v>0</v>
      </c>
      <c r="X57" s="446">
        <f>'Consol SoFP 24'!X21</f>
        <v>0</v>
      </c>
      <c r="Y57" s="446">
        <f>'Consol SoFP 24'!Y21</f>
        <v>0</v>
      </c>
      <c r="AA57" s="446">
        <v>0</v>
      </c>
      <c r="AC57" s="446">
        <v>0</v>
      </c>
      <c r="AD57" s="446">
        <v>0</v>
      </c>
      <c r="AE57" s="446">
        <v>0</v>
      </c>
    </row>
    <row r="58" spans="1:31" s="423" customFormat="1" ht="13">
      <c r="A58" s="417"/>
      <c r="B58" s="417"/>
      <c r="C58" s="417"/>
      <c r="D58" s="445" t="s">
        <v>111</v>
      </c>
      <c r="E58" s="442">
        <f>ROUND(E55-E57,0)</f>
        <v>0</v>
      </c>
      <c r="F58" s="442"/>
      <c r="G58" s="442">
        <f t="shared" ref="G58:Y58" si="53">ROUND(G55-G57,0)</f>
        <v>0</v>
      </c>
      <c r="H58" s="442">
        <f t="shared" si="53"/>
        <v>0</v>
      </c>
      <c r="I58" s="442">
        <f t="shared" si="53"/>
        <v>0</v>
      </c>
      <c r="J58" s="442"/>
      <c r="K58" s="442">
        <f t="shared" si="53"/>
        <v>0</v>
      </c>
      <c r="L58" s="442">
        <f t="shared" si="53"/>
        <v>0</v>
      </c>
      <c r="M58" s="442">
        <f t="shared" si="53"/>
        <v>0</v>
      </c>
      <c r="N58" s="442">
        <f t="shared" si="53"/>
        <v>0</v>
      </c>
      <c r="O58" s="442">
        <f t="shared" si="53"/>
        <v>0</v>
      </c>
      <c r="P58" s="442">
        <f t="shared" si="53"/>
        <v>0</v>
      </c>
      <c r="Q58" s="442"/>
      <c r="R58" s="442">
        <f t="shared" si="53"/>
        <v>0</v>
      </c>
      <c r="S58" s="442">
        <f t="shared" si="53"/>
        <v>0</v>
      </c>
      <c r="T58" s="442">
        <f t="shared" si="53"/>
        <v>0</v>
      </c>
      <c r="U58" s="442">
        <f t="shared" si="53"/>
        <v>0</v>
      </c>
      <c r="V58" s="442">
        <f t="shared" si="53"/>
        <v>0</v>
      </c>
      <c r="W58" s="442">
        <f t="shared" si="53"/>
        <v>0</v>
      </c>
      <c r="X58" s="442">
        <f t="shared" si="53"/>
        <v>0</v>
      </c>
      <c r="Y58" s="442">
        <f t="shared" si="53"/>
        <v>0</v>
      </c>
      <c r="AA58" s="442">
        <f t="shared" ref="AA58" si="54">AA55-AA57</f>
        <v>0</v>
      </c>
      <c r="AC58" s="442">
        <f t="shared" ref="AC58:AE58" si="55">ROUND(AC55-AC57,0)</f>
        <v>0</v>
      </c>
      <c r="AD58" s="442">
        <f t="shared" si="55"/>
        <v>0</v>
      </c>
      <c r="AE58" s="442">
        <f t="shared" si="55"/>
        <v>0</v>
      </c>
    </row>
    <row r="59" spans="1:31" s="449" customFormat="1" ht="13.5" thickBot="1">
      <c r="A59" s="447"/>
      <c r="B59" s="447"/>
      <c r="C59" s="447"/>
      <c r="D59" s="447"/>
      <c r="E59" s="448"/>
      <c r="F59" s="448"/>
      <c r="G59" s="448"/>
      <c r="H59" s="448"/>
      <c r="I59" s="448"/>
      <c r="J59" s="448"/>
      <c r="K59" s="448"/>
      <c r="L59" s="448"/>
      <c r="M59" s="448"/>
      <c r="N59" s="448"/>
      <c r="O59" s="448"/>
      <c r="P59" s="448"/>
      <c r="Q59" s="448"/>
      <c r="R59" s="448"/>
      <c r="S59" s="448"/>
      <c r="T59" s="448"/>
      <c r="U59" s="448"/>
      <c r="V59" s="448"/>
      <c r="W59" s="448"/>
      <c r="X59" s="448"/>
      <c r="Y59" s="448"/>
      <c r="AA59" s="448"/>
      <c r="AC59" s="448"/>
      <c r="AD59" s="448"/>
      <c r="AE59" s="448"/>
    </row>
    <row r="60" spans="1:31" s="417" customFormat="1" ht="13">
      <c r="B60" s="414" t="s">
        <v>438</v>
      </c>
    </row>
    <row r="61" spans="1:31" s="423" customFormat="1" ht="13">
      <c r="E61" s="428" t="s">
        <v>426</v>
      </c>
      <c r="F61" s="428" t="s">
        <v>6</v>
      </c>
      <c r="G61" s="428" t="s">
        <v>334</v>
      </c>
      <c r="H61" s="428" t="s">
        <v>427</v>
      </c>
      <c r="I61" s="428" t="s">
        <v>426</v>
      </c>
      <c r="J61" s="428" t="s">
        <v>6</v>
      </c>
      <c r="K61" s="428" t="s">
        <v>334</v>
      </c>
      <c r="L61" s="428" t="s">
        <v>427</v>
      </c>
      <c r="M61" s="428" t="s">
        <v>426</v>
      </c>
      <c r="N61" s="428" t="s">
        <v>334</v>
      </c>
      <c r="O61" s="428" t="s">
        <v>427</v>
      </c>
      <c r="P61" s="428" t="s">
        <v>426</v>
      </c>
      <c r="Q61" s="428" t="s">
        <v>6</v>
      </c>
      <c r="R61" s="428" t="s">
        <v>334</v>
      </c>
      <c r="S61" s="428" t="s">
        <v>427</v>
      </c>
      <c r="T61" s="428" t="s">
        <v>426</v>
      </c>
      <c r="U61" s="428" t="s">
        <v>334</v>
      </c>
      <c r="V61" s="428" t="s">
        <v>427</v>
      </c>
      <c r="W61" s="428" t="s">
        <v>426</v>
      </c>
      <c r="X61" s="428" t="s">
        <v>334</v>
      </c>
      <c r="Y61" s="428" t="s">
        <v>427</v>
      </c>
      <c r="AA61" s="428" t="s">
        <v>428</v>
      </c>
      <c r="AC61" s="428" t="s">
        <v>11</v>
      </c>
      <c r="AD61" s="428" t="s">
        <v>429</v>
      </c>
      <c r="AE61" s="428" t="s">
        <v>13</v>
      </c>
    </row>
    <row r="62" spans="1:31" s="423" customFormat="1" ht="13">
      <c r="E62" s="429">
        <v>45657</v>
      </c>
      <c r="F62" s="429"/>
      <c r="G62" s="429"/>
      <c r="H62" s="429">
        <v>45657</v>
      </c>
      <c r="I62" s="429">
        <v>45657</v>
      </c>
      <c r="J62" s="429"/>
      <c r="K62" s="429"/>
      <c r="L62" s="429">
        <v>45657</v>
      </c>
      <c r="M62" s="429">
        <v>45657</v>
      </c>
      <c r="N62" s="429"/>
      <c r="O62" s="429">
        <v>45657</v>
      </c>
      <c r="P62" s="429">
        <v>45657</v>
      </c>
      <c r="Q62" s="429"/>
      <c r="R62" s="429"/>
      <c r="S62" s="429">
        <v>45657</v>
      </c>
      <c r="T62" s="429">
        <v>45657</v>
      </c>
      <c r="U62" s="429"/>
      <c r="V62" s="429">
        <v>45657</v>
      </c>
      <c r="W62" s="429">
        <v>45657</v>
      </c>
      <c r="X62" s="429"/>
      <c r="Y62" s="429">
        <v>45657</v>
      </c>
      <c r="AA62" s="429">
        <v>45657</v>
      </c>
      <c r="AC62" s="429">
        <v>45657</v>
      </c>
      <c r="AD62" s="429">
        <v>45657</v>
      </c>
      <c r="AE62" s="429">
        <v>45657</v>
      </c>
    </row>
    <row r="63" spans="1:31" s="423" customFormat="1" ht="13" customHeight="1">
      <c r="C63" s="430"/>
      <c r="D63" s="430"/>
      <c r="E63" s="450"/>
      <c r="F63" s="450"/>
      <c r="G63" s="450"/>
      <c r="H63" s="450"/>
      <c r="I63" s="450"/>
      <c r="J63" s="450"/>
      <c r="K63" s="450"/>
      <c r="L63" s="451"/>
      <c r="M63" s="450"/>
      <c r="N63" s="450"/>
      <c r="O63" s="450"/>
      <c r="P63" s="450"/>
      <c r="Q63" s="450"/>
      <c r="R63" s="450"/>
      <c r="S63" s="450"/>
      <c r="T63" s="450"/>
      <c r="U63" s="450"/>
      <c r="V63" s="450"/>
      <c r="W63" s="450"/>
      <c r="X63" s="450"/>
      <c r="Y63" s="450"/>
      <c r="AA63" s="452"/>
      <c r="AC63" s="452"/>
      <c r="AD63" s="452"/>
      <c r="AE63" s="452"/>
    </row>
    <row r="64" spans="1:31" s="438" customFormat="1">
      <c r="A64" s="438" t="s">
        <v>640</v>
      </c>
      <c r="C64" s="423" t="s">
        <v>543</v>
      </c>
      <c r="D64" s="434"/>
      <c r="E64" s="440">
        <v>0</v>
      </c>
      <c r="F64" s="440">
        <v>0</v>
      </c>
      <c r="G64" s="440"/>
      <c r="H64" s="440">
        <f t="shared" ref="H64:H81" si="56">SUM(E64:G64)</f>
        <v>0</v>
      </c>
      <c r="I64" s="435">
        <v>-39691115629.199997</v>
      </c>
      <c r="J64" s="435">
        <v>39691115629.199997</v>
      </c>
      <c r="K64" s="440">
        <f>'Adjustment Consol'!G113</f>
        <v>0</v>
      </c>
      <c r="L64" s="440">
        <f t="shared" ref="L64:L70" si="57">SUM(I64:K64)</f>
        <v>0</v>
      </c>
      <c r="M64" s="435">
        <v>787500000</v>
      </c>
      <c r="N64" s="435">
        <v>0</v>
      </c>
      <c r="O64" s="440">
        <f t="shared" ref="O64:O70" si="58">SUM(M64:N64)</f>
        <v>787500000</v>
      </c>
      <c r="P64" s="435">
        <v>27408313.453501079</v>
      </c>
      <c r="Q64" s="435">
        <v>-7417492.4249999998</v>
      </c>
      <c r="R64" s="440"/>
      <c r="S64" s="440">
        <f t="shared" ref="S64:S70" si="59">SUM(P64:R64)</f>
        <v>19990821.028501078</v>
      </c>
      <c r="T64" s="435">
        <v>39375000</v>
      </c>
      <c r="U64" s="435">
        <v>0</v>
      </c>
      <c r="V64" s="440">
        <f t="shared" ref="V64:V81" si="60">SUM(T64:U64)</f>
        <v>39375000</v>
      </c>
      <c r="W64" s="440">
        <v>0</v>
      </c>
      <c r="X64" s="440"/>
      <c r="Y64" s="440">
        <f t="shared" ref="Y64:Y78" si="61">SUM(W64:X64)</f>
        <v>0</v>
      </c>
      <c r="AA64" s="440">
        <v>0</v>
      </c>
      <c r="AC64" s="435">
        <f t="shared" ref="AC64:AC71" si="62">SUM(H64,L64,O64,S64,V64,Y64)</f>
        <v>846865821.02850103</v>
      </c>
      <c r="AD64" s="440">
        <f>'Elimination 2024'!H99+'Elimination 2024'!H105+'Elimination 2024'!H117</f>
        <v>-846865821.02850103</v>
      </c>
      <c r="AE64" s="435">
        <f t="shared" ref="AE64:AE70" si="63">ROUND(SUM(AC64:AD64),0)</f>
        <v>0</v>
      </c>
    </row>
    <row r="65" spans="1:33" s="438" customFormat="1">
      <c r="A65" s="438" t="s">
        <v>688</v>
      </c>
      <c r="C65" s="423"/>
      <c r="D65" s="423" t="s">
        <v>546</v>
      </c>
      <c r="E65" s="435">
        <v>92339331563.744965</v>
      </c>
      <c r="F65" s="435">
        <v>875325978927.22498</v>
      </c>
      <c r="G65" s="440">
        <f>'Adjustment Consol'!J43</f>
        <v>-424833845.67229611</v>
      </c>
      <c r="H65" s="440">
        <f t="shared" si="56"/>
        <v>967240476645.29773</v>
      </c>
      <c r="I65" s="435">
        <v>0</v>
      </c>
      <c r="J65" s="435">
        <v>0</v>
      </c>
      <c r="K65" s="440"/>
      <c r="L65" s="440">
        <f t="shared" si="57"/>
        <v>0</v>
      </c>
      <c r="M65" s="435">
        <v>21409708320</v>
      </c>
      <c r="N65" s="435">
        <v>579433862.69999993</v>
      </c>
      <c r="O65" s="440">
        <f t="shared" si="58"/>
        <v>21989142182.700001</v>
      </c>
      <c r="P65" s="435">
        <v>15484319.093250006</v>
      </c>
      <c r="Q65" s="435">
        <v>0</v>
      </c>
      <c r="R65" s="440"/>
      <c r="S65" s="440">
        <f t="shared" si="59"/>
        <v>15484319.093250006</v>
      </c>
      <c r="T65" s="435">
        <v>-15925560000.525</v>
      </c>
      <c r="U65" s="435">
        <v>15925560001.186502</v>
      </c>
      <c r="V65" s="440">
        <f t="shared" si="60"/>
        <v>0.66150283813476563</v>
      </c>
      <c r="W65" s="440">
        <v>0</v>
      </c>
      <c r="X65" s="440"/>
      <c r="Y65" s="440">
        <f t="shared" si="61"/>
        <v>0</v>
      </c>
      <c r="AA65" s="440">
        <v>0</v>
      </c>
      <c r="AC65" s="435">
        <f t="shared" si="62"/>
        <v>989245103147.75244</v>
      </c>
      <c r="AD65" s="440">
        <f>'Elimination 2024'!H73+'Elimination 2024'!H102+'Elimination 2024'!H108</f>
        <v>-989245103147.1853</v>
      </c>
      <c r="AE65" s="435">
        <f t="shared" si="63"/>
        <v>1</v>
      </c>
    </row>
    <row r="66" spans="1:33" s="423" customFormat="1">
      <c r="A66" s="438" t="s">
        <v>740</v>
      </c>
      <c r="B66" s="438"/>
      <c r="D66" s="423" t="s">
        <v>547</v>
      </c>
      <c r="E66" s="435">
        <v>83950650000</v>
      </c>
      <c r="F66" s="435">
        <v>-46413084157.650002</v>
      </c>
      <c r="G66" s="440"/>
      <c r="H66" s="440">
        <f t="shared" si="56"/>
        <v>37537565842.349998</v>
      </c>
      <c r="I66" s="435">
        <v>5040938.7</v>
      </c>
      <c r="J66" s="435">
        <v>0</v>
      </c>
      <c r="K66" s="440"/>
      <c r="L66" s="440">
        <f t="shared" si="57"/>
        <v>5040938.7</v>
      </c>
      <c r="M66" s="440">
        <v>0</v>
      </c>
      <c r="N66" s="440"/>
      <c r="O66" s="440">
        <f t="shared" si="58"/>
        <v>0</v>
      </c>
      <c r="P66" s="435">
        <v>0</v>
      </c>
      <c r="Q66" s="435">
        <v>0</v>
      </c>
      <c r="R66" s="440"/>
      <c r="S66" s="440">
        <f t="shared" si="59"/>
        <v>0</v>
      </c>
      <c r="T66" s="435">
        <v>0</v>
      </c>
      <c r="U66" s="435">
        <v>0</v>
      </c>
      <c r="V66" s="440">
        <f t="shared" si="60"/>
        <v>0</v>
      </c>
      <c r="W66" s="440">
        <v>0</v>
      </c>
      <c r="X66" s="440"/>
      <c r="Y66" s="440">
        <f t="shared" si="61"/>
        <v>0</v>
      </c>
      <c r="Z66" s="438"/>
      <c r="AA66" s="440">
        <v>0</v>
      </c>
      <c r="AB66" s="438"/>
      <c r="AC66" s="435">
        <f t="shared" si="62"/>
        <v>37542606781.049995</v>
      </c>
      <c r="AD66" s="440">
        <f>'Elimination 2024'!H76+'Elimination 2024'!H90</f>
        <v>-37542606781.049995</v>
      </c>
      <c r="AE66" s="435">
        <f t="shared" si="63"/>
        <v>0</v>
      </c>
      <c r="AF66" s="438"/>
      <c r="AG66" s="438"/>
    </row>
    <row r="67" spans="1:33" s="423" customFormat="1">
      <c r="A67" s="438" t="s">
        <v>465</v>
      </c>
      <c r="B67" s="438"/>
      <c r="D67" s="423" t="s">
        <v>548</v>
      </c>
      <c r="E67" s="435">
        <v>43884946972.613243</v>
      </c>
      <c r="F67" s="435">
        <v>70389829019.474991</v>
      </c>
      <c r="G67" s="440"/>
      <c r="H67" s="440">
        <f t="shared" si="56"/>
        <v>114274775992.08823</v>
      </c>
      <c r="I67" s="435">
        <v>661844693.47500002</v>
      </c>
      <c r="J67" s="435">
        <v>0</v>
      </c>
      <c r="K67" s="440"/>
      <c r="L67" s="440">
        <f t="shared" si="57"/>
        <v>661844693.47500002</v>
      </c>
      <c r="M67" s="440">
        <v>0</v>
      </c>
      <c r="N67" s="440"/>
      <c r="O67" s="440">
        <f t="shared" si="58"/>
        <v>0</v>
      </c>
      <c r="P67" s="435">
        <v>0</v>
      </c>
      <c r="Q67" s="435">
        <v>0</v>
      </c>
      <c r="R67" s="440"/>
      <c r="S67" s="440">
        <f t="shared" si="59"/>
        <v>0</v>
      </c>
      <c r="T67" s="435">
        <v>0</v>
      </c>
      <c r="U67" s="435">
        <v>0</v>
      </c>
      <c r="V67" s="440">
        <f t="shared" si="60"/>
        <v>0</v>
      </c>
      <c r="W67" s="440">
        <v>0</v>
      </c>
      <c r="X67" s="440"/>
      <c r="Y67" s="440">
        <f t="shared" si="61"/>
        <v>0</v>
      </c>
      <c r="Z67" s="438"/>
      <c r="AA67" s="440">
        <v>0</v>
      </c>
      <c r="AB67" s="438"/>
      <c r="AC67" s="435">
        <f t="shared" si="62"/>
        <v>114936620685.56323</v>
      </c>
      <c r="AD67" s="440">
        <f>'Elimination 2024'!H79+'Elimination 2024'!H93</f>
        <v>-114936620685.56323</v>
      </c>
      <c r="AE67" s="435">
        <f t="shared" si="63"/>
        <v>0</v>
      </c>
      <c r="AF67" s="453"/>
      <c r="AG67" s="438"/>
    </row>
    <row r="68" spans="1:33" s="423" customFormat="1">
      <c r="A68" s="423" t="s">
        <v>639</v>
      </c>
      <c r="D68" s="423" t="s">
        <v>545</v>
      </c>
      <c r="E68" s="435">
        <v>0</v>
      </c>
      <c r="F68" s="435">
        <v>0</v>
      </c>
      <c r="G68" s="435"/>
      <c r="H68" s="435">
        <f t="shared" si="56"/>
        <v>0</v>
      </c>
      <c r="I68" s="435">
        <v>0</v>
      </c>
      <c r="J68" s="435">
        <v>0</v>
      </c>
      <c r="K68" s="435"/>
      <c r="L68" s="435">
        <f t="shared" si="57"/>
        <v>0</v>
      </c>
      <c r="M68" s="440">
        <v>0</v>
      </c>
      <c r="N68" s="435"/>
      <c r="O68" s="435">
        <f t="shared" si="58"/>
        <v>0</v>
      </c>
      <c r="P68" s="435">
        <v>0</v>
      </c>
      <c r="Q68" s="435">
        <v>0</v>
      </c>
      <c r="R68" s="435"/>
      <c r="S68" s="435">
        <f t="shared" si="59"/>
        <v>0</v>
      </c>
      <c r="T68" s="435">
        <v>0</v>
      </c>
      <c r="U68" s="435">
        <v>0</v>
      </c>
      <c r="V68" s="435">
        <f t="shared" si="60"/>
        <v>0</v>
      </c>
      <c r="W68" s="440">
        <v>0</v>
      </c>
      <c r="X68" s="435"/>
      <c r="Y68" s="435">
        <f t="shared" si="61"/>
        <v>0</v>
      </c>
      <c r="AA68" s="435">
        <v>0</v>
      </c>
      <c r="AC68" s="435">
        <f t="shared" si="62"/>
        <v>0</v>
      </c>
      <c r="AD68" s="435"/>
      <c r="AE68" s="435">
        <f t="shared" si="63"/>
        <v>0</v>
      </c>
    </row>
    <row r="69" spans="1:33" s="423" customFormat="1">
      <c r="A69" s="423" t="s">
        <v>461</v>
      </c>
      <c r="D69" s="423" t="s">
        <v>549</v>
      </c>
      <c r="E69" s="435">
        <v>7875000</v>
      </c>
      <c r="F69" s="435">
        <v>0</v>
      </c>
      <c r="G69" s="435"/>
      <c r="H69" s="435">
        <f t="shared" si="56"/>
        <v>7875000</v>
      </c>
      <c r="I69" s="435">
        <v>0</v>
      </c>
      <c r="J69" s="435">
        <v>0</v>
      </c>
      <c r="K69" s="435"/>
      <c r="L69" s="435">
        <f t="shared" si="57"/>
        <v>0</v>
      </c>
      <c r="M69" s="440">
        <v>0</v>
      </c>
      <c r="N69" s="435"/>
      <c r="O69" s="435">
        <f t="shared" si="58"/>
        <v>0</v>
      </c>
      <c r="P69" s="435">
        <v>0</v>
      </c>
      <c r="Q69" s="435">
        <v>152775000</v>
      </c>
      <c r="R69" s="435"/>
      <c r="S69" s="435">
        <f t="shared" si="59"/>
        <v>152775000</v>
      </c>
      <c r="T69" s="435">
        <v>0</v>
      </c>
      <c r="U69" s="435">
        <v>86625000</v>
      </c>
      <c r="V69" s="435">
        <f t="shared" si="60"/>
        <v>86625000</v>
      </c>
      <c r="W69" s="440">
        <v>0</v>
      </c>
      <c r="X69" s="435"/>
      <c r="Y69" s="435">
        <f t="shared" si="61"/>
        <v>0</v>
      </c>
      <c r="AA69" s="435">
        <v>0</v>
      </c>
      <c r="AC69" s="435">
        <f t="shared" si="62"/>
        <v>247275000</v>
      </c>
      <c r="AD69" s="435">
        <f>'Elimination 2024'!H87+'Elimination 2024'!H111+'Elimination 2024'!H120</f>
        <v>-247275000</v>
      </c>
      <c r="AE69" s="435">
        <f t="shared" si="63"/>
        <v>0</v>
      </c>
    </row>
    <row r="70" spans="1:33" s="423" customFormat="1">
      <c r="A70" s="433" t="s">
        <v>609</v>
      </c>
      <c r="D70" s="434" t="s">
        <v>544</v>
      </c>
      <c r="E70" s="435">
        <v>181408362617.17575</v>
      </c>
      <c r="F70" s="435">
        <v>-27437038358.625</v>
      </c>
      <c r="G70" s="435"/>
      <c r="H70" s="435">
        <f t="shared" si="56"/>
        <v>153971324258.55075</v>
      </c>
      <c r="I70" s="435">
        <v>-16909256293.146</v>
      </c>
      <c r="J70" s="435">
        <v>19091876265</v>
      </c>
      <c r="K70" s="435">
        <f>'Adjustment Consol'!I45</f>
        <v>15925560001.186502</v>
      </c>
      <c r="L70" s="435">
        <f t="shared" si="57"/>
        <v>18108179973.040504</v>
      </c>
      <c r="M70" s="440">
        <v>0</v>
      </c>
      <c r="N70" s="435"/>
      <c r="O70" s="435">
        <f t="shared" si="58"/>
        <v>0</v>
      </c>
      <c r="P70" s="435">
        <v>0</v>
      </c>
      <c r="Q70" s="435">
        <v>22664430436.724998</v>
      </c>
      <c r="R70" s="435"/>
      <c r="S70" s="435">
        <f t="shared" si="59"/>
        <v>22664430436.724998</v>
      </c>
      <c r="T70" s="435">
        <v>0</v>
      </c>
      <c r="U70" s="435">
        <v>0</v>
      </c>
      <c r="V70" s="435">
        <f t="shared" si="60"/>
        <v>0</v>
      </c>
      <c r="W70" s="440">
        <v>0</v>
      </c>
      <c r="X70" s="435"/>
      <c r="Y70" s="435">
        <f t="shared" si="61"/>
        <v>0</v>
      </c>
      <c r="AA70" s="435">
        <v>0</v>
      </c>
      <c r="AC70" s="435">
        <f t="shared" si="62"/>
        <v>194743934668.31625</v>
      </c>
      <c r="AD70" s="435">
        <f>'Elimination 2024'!H84+'Elimination 2024'!H96+'Elimination 2024'!H114</f>
        <v>-194743934667.33682</v>
      </c>
      <c r="AE70" s="435">
        <f t="shared" si="63"/>
        <v>1</v>
      </c>
    </row>
    <row r="71" spans="1:33" s="423" customFormat="1">
      <c r="A71" s="433"/>
      <c r="D71" s="434" t="s">
        <v>283</v>
      </c>
      <c r="E71" s="435">
        <v>-9124026907.2749996</v>
      </c>
      <c r="F71" s="435">
        <v>0</v>
      </c>
      <c r="G71" s="435"/>
      <c r="H71" s="435">
        <f t="shared" si="56"/>
        <v>-9124026907.2749996</v>
      </c>
      <c r="I71" s="435">
        <v>0</v>
      </c>
      <c r="J71" s="435">
        <v>0</v>
      </c>
      <c r="K71" s="435"/>
      <c r="L71" s="435"/>
      <c r="M71" s="440"/>
      <c r="N71" s="435"/>
      <c r="O71" s="435"/>
      <c r="P71" s="440"/>
      <c r="Q71" s="440"/>
      <c r="R71" s="435"/>
      <c r="S71" s="435"/>
      <c r="T71" s="435"/>
      <c r="U71" s="435"/>
      <c r="V71" s="435"/>
      <c r="W71" s="440"/>
      <c r="X71" s="435"/>
      <c r="Y71" s="435"/>
      <c r="AA71" s="435"/>
      <c r="AC71" s="435">
        <f t="shared" si="62"/>
        <v>-9124026907.2749996</v>
      </c>
      <c r="AD71" s="435">
        <f>'Elimination 2024'!G82</f>
        <v>9124026906.5646496</v>
      </c>
      <c r="AE71" s="435">
        <f>ROUND(SUM(AC71:AD71),0)</f>
        <v>-1</v>
      </c>
    </row>
    <row r="72" spans="1:33" s="423" customFormat="1">
      <c r="A72" s="433"/>
      <c r="D72" s="434"/>
      <c r="E72" s="435"/>
      <c r="F72" s="435"/>
      <c r="G72" s="435"/>
      <c r="H72" s="435"/>
      <c r="I72" s="435"/>
      <c r="J72" s="435"/>
      <c r="K72" s="435"/>
      <c r="L72" s="435"/>
      <c r="M72" s="440"/>
      <c r="N72" s="435"/>
      <c r="O72" s="435"/>
      <c r="P72" s="440"/>
      <c r="Q72" s="440"/>
      <c r="R72" s="435"/>
      <c r="S72" s="435"/>
      <c r="T72" s="435"/>
      <c r="U72" s="435"/>
      <c r="V72" s="435"/>
      <c r="W72" s="440"/>
      <c r="X72" s="435"/>
      <c r="Y72" s="435"/>
      <c r="AA72" s="435"/>
      <c r="AC72" s="435"/>
      <c r="AD72" s="435"/>
      <c r="AE72" s="435"/>
    </row>
    <row r="73" spans="1:33" s="423" customFormat="1">
      <c r="A73" s="433"/>
      <c r="C73" s="438" t="s">
        <v>661</v>
      </c>
      <c r="D73" s="439"/>
      <c r="E73" s="435"/>
      <c r="F73" s="435"/>
      <c r="G73" s="435"/>
      <c r="H73" s="435"/>
      <c r="I73" s="435"/>
      <c r="J73" s="435"/>
      <c r="K73" s="435"/>
      <c r="L73" s="435"/>
      <c r="M73" s="435"/>
      <c r="N73" s="435"/>
      <c r="O73" s="435"/>
      <c r="P73" s="435"/>
      <c r="Q73" s="435"/>
      <c r="R73" s="435"/>
      <c r="S73" s="435"/>
      <c r="T73" s="435"/>
      <c r="U73" s="435"/>
      <c r="V73" s="435"/>
      <c r="W73" s="435"/>
      <c r="X73" s="435"/>
      <c r="Y73" s="435"/>
      <c r="AA73" s="435"/>
      <c r="AC73" s="435"/>
      <c r="AD73" s="435"/>
      <c r="AE73" s="435"/>
    </row>
    <row r="74" spans="1:33" s="423" customFormat="1">
      <c r="A74" s="433" t="s">
        <v>800</v>
      </c>
      <c r="D74" s="423" t="s">
        <v>550</v>
      </c>
      <c r="E74" s="435">
        <v>-5712801042.375</v>
      </c>
      <c r="F74" s="435">
        <v>5712801042.375</v>
      </c>
      <c r="G74" s="435"/>
      <c r="H74" s="435">
        <f t="shared" si="56"/>
        <v>0</v>
      </c>
      <c r="I74" s="435">
        <v>0</v>
      </c>
      <c r="J74" s="435">
        <v>0</v>
      </c>
      <c r="K74" s="435"/>
      <c r="L74" s="435">
        <f t="shared" ref="L74:L81" si="64">SUM(I74:K74)</f>
        <v>0</v>
      </c>
      <c r="M74" s="440">
        <v>0</v>
      </c>
      <c r="N74" s="435"/>
      <c r="O74" s="435">
        <f t="shared" ref="O74:O81" si="65">SUM(M74:N74)</f>
        <v>0</v>
      </c>
      <c r="P74" s="435">
        <v>34634250000</v>
      </c>
      <c r="Q74" s="435">
        <v>8325125366.7644997</v>
      </c>
      <c r="R74" s="435"/>
      <c r="S74" s="435">
        <f t="shared" ref="S74:S81" si="66">SUM(P74:R74)</f>
        <v>42959375366.764496</v>
      </c>
      <c r="T74" s="435">
        <v>0</v>
      </c>
      <c r="U74" s="435">
        <v>0</v>
      </c>
      <c r="V74" s="435">
        <f t="shared" si="60"/>
        <v>0</v>
      </c>
      <c r="W74" s="440">
        <v>0</v>
      </c>
      <c r="X74" s="435"/>
      <c r="Y74" s="435">
        <f t="shared" si="61"/>
        <v>0</v>
      </c>
      <c r="AA74" s="435">
        <v>0</v>
      </c>
      <c r="AC74" s="435">
        <f t="shared" ref="AC74:AC81" si="67">SUM(H74,L74,O74,S74,V74,Y74)</f>
        <v>42959375366.764496</v>
      </c>
      <c r="AD74" s="435"/>
      <c r="AE74" s="435">
        <f t="shared" ref="AE74:AE81" si="68">SUM(AC74:AD74)</f>
        <v>42959375366.764496</v>
      </c>
    </row>
    <row r="75" spans="1:33" s="438" customFormat="1">
      <c r="A75" s="438" t="s">
        <v>802</v>
      </c>
      <c r="C75" s="423"/>
      <c r="D75" s="423" t="s">
        <v>552</v>
      </c>
      <c r="E75" s="435">
        <v>0</v>
      </c>
      <c r="F75" s="435">
        <v>5855617177.1999998</v>
      </c>
      <c r="G75" s="440"/>
      <c r="H75" s="440">
        <f>SUM(E75:G75)</f>
        <v>5855617177.1999998</v>
      </c>
      <c r="I75" s="435">
        <v>19118149501.5</v>
      </c>
      <c r="J75" s="435">
        <v>1687537889.0999999</v>
      </c>
      <c r="K75" s="440">
        <f>'Adjustment Consol'!G104</f>
        <v>0</v>
      </c>
      <c r="L75" s="440">
        <f>SUM(I75:K75)</f>
        <v>20805687390.599998</v>
      </c>
      <c r="M75" s="440">
        <v>0</v>
      </c>
      <c r="N75" s="440"/>
      <c r="O75" s="440">
        <f>SUM(M75:N75)</f>
        <v>0</v>
      </c>
      <c r="P75" s="435">
        <v>0</v>
      </c>
      <c r="Q75" s="435">
        <v>0</v>
      </c>
      <c r="R75" s="440"/>
      <c r="S75" s="440">
        <f>SUM(P75:R75)</f>
        <v>0</v>
      </c>
      <c r="T75" s="435">
        <v>0</v>
      </c>
      <c r="U75" s="435">
        <v>0</v>
      </c>
      <c r="V75" s="440">
        <f>SUM(T75:U75)</f>
        <v>0</v>
      </c>
      <c r="W75" s="440">
        <v>0</v>
      </c>
      <c r="X75" s="440"/>
      <c r="Y75" s="440">
        <f>SUM(W75:X75)</f>
        <v>0</v>
      </c>
      <c r="AA75" s="440">
        <v>0</v>
      </c>
      <c r="AC75" s="435">
        <f t="shared" si="67"/>
        <v>26661304567.799999</v>
      </c>
      <c r="AD75" s="440"/>
      <c r="AE75" s="435">
        <f>ROUND(SUM(AC75:AD75),0)</f>
        <v>26661304568</v>
      </c>
    </row>
    <row r="76" spans="1:33" s="423" customFormat="1">
      <c r="A76" s="433" t="s">
        <v>630</v>
      </c>
      <c r="D76" s="423" t="s">
        <v>551</v>
      </c>
      <c r="E76" s="435">
        <v>-3077191252.7999997</v>
      </c>
      <c r="F76" s="435">
        <v>-760802691.60000002</v>
      </c>
      <c r="G76" s="435">
        <f>'Adjustment Consol'!I18+'Adjustment Consol'!J28+'Adjustment Consol'!I30+'Adjustment Consol'!I21</f>
        <v>3837993944.3999996</v>
      </c>
      <c r="H76" s="435">
        <f t="shared" si="56"/>
        <v>0</v>
      </c>
      <c r="I76" s="435">
        <v>0</v>
      </c>
      <c r="J76" s="435">
        <v>14380578134.464499</v>
      </c>
      <c r="K76" s="435"/>
      <c r="L76" s="435">
        <f t="shared" si="64"/>
        <v>14380578134.464499</v>
      </c>
      <c r="M76" s="440">
        <v>0</v>
      </c>
      <c r="N76" s="435"/>
      <c r="O76" s="435">
        <f t="shared" si="65"/>
        <v>0</v>
      </c>
      <c r="P76" s="435">
        <v>0</v>
      </c>
      <c r="Q76" s="435">
        <v>0</v>
      </c>
      <c r="R76" s="435"/>
      <c r="S76" s="435">
        <f t="shared" si="66"/>
        <v>0</v>
      </c>
      <c r="T76" s="435">
        <v>11174625000</v>
      </c>
      <c r="U76" s="435">
        <v>0</v>
      </c>
      <c r="V76" s="435">
        <f t="shared" si="60"/>
        <v>11174625000</v>
      </c>
      <c r="W76" s="440">
        <v>0</v>
      </c>
      <c r="X76" s="435"/>
      <c r="Y76" s="435">
        <f t="shared" si="61"/>
        <v>0</v>
      </c>
      <c r="AA76" s="435">
        <v>0</v>
      </c>
      <c r="AC76" s="435">
        <f t="shared" si="67"/>
        <v>25555203134.4645</v>
      </c>
      <c r="AD76" s="435"/>
      <c r="AE76" s="435">
        <f t="shared" si="68"/>
        <v>25555203134.4645</v>
      </c>
    </row>
    <row r="77" spans="1:33" s="423" customFormat="1">
      <c r="A77" s="433" t="s">
        <v>284</v>
      </c>
      <c r="D77" s="423" t="s">
        <v>556</v>
      </c>
      <c r="E77" s="435">
        <v>23625000</v>
      </c>
      <c r="F77" s="435">
        <v>0</v>
      </c>
      <c r="G77" s="435"/>
      <c r="H77" s="435">
        <f t="shared" si="56"/>
        <v>23625000</v>
      </c>
      <c r="I77" s="435">
        <v>0</v>
      </c>
      <c r="J77" s="435">
        <v>0</v>
      </c>
      <c r="K77" s="435"/>
      <c r="L77" s="435">
        <f t="shared" si="64"/>
        <v>0</v>
      </c>
      <c r="M77" s="440">
        <v>0</v>
      </c>
      <c r="N77" s="435"/>
      <c r="O77" s="435">
        <f t="shared" si="65"/>
        <v>0</v>
      </c>
      <c r="P77" s="435">
        <v>283500000</v>
      </c>
      <c r="Q77" s="435">
        <v>0</v>
      </c>
      <c r="R77" s="435"/>
      <c r="S77" s="435">
        <f t="shared" si="66"/>
        <v>283500000</v>
      </c>
      <c r="T77" s="435">
        <v>0</v>
      </c>
      <c r="U77" s="435">
        <v>0</v>
      </c>
      <c r="V77" s="435">
        <f t="shared" si="60"/>
        <v>0</v>
      </c>
      <c r="W77" s="440">
        <v>0</v>
      </c>
      <c r="X77" s="435"/>
      <c r="Y77" s="435">
        <f t="shared" si="61"/>
        <v>0</v>
      </c>
      <c r="AA77" s="435">
        <v>0</v>
      </c>
      <c r="AC77" s="435">
        <f t="shared" si="67"/>
        <v>307125000</v>
      </c>
      <c r="AD77" s="435"/>
      <c r="AE77" s="435">
        <f t="shared" si="68"/>
        <v>307125000</v>
      </c>
    </row>
    <row r="78" spans="1:33" s="423" customFormat="1">
      <c r="A78" s="433" t="s">
        <v>811</v>
      </c>
      <c r="D78" s="423" t="s">
        <v>553</v>
      </c>
      <c r="E78" s="435">
        <v>-21147349018.950001</v>
      </c>
      <c r="F78" s="435">
        <v>-7875000000</v>
      </c>
      <c r="G78" s="435">
        <f>'Adjustment Consol'!I9+'Adjustment Consol'!I15+'Adjustment Consol'!I6</f>
        <v>29344457480.625</v>
      </c>
      <c r="H78" s="436">
        <f t="shared" si="56"/>
        <v>322108461.67499924</v>
      </c>
      <c r="I78" s="435">
        <v>0</v>
      </c>
      <c r="J78" s="435">
        <v>0</v>
      </c>
      <c r="K78" s="435"/>
      <c r="L78" s="435">
        <f t="shared" si="64"/>
        <v>0</v>
      </c>
      <c r="M78" s="440">
        <v>0</v>
      </c>
      <c r="N78" s="435"/>
      <c r="O78" s="435">
        <f t="shared" si="65"/>
        <v>0</v>
      </c>
      <c r="P78" s="435">
        <v>0</v>
      </c>
      <c r="Q78" s="435">
        <v>27893250000</v>
      </c>
      <c r="R78" s="435"/>
      <c r="S78" s="435">
        <f t="shared" si="66"/>
        <v>27893250000</v>
      </c>
      <c r="T78" s="435">
        <v>0</v>
      </c>
      <c r="U78" s="435">
        <v>0</v>
      </c>
      <c r="V78" s="435">
        <f t="shared" si="60"/>
        <v>0</v>
      </c>
      <c r="W78" s="440">
        <v>0</v>
      </c>
      <c r="X78" s="435"/>
      <c r="Y78" s="435">
        <f t="shared" si="61"/>
        <v>0</v>
      </c>
      <c r="AA78" s="435">
        <v>0</v>
      </c>
      <c r="AC78" s="435">
        <f t="shared" si="67"/>
        <v>28215358461.674999</v>
      </c>
      <c r="AD78" s="435"/>
      <c r="AE78" s="435">
        <f>SUM(AC78:AD78)</f>
        <v>28215358461.674999</v>
      </c>
    </row>
    <row r="79" spans="1:33" s="423" customFormat="1">
      <c r="A79" s="438" t="s">
        <v>815</v>
      </c>
      <c r="B79" s="438"/>
      <c r="D79" s="423" t="s">
        <v>554</v>
      </c>
      <c r="E79" s="435">
        <v>7875000</v>
      </c>
      <c r="F79" s="435">
        <v>0</v>
      </c>
      <c r="G79" s="440"/>
      <c r="H79" s="440">
        <f>SUM(E79:G79)</f>
        <v>7875000</v>
      </c>
      <c r="I79" s="435">
        <v>145975186.34999999</v>
      </c>
      <c r="J79" s="435">
        <v>0</v>
      </c>
      <c r="K79" s="440"/>
      <c r="L79" s="440">
        <f>SUM(I79:K79)</f>
        <v>145975186.34999999</v>
      </c>
      <c r="M79" s="440">
        <v>0</v>
      </c>
      <c r="N79" s="440"/>
      <c r="O79" s="440">
        <f>SUM(M79:N79)</f>
        <v>0</v>
      </c>
      <c r="P79" s="435">
        <v>0</v>
      </c>
      <c r="Q79" s="435">
        <v>69300000</v>
      </c>
      <c r="R79" s="440"/>
      <c r="S79" s="440">
        <f t="shared" si="66"/>
        <v>69300000</v>
      </c>
      <c r="T79" s="435">
        <v>0</v>
      </c>
      <c r="U79" s="435">
        <v>0</v>
      </c>
      <c r="V79" s="440">
        <f>SUM(T79:U79)</f>
        <v>0</v>
      </c>
      <c r="W79" s="440">
        <v>0</v>
      </c>
      <c r="X79" s="440"/>
      <c r="Y79" s="440">
        <f t="shared" ref="Y79:Y81" si="69">SUM(W79:X79)</f>
        <v>0</v>
      </c>
      <c r="Z79" s="438"/>
      <c r="AA79" s="440">
        <v>0</v>
      </c>
      <c r="AB79" s="438"/>
      <c r="AC79" s="435">
        <f t="shared" si="67"/>
        <v>223150186.34999999</v>
      </c>
      <c r="AD79" s="440"/>
      <c r="AE79" s="440">
        <f>SUM(AC79:AD79)</f>
        <v>223150186.34999999</v>
      </c>
      <c r="AF79" s="438"/>
      <c r="AG79" s="438"/>
    </row>
    <row r="80" spans="1:33" s="423" customFormat="1">
      <c r="A80" s="433"/>
      <c r="D80" s="423" t="s">
        <v>555</v>
      </c>
      <c r="E80" s="435">
        <v>0</v>
      </c>
      <c r="F80" s="435">
        <v>0</v>
      </c>
      <c r="G80" s="435"/>
      <c r="H80" s="435">
        <f t="shared" ref="H80" si="70">SUM(E80:G80)</f>
        <v>0</v>
      </c>
      <c r="I80" s="435">
        <v>4299620834.25</v>
      </c>
      <c r="J80" s="435">
        <v>0</v>
      </c>
      <c r="K80" s="435"/>
      <c r="L80" s="435">
        <f t="shared" ref="L80" si="71">SUM(I80:K80)</f>
        <v>4299620834.25</v>
      </c>
      <c r="M80" s="440">
        <v>0</v>
      </c>
      <c r="N80" s="435"/>
      <c r="O80" s="435">
        <f t="shared" ref="O80" si="72">SUM(M80:N80)</f>
        <v>0</v>
      </c>
      <c r="P80" s="435">
        <v>0</v>
      </c>
      <c r="Q80" s="435">
        <v>0</v>
      </c>
      <c r="R80" s="435"/>
      <c r="S80" s="435">
        <f t="shared" si="66"/>
        <v>0</v>
      </c>
      <c r="T80" s="435">
        <v>0</v>
      </c>
      <c r="U80" s="435">
        <v>0</v>
      </c>
      <c r="V80" s="435">
        <f t="shared" ref="V80" si="73">SUM(T80:U80)</f>
        <v>0</v>
      </c>
      <c r="W80" s="440">
        <v>0</v>
      </c>
      <c r="X80" s="435"/>
      <c r="Y80" s="435">
        <f t="shared" si="69"/>
        <v>0</v>
      </c>
      <c r="AA80" s="435">
        <v>0</v>
      </c>
      <c r="AC80" s="435">
        <f t="shared" si="67"/>
        <v>4299620834.25</v>
      </c>
      <c r="AD80" s="435"/>
      <c r="AE80" s="435">
        <f t="shared" ref="AE80" si="74">SUM(AC80:AD80)</f>
        <v>4299620834.25</v>
      </c>
    </row>
    <row r="81" spans="1:31" s="423" customFormat="1">
      <c r="A81" s="433" t="s">
        <v>816</v>
      </c>
      <c r="D81" s="423" t="s">
        <v>555</v>
      </c>
      <c r="E81" s="435">
        <v>0</v>
      </c>
      <c r="F81" s="435">
        <v>0</v>
      </c>
      <c r="G81" s="435"/>
      <c r="H81" s="435">
        <f t="shared" si="56"/>
        <v>0</v>
      </c>
      <c r="I81" s="435">
        <v>0</v>
      </c>
      <c r="J81" s="435">
        <v>0</v>
      </c>
      <c r="K81" s="435"/>
      <c r="L81" s="435">
        <f t="shared" si="64"/>
        <v>0</v>
      </c>
      <c r="M81" s="440">
        <v>0</v>
      </c>
      <c r="N81" s="435"/>
      <c r="O81" s="435">
        <f t="shared" si="65"/>
        <v>0</v>
      </c>
      <c r="P81" s="435">
        <v>0</v>
      </c>
      <c r="Q81" s="435">
        <v>3456964094.7926702</v>
      </c>
      <c r="R81" s="435"/>
      <c r="S81" s="435">
        <f t="shared" si="66"/>
        <v>3456964094.7926702</v>
      </c>
      <c r="T81" s="435">
        <v>0</v>
      </c>
      <c r="U81" s="435">
        <v>0</v>
      </c>
      <c r="V81" s="435">
        <f t="shared" si="60"/>
        <v>0</v>
      </c>
      <c r="W81" s="440">
        <v>0</v>
      </c>
      <c r="X81" s="435"/>
      <c r="Y81" s="435">
        <f t="shared" si="69"/>
        <v>0</v>
      </c>
      <c r="AA81" s="435">
        <v>0</v>
      </c>
      <c r="AC81" s="435">
        <f t="shared" si="67"/>
        <v>3456964094.7926702</v>
      </c>
      <c r="AD81" s="435"/>
      <c r="AE81" s="435">
        <f t="shared" si="68"/>
        <v>3456964094.7926702</v>
      </c>
    </row>
    <row r="82" spans="1:31" s="423" customFormat="1">
      <c r="A82" s="433"/>
      <c r="E82" s="441"/>
      <c r="F82" s="441"/>
      <c r="G82" s="441"/>
      <c r="H82" s="441"/>
      <c r="I82" s="441"/>
      <c r="J82" s="441"/>
      <c r="K82" s="441"/>
      <c r="L82" s="441"/>
      <c r="M82" s="441"/>
      <c r="N82" s="441"/>
      <c r="O82" s="441"/>
      <c r="P82" s="441"/>
      <c r="Q82" s="441"/>
      <c r="R82" s="441"/>
      <c r="S82" s="441"/>
      <c r="T82" s="441"/>
      <c r="U82" s="441"/>
      <c r="V82" s="441"/>
      <c r="W82" s="441"/>
      <c r="X82" s="441"/>
      <c r="Y82" s="441"/>
      <c r="AA82" s="441"/>
      <c r="AC82" s="441"/>
      <c r="AD82" s="441"/>
      <c r="AE82" s="441"/>
    </row>
    <row r="83" spans="1:31" s="427" customFormat="1" ht="13">
      <c r="C83" s="427" t="s">
        <v>178</v>
      </c>
      <c r="E83" s="442">
        <f t="shared" ref="E83:M83" si="75">SUM(E64:E81)</f>
        <v>362561297932.13391</v>
      </c>
      <c r="F83" s="442">
        <f t="shared" si="75"/>
        <v>874798300958.3999</v>
      </c>
      <c r="G83" s="442">
        <f t="shared" si="75"/>
        <v>32757617579.352703</v>
      </c>
      <c r="H83" s="442">
        <f t="shared" si="75"/>
        <v>1270117216469.8867</v>
      </c>
      <c r="I83" s="442">
        <f t="shared" si="75"/>
        <v>-32369740768.071007</v>
      </c>
      <c r="J83" s="442">
        <f t="shared" si="75"/>
        <v>74851107917.764496</v>
      </c>
      <c r="K83" s="442">
        <f t="shared" si="75"/>
        <v>15925560001.186502</v>
      </c>
      <c r="L83" s="442">
        <f t="shared" si="75"/>
        <v>58406927150.880005</v>
      </c>
      <c r="M83" s="442">
        <f t="shared" si="75"/>
        <v>22197208320</v>
      </c>
      <c r="N83" s="442"/>
      <c r="O83" s="442">
        <f t="shared" ref="O83:W83" si="76">SUM(O64:O81)</f>
        <v>22776642182.700001</v>
      </c>
      <c r="P83" s="442">
        <f t="shared" si="76"/>
        <v>34960642632.546753</v>
      </c>
      <c r="Q83" s="442">
        <f t="shared" si="76"/>
        <v>62554427405.85717</v>
      </c>
      <c r="R83" s="442">
        <f t="shared" si="76"/>
        <v>0</v>
      </c>
      <c r="S83" s="442">
        <f t="shared" si="76"/>
        <v>97515070038.4039</v>
      </c>
      <c r="T83" s="442">
        <f t="shared" si="76"/>
        <v>-4711560000.5249996</v>
      </c>
      <c r="U83" s="442">
        <f t="shared" si="76"/>
        <v>16012185001.186502</v>
      </c>
      <c r="V83" s="442">
        <f t="shared" si="76"/>
        <v>11300625000.661503</v>
      </c>
      <c r="W83" s="442">
        <f t="shared" si="76"/>
        <v>0</v>
      </c>
      <c r="X83" s="442"/>
      <c r="Y83" s="442">
        <f>SUM(Y64:Y81)</f>
        <v>0</v>
      </c>
      <c r="AA83" s="442">
        <f>SUM(AA64:AA81)</f>
        <v>0</v>
      </c>
      <c r="AC83" s="442">
        <f>SUM(AC64:AC81)</f>
        <v>1460116480842.5322</v>
      </c>
      <c r="AD83" s="442">
        <f>SUM(AD64:AD81)</f>
        <v>-1328438379195.5994</v>
      </c>
      <c r="AE83" s="442">
        <f>SUM(AE64:AE81)</f>
        <v>131678101647.29668</v>
      </c>
    </row>
    <row r="84" spans="1:31" s="423" customFormat="1">
      <c r="C84" s="423" t="s">
        <v>433</v>
      </c>
      <c r="E84" s="441"/>
      <c r="F84" s="441"/>
      <c r="G84" s="441"/>
      <c r="H84" s="441"/>
      <c r="I84" s="441"/>
      <c r="J84" s="441"/>
      <c r="K84" s="441"/>
      <c r="L84" s="441"/>
      <c r="M84" s="441"/>
      <c r="N84" s="441"/>
      <c r="O84" s="441"/>
      <c r="P84" s="441"/>
      <c r="Q84" s="441"/>
      <c r="R84" s="441"/>
      <c r="S84" s="441"/>
      <c r="T84" s="441"/>
      <c r="U84" s="441"/>
      <c r="V84" s="441"/>
      <c r="W84" s="441"/>
      <c r="X84" s="441"/>
      <c r="Y84" s="441"/>
      <c r="AA84" s="441">
        <v>0</v>
      </c>
      <c r="AC84" s="441">
        <v>0</v>
      </c>
      <c r="AD84" s="441">
        <v>0</v>
      </c>
      <c r="AE84" s="441">
        <v>0</v>
      </c>
    </row>
    <row r="85" spans="1:31" s="427" customFormat="1" ht="13">
      <c r="C85" s="427" t="s">
        <v>439</v>
      </c>
      <c r="E85" s="444">
        <f t="shared" ref="E85:L85" si="77">SUM(E83:E84)</f>
        <v>362561297932.13391</v>
      </c>
      <c r="F85" s="444">
        <f t="shared" si="77"/>
        <v>874798300958.3999</v>
      </c>
      <c r="G85" s="444">
        <f t="shared" si="77"/>
        <v>32757617579.352703</v>
      </c>
      <c r="H85" s="444">
        <f t="shared" si="77"/>
        <v>1270117216469.8867</v>
      </c>
      <c r="I85" s="444">
        <f t="shared" si="77"/>
        <v>-32369740768.071007</v>
      </c>
      <c r="J85" s="444">
        <f t="shared" si="77"/>
        <v>74851107917.764496</v>
      </c>
      <c r="K85" s="444">
        <f t="shared" si="77"/>
        <v>15925560001.186502</v>
      </c>
      <c r="L85" s="444">
        <f t="shared" si="77"/>
        <v>58406927150.880005</v>
      </c>
      <c r="M85" s="444">
        <f>SUM(M83:M84)</f>
        <v>22197208320</v>
      </c>
      <c r="N85" s="444"/>
      <c r="O85" s="444">
        <f t="shared" ref="O85:U85" si="78">SUM(O83:O84)</f>
        <v>22776642182.700001</v>
      </c>
      <c r="P85" s="444">
        <f t="shared" si="78"/>
        <v>34960642632.546753</v>
      </c>
      <c r="Q85" s="444">
        <f t="shared" si="78"/>
        <v>62554427405.85717</v>
      </c>
      <c r="R85" s="444">
        <f t="shared" si="78"/>
        <v>0</v>
      </c>
      <c r="S85" s="444">
        <f t="shared" si="78"/>
        <v>97515070038.4039</v>
      </c>
      <c r="T85" s="444">
        <f t="shared" si="78"/>
        <v>-4711560000.5249996</v>
      </c>
      <c r="U85" s="444">
        <f t="shared" si="78"/>
        <v>16012185001.186502</v>
      </c>
      <c r="V85" s="444">
        <f>SUM(V83:V84)</f>
        <v>11300625000.661503</v>
      </c>
      <c r="W85" s="444">
        <f>SUM(W83:W84)</f>
        <v>0</v>
      </c>
      <c r="X85" s="444"/>
      <c r="Y85" s="444">
        <f>SUM(Y83:Y84)</f>
        <v>0</v>
      </c>
      <c r="AA85" s="444">
        <f t="shared" ref="AA85" si="79">SUM(AA83:AA84)</f>
        <v>0</v>
      </c>
      <c r="AC85" s="444">
        <f t="shared" ref="AC85:AE85" si="80">SUM(AC83:AC84)</f>
        <v>1460116480842.5322</v>
      </c>
      <c r="AD85" s="444">
        <f t="shared" si="80"/>
        <v>-1328438379195.5994</v>
      </c>
      <c r="AE85" s="444">
        <f t="shared" si="80"/>
        <v>131678101647.29668</v>
      </c>
    </row>
    <row r="86" spans="1:31" s="427" customFormat="1" ht="13">
      <c r="E86" s="443"/>
      <c r="F86" s="443"/>
      <c r="G86" s="443"/>
      <c r="H86" s="443"/>
      <c r="I86" s="443"/>
      <c r="J86" s="443"/>
      <c r="K86" s="443"/>
      <c r="L86" s="443"/>
      <c r="M86" s="443"/>
      <c r="N86" s="443"/>
      <c r="O86" s="443"/>
      <c r="P86" s="443"/>
      <c r="Q86" s="443"/>
      <c r="R86" s="443"/>
      <c r="S86" s="443"/>
      <c r="T86" s="443"/>
      <c r="U86" s="443"/>
      <c r="V86" s="443"/>
      <c r="W86" s="443"/>
      <c r="X86" s="443"/>
      <c r="Y86" s="443"/>
      <c r="AA86" s="443"/>
      <c r="AC86" s="443"/>
      <c r="AD86" s="443"/>
      <c r="AE86" s="443"/>
    </row>
    <row r="87" spans="1:31" s="417" customFormat="1" ht="13">
      <c r="D87" s="445" t="s">
        <v>435</v>
      </c>
      <c r="E87" s="435">
        <f>'Consol SoFP 24'!D26</f>
        <v>362561297932</v>
      </c>
      <c r="F87" s="435">
        <f>'Consol SoFP 24'!E26</f>
        <v>874798300958</v>
      </c>
      <c r="G87" s="435">
        <f>SUM('Consol SoFP 24'!G26)</f>
        <v>32757617579.352703</v>
      </c>
      <c r="H87" s="435">
        <f>'Consol SoFP 24'!H26</f>
        <v>1270117216469.3528</v>
      </c>
      <c r="I87" s="435">
        <f>'Consol SoFP 24'!I26</f>
        <v>-32369740768</v>
      </c>
      <c r="J87" s="435">
        <f>'Consol SoFP 24'!J26</f>
        <v>74851107918</v>
      </c>
      <c r="K87" s="435">
        <f>'Consol SoFP 24'!K26</f>
        <v>15925560001.186502</v>
      </c>
      <c r="L87" s="435">
        <f>'Consol SoFP 24'!L26</f>
        <v>58406927151.186501</v>
      </c>
      <c r="M87" s="435">
        <f>'Consol SoFP 24'!M26</f>
        <v>22197208320</v>
      </c>
      <c r="N87" s="435">
        <f>'Consol SoFP 24'!N26</f>
        <v>579433862.69999993</v>
      </c>
      <c r="O87" s="435">
        <f>'Consol SoFP 24'!O26</f>
        <v>22776642182.700001</v>
      </c>
      <c r="P87" s="435">
        <f>'Consol SoFP 24'!P26</f>
        <v>34960642633</v>
      </c>
      <c r="Q87" s="435">
        <f>'Consol SoFP 24'!Q26</f>
        <v>62554427406</v>
      </c>
      <c r="R87" s="435">
        <f>'Consol SoFP 24'!R26</f>
        <v>0</v>
      </c>
      <c r="S87" s="435">
        <f>'Consol SoFP 24'!S26</f>
        <v>97515070039</v>
      </c>
      <c r="T87" s="435">
        <f>'Consol SoFP 24'!T26</f>
        <v>-4711560001</v>
      </c>
      <c r="U87" s="435">
        <f>'Consol SoFP 24'!U26</f>
        <v>16012185001.186502</v>
      </c>
      <c r="V87" s="435">
        <f>'Consol SoFP 24'!V26</f>
        <v>11300625000.186502</v>
      </c>
      <c r="W87" s="435">
        <f>'Consol SoFP 24'!W26</f>
        <v>0</v>
      </c>
      <c r="X87" s="435">
        <f>'Consol SoFP 24'!X26</f>
        <v>0</v>
      </c>
      <c r="Y87" s="435">
        <f>'Consol SoFP 24'!Y26</f>
        <v>0</v>
      </c>
      <c r="AA87" s="435">
        <v>0</v>
      </c>
      <c r="AC87" s="435">
        <f>'Consol SoFP 24'!AE26</f>
        <v>1460116480842.4258</v>
      </c>
      <c r="AD87" s="435">
        <f>SUM('Consol SoFP 24'!AF26:AG26)</f>
        <v>-1328438379195.5991</v>
      </c>
      <c r="AE87" s="435">
        <f>'Consol SoFP 24'!AH26</f>
        <v>131678101647</v>
      </c>
    </row>
    <row r="88" spans="1:31" s="417" customFormat="1" ht="13">
      <c r="D88" s="445" t="s">
        <v>111</v>
      </c>
      <c r="E88" s="442">
        <f>ROUND(E85-E87,0)</f>
        <v>0</v>
      </c>
      <c r="F88" s="442">
        <f>ROUND(F85-F87,0)</f>
        <v>0</v>
      </c>
      <c r="G88" s="442">
        <f t="shared" ref="G88:Y88" si="81">ROUND(G85-G87,0)</f>
        <v>0</v>
      </c>
      <c r="H88" s="442">
        <f t="shared" si="81"/>
        <v>1</v>
      </c>
      <c r="I88" s="442">
        <f t="shared" si="81"/>
        <v>0</v>
      </c>
      <c r="J88" s="442">
        <f t="shared" si="81"/>
        <v>0</v>
      </c>
      <c r="K88" s="442">
        <f t="shared" si="81"/>
        <v>0</v>
      </c>
      <c r="L88" s="442">
        <f t="shared" si="81"/>
        <v>0</v>
      </c>
      <c r="M88" s="442">
        <f t="shared" si="81"/>
        <v>0</v>
      </c>
      <c r="N88" s="442">
        <f t="shared" si="81"/>
        <v>-579433863</v>
      </c>
      <c r="O88" s="442">
        <f t="shared" si="81"/>
        <v>0</v>
      </c>
      <c r="P88" s="442">
        <f t="shared" si="81"/>
        <v>0</v>
      </c>
      <c r="Q88" s="442">
        <f t="shared" si="81"/>
        <v>0</v>
      </c>
      <c r="R88" s="442">
        <f t="shared" si="81"/>
        <v>0</v>
      </c>
      <c r="S88" s="442">
        <f t="shared" si="81"/>
        <v>-1</v>
      </c>
      <c r="T88" s="442">
        <f t="shared" si="81"/>
        <v>0</v>
      </c>
      <c r="U88" s="442">
        <f t="shared" si="81"/>
        <v>0</v>
      </c>
      <c r="V88" s="442">
        <f t="shared" si="81"/>
        <v>0</v>
      </c>
      <c r="W88" s="442">
        <f t="shared" si="81"/>
        <v>0</v>
      </c>
      <c r="X88" s="442">
        <f t="shared" si="81"/>
        <v>0</v>
      </c>
      <c r="Y88" s="442">
        <f t="shared" si="81"/>
        <v>0</v>
      </c>
      <c r="AA88" s="442">
        <f t="shared" ref="AA88" si="82">AA85-AA87</f>
        <v>0</v>
      </c>
      <c r="AC88" s="442">
        <f t="shared" ref="AC88:AE88" si="83">ROUND(AC85-AC87,0)</f>
        <v>0</v>
      </c>
      <c r="AD88" s="442">
        <f t="shared" ref="AD88" si="84">AD85-AD87</f>
        <v>0</v>
      </c>
      <c r="AE88" s="442">
        <f t="shared" si="83"/>
        <v>0</v>
      </c>
    </row>
    <row r="89" spans="1:31" s="417" customFormat="1" ht="13">
      <c r="E89" s="443"/>
      <c r="F89" s="443"/>
      <c r="G89" s="443"/>
      <c r="H89" s="443"/>
      <c r="I89" s="443"/>
      <c r="J89" s="443"/>
      <c r="K89" s="443"/>
      <c r="L89" s="443"/>
      <c r="M89" s="443">
        <f>-M88</f>
        <v>0</v>
      </c>
      <c r="N89" s="443"/>
      <c r="O89" s="443"/>
      <c r="P89" s="443"/>
      <c r="Q89" s="443"/>
      <c r="R89" s="443"/>
      <c r="S89" s="443"/>
      <c r="T89" s="443"/>
      <c r="U89" s="443"/>
      <c r="V89" s="443"/>
      <c r="W89" s="443"/>
      <c r="X89" s="443"/>
      <c r="Y89" s="443"/>
      <c r="AA89" s="443"/>
      <c r="AC89" s="443"/>
      <c r="AD89" s="443"/>
      <c r="AE89" s="443"/>
    </row>
    <row r="90" spans="1:31" s="449" customFormat="1" ht="13.5" thickBot="1">
      <c r="A90" s="447"/>
      <c r="B90" s="447"/>
      <c r="C90" s="447"/>
      <c r="D90" s="447"/>
      <c r="E90" s="448"/>
      <c r="F90" s="448"/>
      <c r="G90" s="448"/>
      <c r="H90" s="448"/>
      <c r="I90" s="448"/>
      <c r="J90" s="448"/>
      <c r="K90" s="448"/>
      <c r="L90" s="448"/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48"/>
      <c r="X90" s="448"/>
      <c r="Y90" s="448"/>
      <c r="AA90" s="448"/>
      <c r="AC90" s="448"/>
      <c r="AD90" s="448"/>
      <c r="AE90" s="448"/>
    </row>
    <row r="91" spans="1:31" s="417" customFormat="1" ht="13">
      <c r="B91" s="414" t="s">
        <v>440</v>
      </c>
    </row>
    <row r="92" spans="1:31" s="423" customFormat="1" ht="13">
      <c r="E92" s="428" t="s">
        <v>426</v>
      </c>
      <c r="F92" s="428" t="s">
        <v>6</v>
      </c>
      <c r="G92" s="428" t="s">
        <v>334</v>
      </c>
      <c r="H92" s="428" t="s">
        <v>427</v>
      </c>
      <c r="I92" s="428" t="s">
        <v>426</v>
      </c>
      <c r="J92" s="428" t="s">
        <v>6</v>
      </c>
      <c r="K92" s="428" t="s">
        <v>334</v>
      </c>
      <c r="L92" s="428" t="s">
        <v>427</v>
      </c>
      <c r="M92" s="428" t="s">
        <v>426</v>
      </c>
      <c r="N92" s="428" t="s">
        <v>334</v>
      </c>
      <c r="O92" s="428" t="s">
        <v>427</v>
      </c>
      <c r="P92" s="428" t="s">
        <v>426</v>
      </c>
      <c r="Q92" s="428" t="s">
        <v>6</v>
      </c>
      <c r="R92" s="428" t="s">
        <v>334</v>
      </c>
      <c r="S92" s="428" t="s">
        <v>427</v>
      </c>
      <c r="T92" s="428" t="s">
        <v>426</v>
      </c>
      <c r="U92" s="428" t="s">
        <v>334</v>
      </c>
      <c r="V92" s="428" t="s">
        <v>427</v>
      </c>
      <c r="W92" s="428" t="s">
        <v>426</v>
      </c>
      <c r="X92" s="428" t="s">
        <v>334</v>
      </c>
      <c r="Y92" s="428" t="s">
        <v>427</v>
      </c>
      <c r="AA92" s="428" t="s">
        <v>428</v>
      </c>
      <c r="AC92" s="428" t="s">
        <v>11</v>
      </c>
      <c r="AD92" s="428" t="s">
        <v>429</v>
      </c>
      <c r="AE92" s="428" t="s">
        <v>13</v>
      </c>
    </row>
    <row r="93" spans="1:31" s="423" customFormat="1" ht="13">
      <c r="E93" s="429">
        <v>45657</v>
      </c>
      <c r="F93" s="429"/>
      <c r="G93" s="429"/>
      <c r="H93" s="429">
        <v>45657</v>
      </c>
      <c r="I93" s="429">
        <v>45657</v>
      </c>
      <c r="J93" s="429"/>
      <c r="K93" s="429"/>
      <c r="L93" s="429">
        <v>45657</v>
      </c>
      <c r="M93" s="429">
        <v>45657</v>
      </c>
      <c r="N93" s="429"/>
      <c r="O93" s="429">
        <v>45657</v>
      </c>
      <c r="P93" s="429">
        <v>45657</v>
      </c>
      <c r="Q93" s="429"/>
      <c r="R93" s="429"/>
      <c r="S93" s="429">
        <v>45657</v>
      </c>
      <c r="T93" s="429">
        <v>45657</v>
      </c>
      <c r="U93" s="429"/>
      <c r="V93" s="429">
        <v>45657</v>
      </c>
      <c r="W93" s="429">
        <v>45657</v>
      </c>
      <c r="X93" s="429"/>
      <c r="Y93" s="429">
        <v>45657</v>
      </c>
      <c r="AA93" s="429">
        <v>45657</v>
      </c>
      <c r="AC93" s="429">
        <v>45657</v>
      </c>
      <c r="AD93" s="429">
        <v>45657</v>
      </c>
      <c r="AE93" s="429">
        <v>45657</v>
      </c>
    </row>
    <row r="94" spans="1:31" s="417" customFormat="1" ht="13">
      <c r="D94" s="416"/>
      <c r="E94" s="443"/>
      <c r="F94" s="443"/>
      <c r="G94" s="443"/>
      <c r="H94" s="443"/>
      <c r="I94" s="443"/>
      <c r="J94" s="443"/>
      <c r="K94" s="443"/>
      <c r="L94" s="443"/>
      <c r="M94" s="443"/>
      <c r="N94" s="443"/>
      <c r="O94" s="443"/>
      <c r="P94" s="443"/>
      <c r="Q94" s="443"/>
      <c r="R94" s="443"/>
      <c r="S94" s="443"/>
      <c r="T94" s="443"/>
      <c r="U94" s="443"/>
      <c r="V94" s="443"/>
      <c r="W94" s="443"/>
      <c r="X94" s="443"/>
      <c r="Y94" s="443"/>
      <c r="AA94" s="443"/>
      <c r="AC94" s="443"/>
      <c r="AD94" s="443"/>
      <c r="AE94" s="443"/>
    </row>
    <row r="95" spans="1:31" s="423" customFormat="1">
      <c r="A95" s="423" t="s">
        <v>640</v>
      </c>
      <c r="C95" s="423" t="s">
        <v>543</v>
      </c>
      <c r="D95" s="434"/>
      <c r="E95" s="435">
        <v>0</v>
      </c>
      <c r="F95" s="435">
        <v>0</v>
      </c>
      <c r="G95" s="435"/>
      <c r="H95" s="435">
        <f t="shared" ref="H95:H113" si="85">SUM(E95:G95)</f>
        <v>0</v>
      </c>
      <c r="I95" s="435"/>
      <c r="J95" s="435"/>
      <c r="K95" s="435"/>
      <c r="L95" s="435">
        <f t="shared" ref="L95:L101" si="86">SUM(I95:K95)</f>
        <v>0</v>
      </c>
      <c r="M95" s="435">
        <v>0</v>
      </c>
      <c r="N95" s="435">
        <v>0</v>
      </c>
      <c r="O95" s="435">
        <f t="shared" ref="O95:O103" si="87">SUM(M95:N95)</f>
        <v>0</v>
      </c>
      <c r="P95" s="435">
        <v>0</v>
      </c>
      <c r="Q95" s="435"/>
      <c r="R95" s="435"/>
      <c r="S95" s="435">
        <f t="shared" ref="S95:S102" si="88">SUM(P95:R95)</f>
        <v>0</v>
      </c>
      <c r="T95" s="435">
        <v>0</v>
      </c>
      <c r="U95" s="435"/>
      <c r="V95" s="435">
        <f t="shared" ref="V95:V112" si="89">SUM(T95:U95)</f>
        <v>0</v>
      </c>
      <c r="W95" s="435">
        <v>0</v>
      </c>
      <c r="X95" s="435"/>
      <c r="Y95" s="435">
        <f t="shared" ref="Y95:Y112" si="90">SUM(W95:X95)</f>
        <v>0</v>
      </c>
      <c r="AA95" s="435">
        <v>0</v>
      </c>
      <c r="AC95" s="435">
        <f t="shared" ref="AC95:AC107" si="91">SUM(H95,L95,O95,S95,V95,Y95)</f>
        <v>0</v>
      </c>
      <c r="AD95" s="435">
        <f>'Elimination 2024'!H141</f>
        <v>0</v>
      </c>
      <c r="AE95" s="435">
        <f>SUM(AC95:AD95)</f>
        <v>0</v>
      </c>
    </row>
    <row r="96" spans="1:31" s="423" customFormat="1">
      <c r="A96" s="423" t="s">
        <v>688</v>
      </c>
      <c r="D96" s="423" t="s">
        <v>546</v>
      </c>
      <c r="E96" s="435">
        <v>0</v>
      </c>
      <c r="F96" s="435"/>
      <c r="G96" s="435"/>
      <c r="H96" s="435">
        <f t="shared" si="85"/>
        <v>0</v>
      </c>
      <c r="I96" s="435">
        <v>0</v>
      </c>
      <c r="J96" s="435">
        <v>0</v>
      </c>
      <c r="K96" s="435"/>
      <c r="L96" s="435">
        <f t="shared" si="86"/>
        <v>0</v>
      </c>
      <c r="M96" s="435">
        <v>0</v>
      </c>
      <c r="N96" s="435">
        <v>0</v>
      </c>
      <c r="O96" s="435">
        <f t="shared" si="87"/>
        <v>0</v>
      </c>
      <c r="P96" s="435">
        <v>0</v>
      </c>
      <c r="Q96" s="435"/>
      <c r="R96" s="435"/>
      <c r="S96" s="435">
        <f t="shared" si="88"/>
        <v>0</v>
      </c>
      <c r="T96" s="435">
        <v>0</v>
      </c>
      <c r="U96" s="435"/>
      <c r="V96" s="435">
        <f t="shared" si="89"/>
        <v>0</v>
      </c>
      <c r="W96" s="435">
        <v>0</v>
      </c>
      <c r="X96" s="435"/>
      <c r="Y96" s="435">
        <f t="shared" si="90"/>
        <v>0</v>
      </c>
      <c r="AA96" s="435">
        <v>0</v>
      </c>
      <c r="AC96" s="435">
        <f t="shared" si="91"/>
        <v>0</v>
      </c>
      <c r="AD96" s="435"/>
      <c r="AE96" s="435">
        <f t="shared" ref="AE96:AE103" si="92">SUM(AC96:AD96)</f>
        <v>0</v>
      </c>
    </row>
    <row r="97" spans="1:32" s="423" customFormat="1">
      <c r="A97" s="423" t="s">
        <v>802</v>
      </c>
      <c r="D97" s="423" t="s">
        <v>552</v>
      </c>
      <c r="E97" s="435">
        <v>0</v>
      </c>
      <c r="F97" s="435">
        <v>0</v>
      </c>
      <c r="G97" s="435"/>
      <c r="H97" s="435">
        <f t="shared" si="85"/>
        <v>0</v>
      </c>
      <c r="I97" s="435">
        <v>0</v>
      </c>
      <c r="J97" s="435">
        <v>0</v>
      </c>
      <c r="K97" s="435"/>
      <c r="L97" s="435">
        <f t="shared" si="86"/>
        <v>0</v>
      </c>
      <c r="M97" s="435">
        <v>0</v>
      </c>
      <c r="N97" s="435">
        <v>0</v>
      </c>
      <c r="O97" s="435">
        <f t="shared" si="87"/>
        <v>0</v>
      </c>
      <c r="P97" s="435">
        <v>0</v>
      </c>
      <c r="Q97" s="435"/>
      <c r="R97" s="435"/>
      <c r="S97" s="435">
        <f t="shared" si="88"/>
        <v>0</v>
      </c>
      <c r="T97" s="435">
        <v>0</v>
      </c>
      <c r="U97" s="435"/>
      <c r="V97" s="435">
        <f t="shared" si="89"/>
        <v>0</v>
      </c>
      <c r="W97" s="435">
        <v>0</v>
      </c>
      <c r="X97" s="435"/>
      <c r="Y97" s="435">
        <f t="shared" si="90"/>
        <v>0</v>
      </c>
      <c r="AA97" s="435">
        <v>0</v>
      </c>
      <c r="AC97" s="435">
        <f t="shared" si="91"/>
        <v>0</v>
      </c>
      <c r="AD97" s="435"/>
      <c r="AE97" s="435">
        <f t="shared" si="92"/>
        <v>0</v>
      </c>
    </row>
    <row r="98" spans="1:32" s="423" customFormat="1">
      <c r="A98" s="423" t="s">
        <v>740</v>
      </c>
      <c r="D98" s="423" t="s">
        <v>547</v>
      </c>
      <c r="E98" s="435">
        <v>0</v>
      </c>
      <c r="F98" s="435">
        <v>0</v>
      </c>
      <c r="G98" s="435"/>
      <c r="H98" s="435">
        <f t="shared" si="85"/>
        <v>0</v>
      </c>
      <c r="I98" s="435">
        <v>0</v>
      </c>
      <c r="J98" s="435">
        <v>0</v>
      </c>
      <c r="K98" s="435"/>
      <c r="L98" s="435">
        <f t="shared" si="86"/>
        <v>0</v>
      </c>
      <c r="M98" s="435">
        <v>0</v>
      </c>
      <c r="N98" s="435">
        <v>0</v>
      </c>
      <c r="O98" s="435">
        <f t="shared" si="87"/>
        <v>0</v>
      </c>
      <c r="P98" s="435">
        <v>0</v>
      </c>
      <c r="Q98" s="435"/>
      <c r="R98" s="435"/>
      <c r="S98" s="435">
        <f t="shared" si="88"/>
        <v>0</v>
      </c>
      <c r="T98" s="435">
        <v>0</v>
      </c>
      <c r="U98" s="435"/>
      <c r="V98" s="435">
        <f t="shared" si="89"/>
        <v>0</v>
      </c>
      <c r="W98" s="435">
        <v>0</v>
      </c>
      <c r="X98" s="435"/>
      <c r="Y98" s="435">
        <f t="shared" si="90"/>
        <v>0</v>
      </c>
      <c r="AA98" s="435">
        <v>0</v>
      </c>
      <c r="AC98" s="435">
        <f t="shared" si="91"/>
        <v>0</v>
      </c>
      <c r="AD98" s="435"/>
      <c r="AE98" s="435">
        <f t="shared" si="92"/>
        <v>0</v>
      </c>
    </row>
    <row r="99" spans="1:32" s="423" customFormat="1">
      <c r="A99" s="423" t="s">
        <v>465</v>
      </c>
      <c r="D99" s="423" t="s">
        <v>548</v>
      </c>
      <c r="E99" s="435">
        <v>0</v>
      </c>
      <c r="F99" s="435">
        <v>0</v>
      </c>
      <c r="G99" s="435"/>
      <c r="H99" s="435">
        <f t="shared" si="85"/>
        <v>0</v>
      </c>
      <c r="I99" s="435">
        <v>2186048732.1749997</v>
      </c>
      <c r="J99" s="435">
        <v>2934864257.8499999</v>
      </c>
      <c r="K99" s="435">
        <f>'Adjustment Consol'!G110</f>
        <v>0</v>
      </c>
      <c r="L99" s="435">
        <f t="shared" si="86"/>
        <v>5120912990.0249996</v>
      </c>
      <c r="M99" s="435">
        <v>0</v>
      </c>
      <c r="N99" s="435">
        <v>0</v>
      </c>
      <c r="O99" s="435">
        <f t="shared" si="87"/>
        <v>0</v>
      </c>
      <c r="P99" s="435">
        <v>0</v>
      </c>
      <c r="Q99" s="435"/>
      <c r="R99" s="435"/>
      <c r="S99" s="435">
        <f t="shared" si="88"/>
        <v>0</v>
      </c>
      <c r="T99" s="435">
        <v>0</v>
      </c>
      <c r="U99" s="435"/>
      <c r="V99" s="435">
        <f t="shared" si="89"/>
        <v>0</v>
      </c>
      <c r="W99" s="435">
        <v>0</v>
      </c>
      <c r="X99" s="435"/>
      <c r="Y99" s="435">
        <f t="shared" si="90"/>
        <v>0</v>
      </c>
      <c r="AA99" s="435">
        <v>0</v>
      </c>
      <c r="AC99" s="435">
        <f t="shared" si="91"/>
        <v>5120912990.0249996</v>
      </c>
      <c r="AD99" s="435">
        <f>'Elimination 2024'!H144</f>
        <v>-5120912990.0249996</v>
      </c>
      <c r="AE99" s="435">
        <f t="shared" si="92"/>
        <v>0</v>
      </c>
    </row>
    <row r="100" spans="1:32" s="423" customFormat="1">
      <c r="A100" s="423" t="s">
        <v>639</v>
      </c>
      <c r="D100" s="423" t="s">
        <v>545</v>
      </c>
      <c r="E100" s="435">
        <v>0</v>
      </c>
      <c r="F100" s="435">
        <v>0</v>
      </c>
      <c r="G100" s="435"/>
      <c r="H100" s="435">
        <f t="shared" si="85"/>
        <v>0</v>
      </c>
      <c r="I100" s="435">
        <v>0</v>
      </c>
      <c r="J100" s="435">
        <v>0</v>
      </c>
      <c r="K100" s="435"/>
      <c r="L100" s="435">
        <f t="shared" si="86"/>
        <v>0</v>
      </c>
      <c r="M100" s="435">
        <v>0</v>
      </c>
      <c r="N100" s="435">
        <v>0</v>
      </c>
      <c r="O100" s="435">
        <f t="shared" si="87"/>
        <v>0</v>
      </c>
      <c r="P100" s="435">
        <v>0</v>
      </c>
      <c r="Q100" s="435"/>
      <c r="R100" s="435"/>
      <c r="S100" s="435">
        <f t="shared" si="88"/>
        <v>0</v>
      </c>
      <c r="T100" s="435">
        <v>0</v>
      </c>
      <c r="U100" s="435"/>
      <c r="V100" s="435">
        <f t="shared" si="89"/>
        <v>0</v>
      </c>
      <c r="W100" s="435">
        <v>0</v>
      </c>
      <c r="X100" s="435"/>
      <c r="Y100" s="435">
        <f t="shared" si="90"/>
        <v>0</v>
      </c>
      <c r="AA100" s="435">
        <v>0</v>
      </c>
      <c r="AC100" s="435">
        <f t="shared" si="91"/>
        <v>0</v>
      </c>
      <c r="AD100" s="435"/>
      <c r="AE100" s="435">
        <f t="shared" si="92"/>
        <v>0</v>
      </c>
    </row>
    <row r="101" spans="1:32" s="423" customFormat="1">
      <c r="A101" s="423" t="s">
        <v>461</v>
      </c>
      <c r="D101" s="423" t="s">
        <v>549</v>
      </c>
      <c r="E101" s="435">
        <v>0</v>
      </c>
      <c r="F101" s="435">
        <v>0</v>
      </c>
      <c r="G101" s="435"/>
      <c r="H101" s="435">
        <f t="shared" si="85"/>
        <v>0</v>
      </c>
      <c r="I101" s="435">
        <v>0</v>
      </c>
      <c r="J101" s="435">
        <v>0</v>
      </c>
      <c r="K101" s="435"/>
      <c r="L101" s="435">
        <f t="shared" si="86"/>
        <v>0</v>
      </c>
      <c r="M101" s="435">
        <v>0</v>
      </c>
      <c r="N101" s="435">
        <v>0</v>
      </c>
      <c r="O101" s="435">
        <f t="shared" si="87"/>
        <v>0</v>
      </c>
      <c r="P101" s="435">
        <v>0</v>
      </c>
      <c r="Q101" s="435"/>
      <c r="R101" s="435"/>
      <c r="S101" s="435">
        <f t="shared" si="88"/>
        <v>0</v>
      </c>
      <c r="T101" s="435">
        <v>0</v>
      </c>
      <c r="U101" s="435"/>
      <c r="V101" s="435">
        <f t="shared" si="89"/>
        <v>0</v>
      </c>
      <c r="W101" s="435">
        <v>0</v>
      </c>
      <c r="X101" s="435"/>
      <c r="Y101" s="435">
        <f t="shared" si="90"/>
        <v>0</v>
      </c>
      <c r="AA101" s="435">
        <v>0</v>
      </c>
      <c r="AC101" s="435">
        <f t="shared" si="91"/>
        <v>0</v>
      </c>
      <c r="AD101" s="435"/>
      <c r="AE101" s="435">
        <f t="shared" si="92"/>
        <v>0</v>
      </c>
    </row>
    <row r="102" spans="1:32" s="423" customFormat="1">
      <c r="A102" s="433" t="s">
        <v>609</v>
      </c>
      <c r="D102" s="434" t="s">
        <v>544</v>
      </c>
      <c r="E102" s="435"/>
      <c r="F102" s="435"/>
      <c r="G102" s="435">
        <f>'Equity &amp; Adjustment Consol'!D50+'Equity &amp; Adjustment Consol'!F50</f>
        <v>0</v>
      </c>
      <c r="H102" s="435">
        <f t="shared" si="85"/>
        <v>0</v>
      </c>
      <c r="I102" s="435">
        <v>30256823164.049999</v>
      </c>
      <c r="J102" s="435">
        <v>28711285630.649998</v>
      </c>
      <c r="K102" s="435"/>
      <c r="L102" s="435">
        <f>SUM(I102:K102)</f>
        <v>58968108794.699997</v>
      </c>
      <c r="M102" s="435">
        <v>0</v>
      </c>
      <c r="N102" s="435">
        <v>0</v>
      </c>
      <c r="O102" s="435">
        <f t="shared" si="87"/>
        <v>0</v>
      </c>
      <c r="P102" s="435">
        <v>0</v>
      </c>
      <c r="Q102" s="435"/>
      <c r="R102" s="435"/>
      <c r="S102" s="435">
        <f t="shared" si="88"/>
        <v>0</v>
      </c>
      <c r="T102" s="435">
        <v>0</v>
      </c>
      <c r="U102" s="435"/>
      <c r="V102" s="435">
        <f t="shared" si="89"/>
        <v>0</v>
      </c>
      <c r="W102" s="435">
        <v>0</v>
      </c>
      <c r="X102" s="435"/>
      <c r="Y102" s="435">
        <f t="shared" si="90"/>
        <v>0</v>
      </c>
      <c r="AA102" s="435">
        <v>0</v>
      </c>
      <c r="AC102" s="435">
        <f t="shared" si="91"/>
        <v>58968108794.699997</v>
      </c>
      <c r="AD102" s="435">
        <f>'Elimination 2024'!H147</f>
        <v>-58968108794.699997</v>
      </c>
      <c r="AE102" s="435">
        <f t="shared" si="92"/>
        <v>0</v>
      </c>
      <c r="AF102" s="515"/>
    </row>
    <row r="103" spans="1:32" s="423" customFormat="1">
      <c r="A103" s="433"/>
      <c r="D103" s="434" t="s">
        <v>593</v>
      </c>
      <c r="E103" s="435">
        <v>14844232464.885111</v>
      </c>
      <c r="F103" s="435">
        <v>0</v>
      </c>
      <c r="G103" s="435">
        <f>'Consol SoFP 24'!F29</f>
        <v>0</v>
      </c>
      <c r="H103" s="435">
        <f t="shared" si="85"/>
        <v>14844232464.885111</v>
      </c>
      <c r="I103" s="435">
        <v>1646439617.0249999</v>
      </c>
      <c r="J103" s="435">
        <v>0</v>
      </c>
      <c r="K103" s="435"/>
      <c r="L103" s="435">
        <f>SUM(I103:K103)</f>
        <v>1646439617.0249999</v>
      </c>
      <c r="M103" s="435">
        <v>1804200964.6499999</v>
      </c>
      <c r="N103" s="435">
        <v>0</v>
      </c>
      <c r="O103" s="435">
        <f t="shared" si="87"/>
        <v>1804200964.6499999</v>
      </c>
      <c r="P103" s="435"/>
      <c r="Q103" s="435"/>
      <c r="R103" s="435"/>
      <c r="S103" s="435"/>
      <c r="T103" s="435"/>
      <c r="U103" s="435"/>
      <c r="V103" s="435"/>
      <c r="W103" s="435"/>
      <c r="X103" s="435"/>
      <c r="Y103" s="435"/>
      <c r="AA103" s="435"/>
      <c r="AC103" s="435">
        <f t="shared" si="91"/>
        <v>18294873046.560112</v>
      </c>
      <c r="AD103" s="435">
        <f>'Elimination 2024'!H126+'Elimination 2024'!H135+'Elimination 2024'!H138</f>
        <v>-18294873045.863602</v>
      </c>
      <c r="AE103" s="435">
        <f t="shared" si="92"/>
        <v>0.69651031494140625</v>
      </c>
      <c r="AF103" s="454"/>
    </row>
    <row r="104" spans="1:32" s="423" customFormat="1">
      <c r="A104" s="433"/>
      <c r="D104" s="434" t="s">
        <v>595</v>
      </c>
      <c r="E104" s="435">
        <v>1724530437.3384683</v>
      </c>
      <c r="F104" s="435">
        <v>0</v>
      </c>
      <c r="G104" s="435">
        <f>'Consol SoFP 24'!F30</f>
        <v>0</v>
      </c>
      <c r="H104" s="435">
        <f t="shared" ref="H104:H106" si="93">SUM(E104:G104)</f>
        <v>1724530437.3384683</v>
      </c>
      <c r="I104" s="435">
        <v>0</v>
      </c>
      <c r="J104" s="435">
        <v>0</v>
      </c>
      <c r="K104" s="435"/>
      <c r="L104" s="435"/>
      <c r="M104" s="435"/>
      <c r="N104" s="435"/>
      <c r="O104" s="435"/>
      <c r="P104" s="435"/>
      <c r="Q104" s="435"/>
      <c r="R104" s="435"/>
      <c r="S104" s="435"/>
      <c r="T104" s="435"/>
      <c r="U104" s="435"/>
      <c r="V104" s="435"/>
      <c r="W104" s="435"/>
      <c r="X104" s="435"/>
      <c r="Y104" s="435"/>
      <c r="AA104" s="435"/>
      <c r="AC104" s="435">
        <f t="shared" si="91"/>
        <v>1724530437.3384683</v>
      </c>
      <c r="AD104" s="435">
        <f>'Elimination 2024'!H127</f>
        <v>-1724530437.3384683</v>
      </c>
      <c r="AE104" s="435">
        <f t="shared" ref="AE104:AE107" si="94">SUM(AC104:AD104)</f>
        <v>0</v>
      </c>
    </row>
    <row r="105" spans="1:32" s="423" customFormat="1">
      <c r="A105" s="433"/>
      <c r="D105" s="434" t="s">
        <v>591</v>
      </c>
      <c r="E105" s="435">
        <v>8417149098.75</v>
      </c>
      <c r="F105" s="435">
        <v>0</v>
      </c>
      <c r="G105" s="435">
        <f>'Consol SoFP 24'!F31</f>
        <v>0</v>
      </c>
      <c r="H105" s="435">
        <f t="shared" si="93"/>
        <v>8417149098.75</v>
      </c>
      <c r="I105" s="435">
        <v>0</v>
      </c>
      <c r="J105" s="435">
        <v>0</v>
      </c>
      <c r="K105" s="435"/>
      <c r="L105" s="435"/>
      <c r="M105" s="435"/>
      <c r="N105" s="435"/>
      <c r="O105" s="435"/>
      <c r="P105" s="435"/>
      <c r="Q105" s="435"/>
      <c r="R105" s="435"/>
      <c r="S105" s="435"/>
      <c r="T105" s="435"/>
      <c r="U105" s="435"/>
      <c r="V105" s="435"/>
      <c r="W105" s="435"/>
      <c r="X105" s="435"/>
      <c r="Y105" s="435"/>
      <c r="AA105" s="435"/>
      <c r="AC105" s="435">
        <f t="shared" si="91"/>
        <v>8417149098.75</v>
      </c>
      <c r="AD105" s="435">
        <f>'Elimination 2024'!H123</f>
        <v>-8417149098.75</v>
      </c>
      <c r="AE105" s="435">
        <f t="shared" si="94"/>
        <v>0</v>
      </c>
    </row>
    <row r="106" spans="1:32" s="423" customFormat="1">
      <c r="A106" s="433"/>
      <c r="D106" s="434" t="s">
        <v>598</v>
      </c>
      <c r="E106" s="435">
        <v>574301635.27591431</v>
      </c>
      <c r="F106" s="435">
        <v>0</v>
      </c>
      <c r="G106" s="435">
        <f>'Consol SoFP 24'!F31</f>
        <v>0</v>
      </c>
      <c r="H106" s="435">
        <f t="shared" si="93"/>
        <v>574301635.27591431</v>
      </c>
      <c r="I106" s="435">
        <v>0</v>
      </c>
      <c r="J106" s="435">
        <v>0</v>
      </c>
      <c r="K106" s="435"/>
      <c r="L106" s="435"/>
      <c r="M106" s="435"/>
      <c r="N106" s="435"/>
      <c r="O106" s="435"/>
      <c r="P106" s="435"/>
      <c r="Q106" s="435"/>
      <c r="R106" s="435"/>
      <c r="S106" s="435"/>
      <c r="T106" s="435"/>
      <c r="U106" s="435"/>
      <c r="V106" s="435"/>
      <c r="W106" s="435"/>
      <c r="X106" s="435"/>
      <c r="Y106" s="435"/>
      <c r="AA106" s="435"/>
      <c r="AC106" s="435">
        <f t="shared" si="91"/>
        <v>574301635.27591431</v>
      </c>
      <c r="AD106" s="435">
        <f>'Elimination 2024'!H128</f>
        <v>-574301635.27591431</v>
      </c>
      <c r="AE106" s="435">
        <f t="shared" si="94"/>
        <v>0</v>
      </c>
    </row>
    <row r="107" spans="1:32" s="423" customFormat="1">
      <c r="A107" s="433"/>
      <c r="D107" s="434" t="s">
        <v>594</v>
      </c>
      <c r="E107" s="435">
        <v>245826681.58836988</v>
      </c>
      <c r="F107" s="435">
        <v>0</v>
      </c>
      <c r="G107" s="435">
        <f>'Consol SoFP 24'!F32</f>
        <v>0</v>
      </c>
      <c r="H107" s="435">
        <f t="shared" ref="H107" si="95">SUM(E107:G107)</f>
        <v>245826681.58836988</v>
      </c>
      <c r="I107" s="435">
        <v>0</v>
      </c>
      <c r="J107" s="435">
        <v>0</v>
      </c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435"/>
      <c r="V107" s="435"/>
      <c r="W107" s="435"/>
      <c r="X107" s="435"/>
      <c r="Y107" s="435"/>
      <c r="AA107" s="435"/>
      <c r="AC107" s="435">
        <f t="shared" si="91"/>
        <v>245826681.58836988</v>
      </c>
      <c r="AD107" s="435">
        <f>'Elimination 2024'!H129</f>
        <v>-245826681.58836988</v>
      </c>
      <c r="AE107" s="435">
        <f t="shared" si="94"/>
        <v>0</v>
      </c>
    </row>
    <row r="108" spans="1:32" s="423" customFormat="1">
      <c r="A108" s="433"/>
      <c r="D108" s="434"/>
      <c r="E108" s="435"/>
      <c r="F108" s="435"/>
      <c r="G108" s="435"/>
      <c r="H108" s="435"/>
      <c r="I108" s="435"/>
      <c r="J108" s="435"/>
      <c r="K108" s="435"/>
      <c r="L108" s="435"/>
      <c r="M108" s="435"/>
      <c r="N108" s="435"/>
      <c r="O108" s="435"/>
      <c r="P108" s="435"/>
      <c r="Q108" s="435"/>
      <c r="R108" s="435"/>
      <c r="S108" s="435"/>
      <c r="T108" s="435"/>
      <c r="U108" s="435"/>
      <c r="V108" s="435"/>
      <c r="W108" s="435"/>
      <c r="X108" s="435"/>
      <c r="Y108" s="435"/>
      <c r="AA108" s="435"/>
      <c r="AC108" s="435"/>
      <c r="AD108" s="435"/>
      <c r="AE108" s="435"/>
    </row>
    <row r="109" spans="1:32" s="423" customFormat="1">
      <c r="A109" s="433"/>
      <c r="C109" s="438" t="s">
        <v>661</v>
      </c>
      <c r="D109" s="439"/>
      <c r="E109" s="435"/>
      <c r="F109" s="435"/>
      <c r="G109" s="435"/>
      <c r="H109" s="435"/>
      <c r="I109" s="435"/>
      <c r="J109" s="435"/>
      <c r="K109" s="435"/>
      <c r="L109" s="435"/>
      <c r="M109" s="435">
        <v>0</v>
      </c>
      <c r="N109" s="435"/>
      <c r="O109" s="435"/>
      <c r="P109" s="435"/>
      <c r="Q109" s="435"/>
      <c r="R109" s="435"/>
      <c r="S109" s="435"/>
      <c r="T109" s="435">
        <v>0</v>
      </c>
      <c r="U109" s="435"/>
      <c r="V109" s="435"/>
      <c r="W109" s="435"/>
      <c r="X109" s="435"/>
      <c r="Y109" s="435"/>
      <c r="AA109" s="435"/>
      <c r="AC109" s="435"/>
      <c r="AD109" s="435"/>
      <c r="AE109" s="435"/>
    </row>
    <row r="110" spans="1:32" s="423" customFormat="1">
      <c r="A110" s="433" t="s">
        <v>800</v>
      </c>
      <c r="D110" s="423" t="s">
        <v>550</v>
      </c>
      <c r="E110" s="435">
        <f>441267292.810963+4949367722.775</f>
        <v>5390635015.5859623</v>
      </c>
      <c r="F110" s="435">
        <f>-4191778210.725+17968885286.625</f>
        <v>13777107075.9</v>
      </c>
      <c r="G110" s="435">
        <f>'Adjustment Consol'!J40</f>
        <v>-881620045.42499995</v>
      </c>
      <c r="H110" s="435">
        <f t="shared" si="85"/>
        <v>18286122046.060963</v>
      </c>
      <c r="I110" s="435"/>
      <c r="J110" s="435">
        <v>0</v>
      </c>
      <c r="K110" s="435"/>
      <c r="L110" s="435">
        <f t="shared" ref="L110:L112" si="96">SUM(I110:K110)</f>
        <v>0</v>
      </c>
      <c r="M110" s="435"/>
      <c r="N110" s="435"/>
      <c r="O110" s="435">
        <f t="shared" ref="O110:O112" si="97">SUM(M110:N110)</f>
        <v>0</v>
      </c>
      <c r="P110" s="435">
        <v>0</v>
      </c>
      <c r="Q110" s="435"/>
      <c r="R110" s="435"/>
      <c r="S110" s="435">
        <f>SUM(P110:R110)</f>
        <v>0</v>
      </c>
      <c r="T110" s="435"/>
      <c r="U110" s="435"/>
      <c r="V110" s="435">
        <f t="shared" si="89"/>
        <v>0</v>
      </c>
      <c r="W110" s="435">
        <v>0</v>
      </c>
      <c r="X110" s="435"/>
      <c r="Y110" s="435">
        <f t="shared" si="90"/>
        <v>0</v>
      </c>
      <c r="AA110" s="435">
        <v>0</v>
      </c>
      <c r="AC110" s="435">
        <f t="shared" ref="AC110:AC115" si="98">SUM(H110,L110,O110,S110,V110,Y110)</f>
        <v>18286122046.060963</v>
      </c>
      <c r="AD110" s="435"/>
      <c r="AE110" s="435">
        <f t="shared" ref="AE110:AE115" si="99">SUM(AC110:AD110)</f>
        <v>18286122046.060963</v>
      </c>
    </row>
    <row r="111" spans="1:32" s="423" customFormat="1">
      <c r="A111" s="433" t="s">
        <v>630</v>
      </c>
      <c r="D111" s="423" t="s">
        <v>551</v>
      </c>
      <c r="E111" s="435">
        <v>2167860487.2750001</v>
      </c>
      <c r="F111" s="435">
        <v>224414720.77500001</v>
      </c>
      <c r="G111" s="435"/>
      <c r="H111" s="435">
        <f t="shared" si="85"/>
        <v>2392275208.0500002</v>
      </c>
      <c r="I111" s="435">
        <v>0</v>
      </c>
      <c r="J111" s="435">
        <v>2713155420.1500001</v>
      </c>
      <c r="K111" s="435"/>
      <c r="L111" s="435">
        <f t="shared" si="96"/>
        <v>2713155420.1500001</v>
      </c>
      <c r="M111" s="435">
        <v>0</v>
      </c>
      <c r="N111" s="435"/>
      <c r="O111" s="435">
        <f t="shared" si="97"/>
        <v>0</v>
      </c>
      <c r="P111" s="435">
        <v>0</v>
      </c>
      <c r="Q111" s="435"/>
      <c r="R111" s="435"/>
      <c r="S111" s="435">
        <f>SUM(P111:R111)</f>
        <v>0</v>
      </c>
      <c r="T111" s="435">
        <v>0</v>
      </c>
      <c r="U111" s="435"/>
      <c r="V111" s="435">
        <f t="shared" si="89"/>
        <v>0</v>
      </c>
      <c r="W111" s="435">
        <v>0</v>
      </c>
      <c r="X111" s="435"/>
      <c r="Y111" s="435">
        <f t="shared" si="90"/>
        <v>0</v>
      </c>
      <c r="AA111" s="435">
        <v>0</v>
      </c>
      <c r="AC111" s="435">
        <f t="shared" si="98"/>
        <v>5105430628.2000008</v>
      </c>
      <c r="AD111" s="435"/>
      <c r="AE111" s="435">
        <f t="shared" si="99"/>
        <v>5105430628.2000008</v>
      </c>
    </row>
    <row r="112" spans="1:32" s="423" customFormat="1">
      <c r="A112" s="433" t="s">
        <v>811</v>
      </c>
      <c r="D112" s="423" t="s">
        <v>553</v>
      </c>
      <c r="E112" s="435">
        <v>4116214681.3011742</v>
      </c>
      <c r="F112" s="435">
        <v>0</v>
      </c>
      <c r="G112" s="435"/>
      <c r="H112" s="435">
        <f t="shared" si="85"/>
        <v>4116214681.3011742</v>
      </c>
      <c r="I112" s="435">
        <f>12995351370.225-283134436.200001+18838792657.125-17351817049.224</f>
        <v>14199192541.926003</v>
      </c>
      <c r="J112" s="435">
        <v>-2363556825</v>
      </c>
      <c r="K112" s="435">
        <f>'Adjustment Consol'!J49</f>
        <v>-509198796.22499996</v>
      </c>
      <c r="L112" s="435">
        <f t="shared" si="96"/>
        <v>11326436920.701002</v>
      </c>
      <c r="M112" s="435">
        <v>0</v>
      </c>
      <c r="N112" s="435"/>
      <c r="O112" s="435">
        <f t="shared" si="97"/>
        <v>0</v>
      </c>
      <c r="P112" s="435">
        <v>0</v>
      </c>
      <c r="Q112" s="435"/>
      <c r="R112" s="435"/>
      <c r="S112" s="435">
        <f>SUM(P112:R112)</f>
        <v>0</v>
      </c>
      <c r="T112" s="435">
        <v>0</v>
      </c>
      <c r="U112" s="435"/>
      <c r="V112" s="435">
        <f t="shared" si="89"/>
        <v>0</v>
      </c>
      <c r="W112" s="435">
        <v>0</v>
      </c>
      <c r="X112" s="435"/>
      <c r="Y112" s="435">
        <f t="shared" si="90"/>
        <v>0</v>
      </c>
      <c r="AA112" s="435">
        <v>0</v>
      </c>
      <c r="AC112" s="435">
        <f t="shared" si="98"/>
        <v>15442651602.002176</v>
      </c>
      <c r="AD112" s="435"/>
      <c r="AE112" s="435">
        <f t="shared" si="99"/>
        <v>15442651602.002176</v>
      </c>
    </row>
    <row r="113" spans="1:31" s="423" customFormat="1">
      <c r="A113" s="433" t="s">
        <v>816</v>
      </c>
      <c r="D113" s="434" t="s">
        <v>555</v>
      </c>
      <c r="E113" s="435">
        <v>0</v>
      </c>
      <c r="F113" s="435">
        <v>7624289706.0749998</v>
      </c>
      <c r="G113" s="435"/>
      <c r="H113" s="435">
        <f t="shared" si="85"/>
        <v>7624289706.0749998</v>
      </c>
      <c r="I113" s="435">
        <v>0</v>
      </c>
      <c r="J113" s="435">
        <v>0</v>
      </c>
      <c r="K113" s="435"/>
      <c r="L113" s="435">
        <f>SUM(I113:K113)</f>
        <v>0</v>
      </c>
      <c r="M113" s="435"/>
      <c r="N113" s="435"/>
      <c r="O113" s="435"/>
      <c r="P113" s="435">
        <v>0</v>
      </c>
      <c r="Q113" s="435"/>
      <c r="R113" s="435"/>
      <c r="S113" s="435"/>
      <c r="T113" s="435">
        <v>0</v>
      </c>
      <c r="U113" s="435"/>
      <c r="V113" s="435"/>
      <c r="W113" s="435"/>
      <c r="X113" s="435"/>
      <c r="Y113" s="435"/>
      <c r="AA113" s="435"/>
      <c r="AC113" s="435">
        <f t="shared" si="98"/>
        <v>7624289706.0749998</v>
      </c>
      <c r="AD113" s="435"/>
      <c r="AE113" s="435">
        <f t="shared" si="99"/>
        <v>7624289706.0749998</v>
      </c>
    </row>
    <row r="114" spans="1:31" s="423" customFormat="1">
      <c r="A114" s="433"/>
      <c r="C114" s="438" t="s">
        <v>441</v>
      </c>
      <c r="D114" s="455"/>
      <c r="E114" s="435"/>
      <c r="F114" s="435"/>
      <c r="G114" s="435"/>
      <c r="H114" s="435"/>
      <c r="I114" s="435"/>
      <c r="J114" s="435"/>
      <c r="K114" s="435"/>
      <c r="L114" s="435"/>
      <c r="M114" s="435"/>
      <c r="N114" s="435"/>
      <c r="O114" s="435"/>
      <c r="P114" s="435"/>
      <c r="Q114" s="435"/>
      <c r="R114" s="435"/>
      <c r="S114" s="435"/>
      <c r="T114" s="435"/>
      <c r="U114" s="435"/>
      <c r="V114" s="435"/>
      <c r="W114" s="435"/>
      <c r="X114" s="435"/>
      <c r="Y114" s="435"/>
      <c r="AA114" s="435"/>
      <c r="AC114" s="435">
        <f t="shared" si="98"/>
        <v>0</v>
      </c>
      <c r="AD114" s="435"/>
      <c r="AE114" s="435"/>
    </row>
    <row r="115" spans="1:31" s="423" customFormat="1">
      <c r="A115" s="433"/>
      <c r="D115" s="434" t="s">
        <v>822</v>
      </c>
      <c r="E115" s="435"/>
      <c r="F115" s="435"/>
      <c r="G115" s="435"/>
      <c r="H115" s="435"/>
      <c r="I115" s="435">
        <v>4299620834.25</v>
      </c>
      <c r="J115" s="435">
        <v>0</v>
      </c>
      <c r="K115" s="435"/>
      <c r="L115" s="435">
        <f t="shared" ref="L115" si="100">SUM(I115:K115)</f>
        <v>4299620834.25</v>
      </c>
      <c r="M115" s="435"/>
      <c r="N115" s="435"/>
      <c r="O115" s="435"/>
      <c r="P115" s="435"/>
      <c r="Q115" s="435"/>
      <c r="R115" s="435"/>
      <c r="S115" s="435"/>
      <c r="T115" s="435"/>
      <c r="U115" s="435"/>
      <c r="V115" s="435"/>
      <c r="W115" s="435"/>
      <c r="X115" s="435"/>
      <c r="Y115" s="435"/>
      <c r="AA115" s="435"/>
      <c r="AC115" s="435">
        <f t="shared" si="98"/>
        <v>4299620834.25</v>
      </c>
      <c r="AD115" s="435"/>
      <c r="AE115" s="435">
        <f t="shared" si="99"/>
        <v>4299620834.25</v>
      </c>
    </row>
    <row r="116" spans="1:31" s="423" customFormat="1">
      <c r="A116" s="433"/>
      <c r="E116" s="441"/>
      <c r="F116" s="441"/>
      <c r="G116" s="441"/>
      <c r="H116" s="441"/>
      <c r="I116" s="441"/>
      <c r="J116" s="441"/>
      <c r="K116" s="441"/>
      <c r="L116" s="441"/>
      <c r="M116" s="441"/>
      <c r="N116" s="441"/>
      <c r="O116" s="441"/>
      <c r="P116" s="441"/>
      <c r="Q116" s="441"/>
      <c r="R116" s="441"/>
      <c r="S116" s="441"/>
      <c r="T116" s="441"/>
      <c r="U116" s="441"/>
      <c r="V116" s="441"/>
      <c r="W116" s="441"/>
      <c r="X116" s="441"/>
      <c r="Y116" s="441"/>
      <c r="AA116" s="441"/>
      <c r="AC116" s="441"/>
      <c r="AD116" s="441"/>
      <c r="AE116" s="441"/>
    </row>
    <row r="117" spans="1:31" s="427" customFormat="1" ht="13">
      <c r="C117" s="427" t="s">
        <v>178</v>
      </c>
      <c r="E117" s="442">
        <f t="shared" ref="E117:P117" si="101">SUM(E115:E115,E110:E113,E99:E107,E96:E98,E95)</f>
        <v>37480750502</v>
      </c>
      <c r="F117" s="442">
        <f t="shared" si="101"/>
        <v>21625811502.75</v>
      </c>
      <c r="G117" s="442">
        <f t="shared" si="101"/>
        <v>-881620045.42499995</v>
      </c>
      <c r="H117" s="442">
        <f t="shared" si="101"/>
        <v>58224941959.325005</v>
      </c>
      <c r="I117" s="442">
        <f t="shared" si="101"/>
        <v>52588124889.426003</v>
      </c>
      <c r="J117" s="442">
        <f t="shared" si="101"/>
        <v>31995748483.649998</v>
      </c>
      <c r="K117" s="442">
        <f t="shared" si="101"/>
        <v>-509198796.22499996</v>
      </c>
      <c r="L117" s="442">
        <f t="shared" si="101"/>
        <v>84074674576.850983</v>
      </c>
      <c r="M117" s="442">
        <f t="shared" si="101"/>
        <v>1804200964.6499999</v>
      </c>
      <c r="N117" s="442">
        <f t="shared" si="101"/>
        <v>0</v>
      </c>
      <c r="O117" s="442">
        <f t="shared" si="101"/>
        <v>1804200964.6499999</v>
      </c>
      <c r="P117" s="442">
        <f t="shared" si="101"/>
        <v>0</v>
      </c>
      <c r="Q117" s="442"/>
      <c r="R117" s="442">
        <f t="shared" ref="R117:Y117" si="102">SUM(R115:R115,R110:R112,R99:R107,R96:R98,R95)</f>
        <v>0</v>
      </c>
      <c r="S117" s="442">
        <f t="shared" si="102"/>
        <v>0</v>
      </c>
      <c r="T117" s="442">
        <f t="shared" si="102"/>
        <v>0</v>
      </c>
      <c r="U117" s="442">
        <f t="shared" si="102"/>
        <v>0</v>
      </c>
      <c r="V117" s="442">
        <f t="shared" si="102"/>
        <v>0</v>
      </c>
      <c r="W117" s="442">
        <f t="shared" si="102"/>
        <v>0</v>
      </c>
      <c r="X117" s="442">
        <f t="shared" si="102"/>
        <v>0</v>
      </c>
      <c r="Y117" s="442">
        <f t="shared" si="102"/>
        <v>0</v>
      </c>
      <c r="AA117" s="442">
        <f>SUM(AA95:AA112)</f>
        <v>0</v>
      </c>
      <c r="AC117" s="442">
        <f>SUM(AC95:AC115)</f>
        <v>144103817500.82599</v>
      </c>
      <c r="AD117" s="442">
        <f>SUM(AD95:AD115)</f>
        <v>-93345702683.541336</v>
      </c>
      <c r="AE117" s="442">
        <f>SUM(AE95:AE115)</f>
        <v>50758114817.284645</v>
      </c>
    </row>
    <row r="118" spans="1:31" s="423" customFormat="1">
      <c r="C118" s="423" t="s">
        <v>433</v>
      </c>
      <c r="E118" s="441"/>
      <c r="F118" s="441"/>
      <c r="G118" s="441"/>
      <c r="H118" s="441"/>
      <c r="I118" s="441"/>
      <c r="J118" s="441"/>
      <c r="K118" s="441"/>
      <c r="L118" s="441"/>
      <c r="M118" s="441"/>
      <c r="N118" s="441"/>
      <c r="O118" s="441"/>
      <c r="P118" s="441"/>
      <c r="Q118" s="441"/>
      <c r="R118" s="441"/>
      <c r="S118" s="441"/>
      <c r="T118" s="441"/>
      <c r="U118" s="441"/>
      <c r="V118" s="441"/>
      <c r="W118" s="441"/>
      <c r="X118" s="441"/>
      <c r="Y118" s="441"/>
      <c r="AA118" s="441">
        <v>0</v>
      </c>
      <c r="AC118" s="441">
        <v>0</v>
      </c>
      <c r="AD118" s="441">
        <v>0</v>
      </c>
      <c r="AE118" s="441">
        <v>0</v>
      </c>
    </row>
    <row r="119" spans="1:31" s="427" customFormat="1" ht="13">
      <c r="C119" s="427" t="s">
        <v>439</v>
      </c>
      <c r="E119" s="444">
        <f>SUM(E117:E118)</f>
        <v>37480750502</v>
      </c>
      <c r="F119" s="444">
        <f>SUM(F117:F118)</f>
        <v>21625811502.75</v>
      </c>
      <c r="G119" s="444"/>
      <c r="H119" s="444">
        <f t="shared" ref="H119:L119" si="103">SUM(H117:H118)</f>
        <v>58224941959.325005</v>
      </c>
      <c r="I119" s="444">
        <f t="shared" si="103"/>
        <v>52588124889.426003</v>
      </c>
      <c r="J119" s="444">
        <f t="shared" si="103"/>
        <v>31995748483.649998</v>
      </c>
      <c r="K119" s="444">
        <f t="shared" si="103"/>
        <v>-509198796.22499996</v>
      </c>
      <c r="L119" s="444">
        <f t="shared" si="103"/>
        <v>84074674576.850983</v>
      </c>
      <c r="M119" s="444">
        <f>SUM(M117:M118)</f>
        <v>1804200964.6499999</v>
      </c>
      <c r="N119" s="444"/>
      <c r="O119" s="444">
        <f>SUM(O117:O118)</f>
        <v>1804200964.6499999</v>
      </c>
      <c r="P119" s="444">
        <f>SUM(P117:P118)</f>
        <v>0</v>
      </c>
      <c r="Q119" s="444"/>
      <c r="R119" s="444"/>
      <c r="S119" s="444">
        <f>SUM(S117:S118)</f>
        <v>0</v>
      </c>
      <c r="T119" s="444">
        <f>SUM(T117:T118)</f>
        <v>0</v>
      </c>
      <c r="U119" s="444"/>
      <c r="V119" s="444">
        <f>SUM(V117:V118)</f>
        <v>0</v>
      </c>
      <c r="W119" s="444">
        <f>SUM(W117:W118)</f>
        <v>0</v>
      </c>
      <c r="X119" s="444"/>
      <c r="Y119" s="444">
        <f>SUM(Y117:Y118)</f>
        <v>0</v>
      </c>
      <c r="AA119" s="444">
        <f t="shared" ref="AA119" si="104">SUM(AA117:AA118)</f>
        <v>0</v>
      </c>
      <c r="AC119" s="444">
        <f t="shared" ref="AC119:AE119" si="105">SUM(AC117:AC118)</f>
        <v>144103817500.82599</v>
      </c>
      <c r="AD119" s="444">
        <f t="shared" si="105"/>
        <v>-93345702683.541336</v>
      </c>
      <c r="AE119" s="444">
        <f t="shared" si="105"/>
        <v>50758114817.284645</v>
      </c>
    </row>
    <row r="120" spans="1:31" s="427" customFormat="1" ht="13">
      <c r="E120" s="443"/>
      <c r="F120" s="443"/>
      <c r="G120" s="443"/>
      <c r="H120" s="443"/>
      <c r="I120" s="443"/>
      <c r="J120" s="443"/>
      <c r="K120" s="443"/>
      <c r="L120" s="443"/>
      <c r="M120" s="443"/>
      <c r="N120" s="443"/>
      <c r="O120" s="443"/>
      <c r="P120" s="443"/>
      <c r="Q120" s="443"/>
      <c r="R120" s="443"/>
      <c r="S120" s="443"/>
      <c r="T120" s="443"/>
      <c r="U120" s="443"/>
      <c r="V120" s="443"/>
      <c r="W120" s="443"/>
      <c r="X120" s="443"/>
      <c r="Y120" s="443"/>
      <c r="AA120" s="443"/>
      <c r="AC120" s="443"/>
      <c r="AD120" s="443"/>
      <c r="AE120" s="443"/>
    </row>
    <row r="121" spans="1:31" s="417" customFormat="1" ht="13">
      <c r="D121" s="445" t="s">
        <v>435</v>
      </c>
      <c r="E121" s="435">
        <f>'Consol SoFP 24'!D29</f>
        <v>37480750502</v>
      </c>
      <c r="F121" s="435">
        <f>'Consol SoFP 24'!E29</f>
        <v>21625811503</v>
      </c>
      <c r="G121" s="435">
        <f>'Consol SoFP 24'!F29</f>
        <v>0</v>
      </c>
      <c r="H121" s="435">
        <f>'Consol SoFP 24'!H29</f>
        <v>58224941959.574997</v>
      </c>
      <c r="I121" s="435">
        <f>'Consol SoFP 24'!I29</f>
        <v>52588124889.776001</v>
      </c>
      <c r="J121" s="435">
        <f>'Consol SoFP 24'!J29</f>
        <v>31995748484</v>
      </c>
      <c r="K121" s="435">
        <f>SUM('Consol SoFP 24'!K29)</f>
        <v>-509198796.22499996</v>
      </c>
      <c r="L121" s="435">
        <f>'Consol SoFP 24'!L29</f>
        <v>84074674577.550995</v>
      </c>
      <c r="M121" s="435">
        <f>'Consol SoFP 24'!M29</f>
        <v>1804200965</v>
      </c>
      <c r="N121" s="435">
        <f>'Consol SoFP 24'!N29</f>
        <v>0</v>
      </c>
      <c r="O121" s="435">
        <f>'Consol SoFP 24'!O29</f>
        <v>1804200965</v>
      </c>
      <c r="P121" s="435">
        <f>'Consol SoFP 24'!P29</f>
        <v>0</v>
      </c>
      <c r="Q121" s="435"/>
      <c r="R121" s="435">
        <f>'Consol SoFP 24'!R29</f>
        <v>0</v>
      </c>
      <c r="S121" s="435">
        <f>'Consol SoFP 24'!S29</f>
        <v>0</v>
      </c>
      <c r="T121" s="435">
        <f>'Consol SoFP 24'!T29</f>
        <v>0</v>
      </c>
      <c r="U121" s="435">
        <f>'Consol SoFP 24'!U29</f>
        <v>0</v>
      </c>
      <c r="V121" s="435">
        <f>'Consol SoFP 24'!V29</f>
        <v>0</v>
      </c>
      <c r="W121" s="435">
        <f>'Consol SoFP 24'!W29</f>
        <v>0</v>
      </c>
      <c r="X121" s="435">
        <f>'Consol SoFP 24'!X29</f>
        <v>0</v>
      </c>
      <c r="Y121" s="435">
        <f>'Consol SoFP 24'!Y29</f>
        <v>0</v>
      </c>
      <c r="AA121" s="435">
        <v>0</v>
      </c>
      <c r="AC121" s="435">
        <f>'Consol SoFP 24'!AE29</f>
        <v>144103817502.12598</v>
      </c>
      <c r="AD121" s="435">
        <f>SUM('Consol SoFP 24'!AF29:AG29)</f>
        <v>-93345702683.541351</v>
      </c>
      <c r="AE121" s="435">
        <f>'Consol SoFP 24'!AH29</f>
        <v>50758114819</v>
      </c>
    </row>
    <row r="122" spans="1:31" s="417" customFormat="1" ht="13">
      <c r="D122" s="445" t="s">
        <v>111</v>
      </c>
      <c r="E122" s="442">
        <f>E119-E121</f>
        <v>0</v>
      </c>
      <c r="F122" s="442">
        <f>F119-F121</f>
        <v>-0.25</v>
      </c>
      <c r="G122" s="442"/>
      <c r="H122" s="442">
        <f t="shared" ref="H122:L122" si="106">H119-H121</f>
        <v>-0.24999237060546875</v>
      </c>
      <c r="I122" s="442">
        <f t="shared" si="106"/>
        <v>-0.34999847412109375</v>
      </c>
      <c r="J122" s="442">
        <f t="shared" si="106"/>
        <v>-0.35000228881835938</v>
      </c>
      <c r="K122" s="442">
        <f t="shared" si="106"/>
        <v>0</v>
      </c>
      <c r="L122" s="442">
        <f t="shared" si="106"/>
        <v>-0.70001220703125</v>
      </c>
      <c r="M122" s="442">
        <f>M119-M121</f>
        <v>-0.35000014305114746</v>
      </c>
      <c r="N122" s="442"/>
      <c r="O122" s="442">
        <f>O119-O121</f>
        <v>-0.35000014305114746</v>
      </c>
      <c r="P122" s="442">
        <f>P119-P121</f>
        <v>0</v>
      </c>
      <c r="Q122" s="442"/>
      <c r="R122" s="442"/>
      <c r="S122" s="442">
        <f>S119-S121</f>
        <v>0</v>
      </c>
      <c r="T122" s="442">
        <f>T119-T121</f>
        <v>0</v>
      </c>
      <c r="U122" s="442"/>
      <c r="V122" s="442">
        <f>V119-V121</f>
        <v>0</v>
      </c>
      <c r="W122" s="442">
        <f>W119-W121</f>
        <v>0</v>
      </c>
      <c r="X122" s="442"/>
      <c r="Y122" s="442">
        <f>Y119-Y121</f>
        <v>0</v>
      </c>
      <c r="AA122" s="442">
        <f t="shared" ref="AA122" si="107">AA119-AA121</f>
        <v>0</v>
      </c>
      <c r="AC122" s="442">
        <f t="shared" ref="AC122:AE122" si="108">AC119-AC121</f>
        <v>-1.29998779296875</v>
      </c>
      <c r="AD122" s="442">
        <f t="shared" si="108"/>
        <v>0</v>
      </c>
      <c r="AE122" s="442">
        <f t="shared" si="108"/>
        <v>-1.7153549194335938</v>
      </c>
    </row>
    <row r="123" spans="1:31" s="449" customFormat="1" ht="13.5" thickBot="1">
      <c r="A123" s="447"/>
      <c r="B123" s="447"/>
      <c r="C123" s="447"/>
      <c r="D123" s="447"/>
      <c r="E123" s="448"/>
      <c r="F123" s="448"/>
      <c r="G123" s="448"/>
      <c r="H123" s="448"/>
      <c r="I123" s="448" t="s">
        <v>443</v>
      </c>
      <c r="J123" s="448"/>
      <c r="K123" s="448"/>
      <c r="L123" s="448"/>
      <c r="M123" s="448"/>
      <c r="N123" s="448"/>
      <c r="O123" s="448"/>
      <c r="P123" s="448"/>
      <c r="Q123" s="448"/>
      <c r="R123" s="448"/>
      <c r="S123" s="448"/>
      <c r="T123" s="448"/>
      <c r="U123" s="448"/>
      <c r="V123" s="448"/>
      <c r="W123" s="448"/>
      <c r="X123" s="448"/>
      <c r="Y123" s="448"/>
      <c r="AA123" s="448"/>
      <c r="AC123" s="448"/>
      <c r="AD123" s="448"/>
      <c r="AE123" s="448"/>
    </row>
    <row r="124" spans="1:31" s="417" customFormat="1" ht="13">
      <c r="B124" s="414" t="s">
        <v>444</v>
      </c>
    </row>
    <row r="125" spans="1:31" s="423" customFormat="1" ht="13">
      <c r="E125" s="428" t="s">
        <v>426</v>
      </c>
      <c r="F125" s="428" t="s">
        <v>6</v>
      </c>
      <c r="G125" s="428" t="s">
        <v>334</v>
      </c>
      <c r="H125" s="428" t="s">
        <v>427</v>
      </c>
      <c r="I125" s="428" t="s">
        <v>426</v>
      </c>
      <c r="J125" s="428" t="s">
        <v>6</v>
      </c>
      <c r="K125" s="428" t="s">
        <v>334</v>
      </c>
      <c r="L125" s="428" t="s">
        <v>427</v>
      </c>
      <c r="M125" s="428" t="s">
        <v>426</v>
      </c>
      <c r="N125" s="428" t="s">
        <v>334</v>
      </c>
      <c r="O125" s="428" t="s">
        <v>427</v>
      </c>
      <c r="P125" s="428" t="s">
        <v>426</v>
      </c>
      <c r="Q125" s="428" t="s">
        <v>6</v>
      </c>
      <c r="R125" s="428" t="s">
        <v>334</v>
      </c>
      <c r="S125" s="428" t="s">
        <v>427</v>
      </c>
      <c r="T125" s="428" t="s">
        <v>426</v>
      </c>
      <c r="U125" s="428" t="s">
        <v>334</v>
      </c>
      <c r="V125" s="428" t="s">
        <v>427</v>
      </c>
      <c r="W125" s="428" t="s">
        <v>426</v>
      </c>
      <c r="X125" s="428" t="s">
        <v>334</v>
      </c>
      <c r="Y125" s="428" t="s">
        <v>427</v>
      </c>
      <c r="AA125" s="428" t="s">
        <v>428</v>
      </c>
      <c r="AC125" s="428" t="s">
        <v>11</v>
      </c>
      <c r="AD125" s="428" t="s">
        <v>429</v>
      </c>
      <c r="AE125" s="428" t="s">
        <v>13</v>
      </c>
    </row>
    <row r="126" spans="1:31" s="423" customFormat="1" ht="13">
      <c r="E126" s="429">
        <v>45657</v>
      </c>
      <c r="F126" s="429"/>
      <c r="G126" s="429"/>
      <c r="H126" s="429">
        <v>45657</v>
      </c>
      <c r="I126" s="429">
        <v>45657</v>
      </c>
      <c r="J126" s="429"/>
      <c r="K126" s="429"/>
      <c r="L126" s="429">
        <v>45657</v>
      </c>
      <c r="M126" s="429">
        <v>45657</v>
      </c>
      <c r="N126" s="429"/>
      <c r="O126" s="429">
        <v>45657</v>
      </c>
      <c r="P126" s="429">
        <v>45657</v>
      </c>
      <c r="Q126" s="429"/>
      <c r="R126" s="429"/>
      <c r="S126" s="429">
        <v>45657</v>
      </c>
      <c r="T126" s="429">
        <v>45657</v>
      </c>
      <c r="U126" s="429"/>
      <c r="V126" s="429">
        <v>45657</v>
      </c>
      <c r="W126" s="429">
        <v>45657</v>
      </c>
      <c r="X126" s="429"/>
      <c r="Y126" s="429">
        <v>45657</v>
      </c>
      <c r="AA126" s="429">
        <v>45657</v>
      </c>
      <c r="AC126" s="429">
        <v>45657</v>
      </c>
      <c r="AD126" s="429">
        <v>45657</v>
      </c>
      <c r="AE126" s="429">
        <v>45657</v>
      </c>
    </row>
    <row r="127" spans="1:31" s="417" customFormat="1" ht="13">
      <c r="D127" s="416"/>
      <c r="E127" s="443"/>
      <c r="F127" s="443"/>
      <c r="G127" s="443"/>
      <c r="H127" s="443"/>
      <c r="I127" s="443"/>
      <c r="J127" s="443"/>
      <c r="K127" s="443"/>
      <c r="L127" s="443"/>
      <c r="M127" s="443"/>
      <c r="N127" s="443"/>
      <c r="O127" s="443"/>
      <c r="P127" s="443"/>
      <c r="Q127" s="443"/>
      <c r="R127" s="443"/>
      <c r="S127" s="443"/>
      <c r="T127" s="443"/>
      <c r="U127" s="443"/>
      <c r="V127" s="443"/>
      <c r="W127" s="443"/>
      <c r="X127" s="443"/>
      <c r="Y127" s="443"/>
      <c r="AA127" s="443"/>
      <c r="AC127" s="443"/>
      <c r="AD127" s="443"/>
      <c r="AE127" s="443"/>
    </row>
    <row r="128" spans="1:31" s="423" customFormat="1">
      <c r="C128" s="423" t="s">
        <v>543</v>
      </c>
      <c r="D128" s="434"/>
      <c r="E128" s="435">
        <v>0</v>
      </c>
      <c r="F128" s="435">
        <v>0</v>
      </c>
      <c r="G128" s="435"/>
      <c r="H128" s="435">
        <f t="shared" ref="H128" si="109">SUM(E128:G128)</f>
        <v>0</v>
      </c>
      <c r="I128" s="435">
        <v>0</v>
      </c>
      <c r="J128" s="435"/>
      <c r="K128" s="435"/>
      <c r="L128" s="435">
        <f t="shared" ref="L128" si="110">SUM(I128:K128)</f>
        <v>0</v>
      </c>
      <c r="M128" s="435">
        <v>0</v>
      </c>
      <c r="N128" s="435"/>
      <c r="O128" s="435">
        <f t="shared" ref="O128" si="111">SUM(M128:N128)</f>
        <v>0</v>
      </c>
      <c r="P128" s="435">
        <v>0</v>
      </c>
      <c r="Q128" s="435"/>
      <c r="R128" s="435"/>
      <c r="S128" s="435">
        <f t="shared" ref="S128:S136" si="112">SUM(P128:R128)</f>
        <v>0</v>
      </c>
      <c r="T128" s="435">
        <v>0</v>
      </c>
      <c r="U128" s="435"/>
      <c r="V128" s="435">
        <f t="shared" ref="V128" si="113">SUM(T128:U128)</f>
        <v>0</v>
      </c>
      <c r="W128" s="435">
        <v>0</v>
      </c>
      <c r="X128" s="435"/>
      <c r="Y128" s="435">
        <f t="shared" ref="Y128" si="114">SUM(W128:X128)</f>
        <v>0</v>
      </c>
      <c r="AA128" s="435">
        <v>0</v>
      </c>
      <c r="AC128" s="435">
        <f>SUM(H128,L128,O128,S128,V128,Y128)</f>
        <v>0</v>
      </c>
      <c r="AD128" s="435"/>
      <c r="AE128" s="435">
        <f>SUM(AC128:AD128)</f>
        <v>0</v>
      </c>
    </row>
    <row r="129" spans="1:31" s="423" customFormat="1">
      <c r="D129" s="423" t="s">
        <v>546</v>
      </c>
      <c r="E129" s="435">
        <v>0</v>
      </c>
      <c r="F129" s="435">
        <v>0</v>
      </c>
      <c r="G129" s="435"/>
      <c r="H129" s="435">
        <f t="shared" ref="H129:H136" si="115">SUM(E129:G129)</f>
        <v>0</v>
      </c>
      <c r="I129" s="435">
        <v>0</v>
      </c>
      <c r="J129" s="435"/>
      <c r="K129" s="435"/>
      <c r="L129" s="435">
        <f t="shared" ref="L129:L136" si="116">SUM(I129:K129)</f>
        <v>0</v>
      </c>
      <c r="M129" s="435">
        <v>0</v>
      </c>
      <c r="N129" s="435"/>
      <c r="O129" s="435">
        <f t="shared" ref="O129:O136" si="117">SUM(M129:N129)</f>
        <v>0</v>
      </c>
      <c r="P129" s="435">
        <v>0</v>
      </c>
      <c r="Q129" s="435"/>
      <c r="R129" s="435"/>
      <c r="S129" s="435">
        <f t="shared" si="112"/>
        <v>0</v>
      </c>
      <c r="T129" s="435">
        <v>0</v>
      </c>
      <c r="U129" s="435"/>
      <c r="V129" s="435">
        <f t="shared" ref="V129:V137" si="118">SUM(T129:U129)</f>
        <v>0</v>
      </c>
      <c r="W129" s="435">
        <v>0</v>
      </c>
      <c r="X129" s="435"/>
      <c r="Y129" s="435">
        <f t="shared" ref="Y129:Y135" si="119">SUM(W129:X129)</f>
        <v>0</v>
      </c>
      <c r="AA129" s="435">
        <v>0</v>
      </c>
      <c r="AC129" s="435">
        <f t="shared" ref="AC129:AC136" si="120">SUM(H129,L129,O129,S129,V129,Y129)</f>
        <v>0</v>
      </c>
      <c r="AD129" s="435"/>
      <c r="AE129" s="435">
        <f t="shared" ref="AE129:AE136" si="121">SUM(AC129:AD129)</f>
        <v>0</v>
      </c>
    </row>
    <row r="130" spans="1:31" s="423" customFormat="1">
      <c r="D130" s="423" t="s">
        <v>552</v>
      </c>
      <c r="E130" s="435">
        <v>0</v>
      </c>
      <c r="F130" s="435">
        <v>0</v>
      </c>
      <c r="G130" s="435"/>
      <c r="H130" s="435">
        <f t="shared" si="115"/>
        <v>0</v>
      </c>
      <c r="I130" s="435">
        <v>0</v>
      </c>
      <c r="J130" s="435"/>
      <c r="K130" s="435"/>
      <c r="L130" s="435">
        <f t="shared" si="116"/>
        <v>0</v>
      </c>
      <c r="M130" s="435">
        <v>0</v>
      </c>
      <c r="N130" s="435"/>
      <c r="O130" s="435">
        <f t="shared" si="117"/>
        <v>0</v>
      </c>
      <c r="P130" s="435">
        <v>0</v>
      </c>
      <c r="Q130" s="435"/>
      <c r="R130" s="435"/>
      <c r="S130" s="435">
        <f t="shared" si="112"/>
        <v>0</v>
      </c>
      <c r="T130" s="435">
        <v>0</v>
      </c>
      <c r="U130" s="435"/>
      <c r="V130" s="435">
        <f t="shared" si="118"/>
        <v>0</v>
      </c>
      <c r="W130" s="435">
        <v>0</v>
      </c>
      <c r="X130" s="435"/>
      <c r="Y130" s="435">
        <f t="shared" si="119"/>
        <v>0</v>
      </c>
      <c r="AA130" s="435">
        <v>0</v>
      </c>
      <c r="AC130" s="435">
        <f t="shared" si="120"/>
        <v>0</v>
      </c>
      <c r="AD130" s="435"/>
      <c r="AE130" s="435">
        <f t="shared" si="121"/>
        <v>0</v>
      </c>
    </row>
    <row r="131" spans="1:31" s="423" customFormat="1">
      <c r="D131" s="423" t="s">
        <v>547</v>
      </c>
      <c r="E131" s="435">
        <v>0</v>
      </c>
      <c r="F131" s="435">
        <v>0</v>
      </c>
      <c r="G131" s="435"/>
      <c r="H131" s="435">
        <f t="shared" si="115"/>
        <v>0</v>
      </c>
      <c r="I131" s="435">
        <v>0</v>
      </c>
      <c r="J131" s="435"/>
      <c r="K131" s="435"/>
      <c r="L131" s="435">
        <f t="shared" si="116"/>
        <v>0</v>
      </c>
      <c r="M131" s="435">
        <v>0</v>
      </c>
      <c r="N131" s="435"/>
      <c r="O131" s="435">
        <f t="shared" si="117"/>
        <v>0</v>
      </c>
      <c r="P131" s="435">
        <v>0</v>
      </c>
      <c r="Q131" s="435"/>
      <c r="R131" s="435"/>
      <c r="S131" s="435">
        <f t="shared" si="112"/>
        <v>0</v>
      </c>
      <c r="T131" s="435">
        <v>0</v>
      </c>
      <c r="U131" s="435"/>
      <c r="V131" s="435">
        <f t="shared" si="118"/>
        <v>0</v>
      </c>
      <c r="W131" s="435">
        <v>0</v>
      </c>
      <c r="X131" s="435"/>
      <c r="Y131" s="435">
        <f t="shared" si="119"/>
        <v>0</v>
      </c>
      <c r="AA131" s="435">
        <v>0</v>
      </c>
      <c r="AC131" s="435">
        <f t="shared" si="120"/>
        <v>0</v>
      </c>
      <c r="AD131" s="435"/>
      <c r="AE131" s="435">
        <f t="shared" si="121"/>
        <v>0</v>
      </c>
    </row>
    <row r="132" spans="1:31" s="423" customFormat="1">
      <c r="D132" s="423" t="s">
        <v>548</v>
      </c>
      <c r="E132" s="435">
        <v>0</v>
      </c>
      <c r="F132" s="435">
        <v>0</v>
      </c>
      <c r="G132" s="435"/>
      <c r="H132" s="435">
        <f t="shared" si="115"/>
        <v>0</v>
      </c>
      <c r="I132" s="435">
        <v>0</v>
      </c>
      <c r="J132" s="435"/>
      <c r="K132" s="435"/>
      <c r="L132" s="435">
        <f t="shared" si="116"/>
        <v>0</v>
      </c>
      <c r="M132" s="435">
        <v>0</v>
      </c>
      <c r="N132" s="435"/>
      <c r="O132" s="435">
        <f t="shared" si="117"/>
        <v>0</v>
      </c>
      <c r="P132" s="435">
        <v>0</v>
      </c>
      <c r="Q132" s="435"/>
      <c r="R132" s="435"/>
      <c r="S132" s="435">
        <f t="shared" si="112"/>
        <v>0</v>
      </c>
      <c r="T132" s="435">
        <v>0</v>
      </c>
      <c r="U132" s="435"/>
      <c r="V132" s="435">
        <f t="shared" si="118"/>
        <v>0</v>
      </c>
      <c r="W132" s="435">
        <v>0</v>
      </c>
      <c r="X132" s="435"/>
      <c r="Y132" s="435">
        <f t="shared" si="119"/>
        <v>0</v>
      </c>
      <c r="AA132" s="435">
        <v>0</v>
      </c>
      <c r="AC132" s="435">
        <f t="shared" si="120"/>
        <v>0</v>
      </c>
      <c r="AD132" s="435"/>
      <c r="AE132" s="435">
        <f t="shared" si="121"/>
        <v>0</v>
      </c>
    </row>
    <row r="133" spans="1:31" s="423" customFormat="1">
      <c r="D133" s="423" t="s">
        <v>545</v>
      </c>
      <c r="E133" s="435">
        <v>0</v>
      </c>
      <c r="F133" s="435">
        <v>0</v>
      </c>
      <c r="G133" s="435"/>
      <c r="H133" s="435">
        <f t="shared" si="115"/>
        <v>0</v>
      </c>
      <c r="I133" s="435">
        <v>0</v>
      </c>
      <c r="J133" s="435"/>
      <c r="K133" s="435"/>
      <c r="L133" s="435">
        <f t="shared" si="116"/>
        <v>0</v>
      </c>
      <c r="M133" s="435">
        <v>0</v>
      </c>
      <c r="N133" s="435"/>
      <c r="O133" s="435">
        <f t="shared" si="117"/>
        <v>0</v>
      </c>
      <c r="P133" s="435">
        <v>0</v>
      </c>
      <c r="Q133" s="435"/>
      <c r="R133" s="435"/>
      <c r="S133" s="435">
        <f t="shared" si="112"/>
        <v>0</v>
      </c>
      <c r="T133" s="435">
        <v>0</v>
      </c>
      <c r="U133" s="435"/>
      <c r="V133" s="435">
        <f t="shared" si="118"/>
        <v>0</v>
      </c>
      <c r="W133" s="435">
        <v>0</v>
      </c>
      <c r="X133" s="435"/>
      <c r="Y133" s="435">
        <f t="shared" si="119"/>
        <v>0</v>
      </c>
      <c r="AA133" s="435">
        <v>0</v>
      </c>
      <c r="AC133" s="435">
        <f t="shared" si="120"/>
        <v>0</v>
      </c>
      <c r="AD133" s="435"/>
      <c r="AE133" s="435">
        <f t="shared" si="121"/>
        <v>0</v>
      </c>
    </row>
    <row r="134" spans="1:31" s="423" customFormat="1">
      <c r="D134" s="423" t="s">
        <v>549</v>
      </c>
      <c r="E134" s="435">
        <v>0</v>
      </c>
      <c r="F134" s="435">
        <v>0</v>
      </c>
      <c r="G134" s="435"/>
      <c r="H134" s="435">
        <f t="shared" si="115"/>
        <v>0</v>
      </c>
      <c r="I134" s="435">
        <v>0</v>
      </c>
      <c r="J134" s="435"/>
      <c r="K134" s="435"/>
      <c r="L134" s="435">
        <f t="shared" si="116"/>
        <v>0</v>
      </c>
      <c r="M134" s="435">
        <v>0</v>
      </c>
      <c r="N134" s="435"/>
      <c r="O134" s="435">
        <f t="shared" si="117"/>
        <v>0</v>
      </c>
      <c r="P134" s="435">
        <v>0</v>
      </c>
      <c r="Q134" s="435"/>
      <c r="R134" s="435"/>
      <c r="S134" s="435">
        <f t="shared" si="112"/>
        <v>0</v>
      </c>
      <c r="T134" s="435">
        <v>0</v>
      </c>
      <c r="U134" s="435"/>
      <c r="V134" s="435">
        <f t="shared" si="118"/>
        <v>0</v>
      </c>
      <c r="W134" s="435">
        <v>0</v>
      </c>
      <c r="X134" s="435"/>
      <c r="Y134" s="435">
        <f t="shared" si="119"/>
        <v>0</v>
      </c>
      <c r="AA134" s="435">
        <v>0</v>
      </c>
      <c r="AC134" s="435">
        <f t="shared" si="120"/>
        <v>0</v>
      </c>
      <c r="AD134" s="435"/>
      <c r="AE134" s="435">
        <f t="shared" si="121"/>
        <v>0</v>
      </c>
    </row>
    <row r="135" spans="1:31" s="423" customFormat="1">
      <c r="A135" s="433"/>
      <c r="D135" s="434" t="s">
        <v>544</v>
      </c>
      <c r="E135" s="435">
        <v>0</v>
      </c>
      <c r="F135" s="435">
        <v>0</v>
      </c>
      <c r="G135" s="435"/>
      <c r="H135" s="435">
        <f t="shared" si="115"/>
        <v>0</v>
      </c>
      <c r="I135" s="435">
        <v>0</v>
      </c>
      <c r="J135" s="435"/>
      <c r="K135" s="435"/>
      <c r="L135" s="435">
        <f t="shared" si="116"/>
        <v>0</v>
      </c>
      <c r="M135" s="435">
        <v>0</v>
      </c>
      <c r="N135" s="435"/>
      <c r="O135" s="435">
        <f t="shared" si="117"/>
        <v>0</v>
      </c>
      <c r="P135" s="435">
        <v>0</v>
      </c>
      <c r="Q135" s="435"/>
      <c r="R135" s="435"/>
      <c r="S135" s="435">
        <f t="shared" si="112"/>
        <v>0</v>
      </c>
      <c r="T135" s="435">
        <v>0</v>
      </c>
      <c r="U135" s="435"/>
      <c r="V135" s="435">
        <f t="shared" si="118"/>
        <v>0</v>
      </c>
      <c r="W135" s="435">
        <v>0</v>
      </c>
      <c r="X135" s="435"/>
      <c r="Y135" s="435">
        <f t="shared" si="119"/>
        <v>0</v>
      </c>
      <c r="AA135" s="435">
        <v>0</v>
      </c>
      <c r="AC135" s="435">
        <f t="shared" si="120"/>
        <v>0</v>
      </c>
      <c r="AD135" s="435"/>
      <c r="AE135" s="435">
        <f t="shared" si="121"/>
        <v>0</v>
      </c>
    </row>
    <row r="136" spans="1:31" s="423" customFormat="1">
      <c r="A136" s="433"/>
      <c r="D136" s="423" t="s">
        <v>442</v>
      </c>
      <c r="E136" s="435"/>
      <c r="F136" s="435">
        <v>0</v>
      </c>
      <c r="G136" s="435"/>
      <c r="H136" s="435">
        <f t="shared" si="115"/>
        <v>0</v>
      </c>
      <c r="I136" s="435">
        <v>0</v>
      </c>
      <c r="J136" s="435"/>
      <c r="K136" s="435"/>
      <c r="L136" s="435">
        <f t="shared" si="116"/>
        <v>0</v>
      </c>
      <c r="M136" s="435">
        <v>0</v>
      </c>
      <c r="N136" s="435"/>
      <c r="O136" s="435">
        <f t="shared" si="117"/>
        <v>0</v>
      </c>
      <c r="P136" s="435">
        <v>0</v>
      </c>
      <c r="Q136" s="435"/>
      <c r="R136" s="435"/>
      <c r="S136" s="435">
        <f t="shared" si="112"/>
        <v>0</v>
      </c>
      <c r="T136" s="435"/>
      <c r="U136" s="435"/>
      <c r="V136" s="435">
        <f t="shared" si="118"/>
        <v>0</v>
      </c>
      <c r="W136" s="435">
        <v>0</v>
      </c>
      <c r="X136" s="435"/>
      <c r="Y136" s="435">
        <v>0</v>
      </c>
      <c r="AA136" s="435">
        <v>0</v>
      </c>
      <c r="AC136" s="435">
        <f t="shared" si="120"/>
        <v>0</v>
      </c>
      <c r="AD136" s="435"/>
      <c r="AE136" s="435">
        <f t="shared" si="121"/>
        <v>0</v>
      </c>
    </row>
    <row r="137" spans="1:31" s="423" customFormat="1">
      <c r="A137" s="433"/>
      <c r="D137" s="434"/>
      <c r="E137" s="435"/>
      <c r="F137" s="435"/>
      <c r="G137" s="435"/>
      <c r="H137" s="435"/>
      <c r="I137" s="435">
        <v>0</v>
      </c>
      <c r="J137" s="435"/>
      <c r="K137" s="435"/>
      <c r="L137" s="435"/>
      <c r="M137" s="435">
        <v>0</v>
      </c>
      <c r="N137" s="435"/>
      <c r="O137" s="435"/>
      <c r="P137" s="435"/>
      <c r="Q137" s="435"/>
      <c r="R137" s="435"/>
      <c r="S137" s="435"/>
      <c r="T137" s="435">
        <v>0</v>
      </c>
      <c r="U137" s="435"/>
      <c r="V137" s="435">
        <f t="shared" si="118"/>
        <v>0</v>
      </c>
      <c r="W137" s="435"/>
      <c r="X137" s="435"/>
      <c r="Y137" s="435">
        <v>0</v>
      </c>
      <c r="AA137" s="435"/>
      <c r="AC137" s="435"/>
      <c r="AD137" s="435"/>
      <c r="AE137" s="435"/>
    </row>
    <row r="138" spans="1:31" s="423" customFormat="1">
      <c r="A138" s="433"/>
      <c r="C138" s="438" t="s">
        <v>441</v>
      </c>
      <c r="D138" s="455"/>
      <c r="E138" s="435"/>
      <c r="F138" s="435"/>
      <c r="G138" s="435"/>
      <c r="H138" s="435"/>
      <c r="I138" s="435"/>
      <c r="J138" s="435"/>
      <c r="K138" s="435"/>
      <c r="L138" s="435"/>
      <c r="M138" s="435"/>
      <c r="N138" s="435"/>
      <c r="O138" s="435"/>
      <c r="P138" s="435"/>
      <c r="Q138" s="435"/>
      <c r="R138" s="435"/>
      <c r="S138" s="435"/>
      <c r="T138" s="435"/>
      <c r="U138" s="435"/>
      <c r="V138" s="435"/>
      <c r="W138" s="435"/>
      <c r="X138" s="435"/>
      <c r="Y138" s="435"/>
      <c r="AA138" s="435"/>
      <c r="AC138" s="435"/>
      <c r="AD138" s="435"/>
      <c r="AE138" s="435"/>
    </row>
    <row r="139" spans="1:31" s="423" customFormat="1">
      <c r="A139" s="433"/>
      <c r="D139" s="434" t="s">
        <v>555</v>
      </c>
      <c r="E139" s="435">
        <v>410071173.75</v>
      </c>
      <c r="F139" s="435"/>
      <c r="G139" s="435"/>
      <c r="H139" s="435">
        <f t="shared" ref="H139:H140" si="122">SUM(E139:G139)</f>
        <v>410071173.75</v>
      </c>
      <c r="I139" s="435">
        <v>0</v>
      </c>
      <c r="J139" s="435"/>
      <c r="K139" s="435"/>
      <c r="L139" s="435">
        <f t="shared" ref="L139:L140" si="123">SUM(I139:K139)</f>
        <v>0</v>
      </c>
      <c r="M139" s="435">
        <v>11812500</v>
      </c>
      <c r="N139" s="435">
        <v>0</v>
      </c>
      <c r="O139" s="435">
        <f t="shared" ref="O139:O140" si="124">SUM(M139:N139)</f>
        <v>11812500</v>
      </c>
      <c r="P139" s="435">
        <v>1771875000</v>
      </c>
      <c r="Q139" s="435">
        <v>-116131641</v>
      </c>
      <c r="R139" s="435"/>
      <c r="S139" s="435">
        <f>SUM(P139:R139)</f>
        <v>1655743359</v>
      </c>
      <c r="T139" s="435">
        <v>187728067.80000001</v>
      </c>
      <c r="U139" s="435"/>
      <c r="V139" s="435">
        <f t="shared" ref="V139:V140" si="125">SUM(T139:U139)</f>
        <v>187728067.80000001</v>
      </c>
      <c r="W139" s="435">
        <f>12500000*1.575</f>
        <v>19687500</v>
      </c>
      <c r="X139" s="435"/>
      <c r="Y139" s="435">
        <f t="shared" ref="Y139:Y140" si="126">SUM(W139:X139)</f>
        <v>19687500</v>
      </c>
      <c r="AA139" s="435"/>
      <c r="AC139" s="435">
        <f t="shared" ref="AC139:AC140" si="127">SUM(H139,L139,O139,S139,V139,Y139)</f>
        <v>2285042600.5500002</v>
      </c>
      <c r="AD139" s="435"/>
      <c r="AE139" s="435">
        <f t="shared" ref="AE139:AE140" si="128">SUM(AC139:AD139)</f>
        <v>2285042600.5500002</v>
      </c>
    </row>
    <row r="140" spans="1:31" s="423" customFormat="1">
      <c r="A140" s="433"/>
      <c r="D140" s="434"/>
      <c r="E140" s="435">
        <v>0</v>
      </c>
      <c r="F140" s="435"/>
      <c r="G140" s="435"/>
      <c r="H140" s="435">
        <f t="shared" si="122"/>
        <v>0</v>
      </c>
      <c r="I140" s="435">
        <v>0</v>
      </c>
      <c r="J140" s="435"/>
      <c r="K140" s="435"/>
      <c r="L140" s="435">
        <f t="shared" si="123"/>
        <v>0</v>
      </c>
      <c r="M140" s="435">
        <v>11812500</v>
      </c>
      <c r="N140" s="435">
        <v>0</v>
      </c>
      <c r="O140" s="435">
        <f t="shared" si="124"/>
        <v>11812500</v>
      </c>
      <c r="P140" s="435">
        <v>17325000</v>
      </c>
      <c r="Q140" s="435">
        <v>0</v>
      </c>
      <c r="R140" s="435"/>
      <c r="S140" s="435">
        <f>SUM(P140:R140)</f>
        <v>17325000</v>
      </c>
      <c r="T140" s="435">
        <v>0</v>
      </c>
      <c r="U140" s="435"/>
      <c r="V140" s="435">
        <f t="shared" si="125"/>
        <v>0</v>
      </c>
      <c r="W140" s="435">
        <v>0</v>
      </c>
      <c r="X140" s="435"/>
      <c r="Y140" s="435">
        <f t="shared" si="126"/>
        <v>0</v>
      </c>
      <c r="AA140" s="435"/>
      <c r="AC140" s="435">
        <f t="shared" si="127"/>
        <v>29137500</v>
      </c>
      <c r="AD140" s="435"/>
      <c r="AE140" s="435">
        <f t="shared" si="128"/>
        <v>29137500</v>
      </c>
    </row>
    <row r="141" spans="1:31" s="423" customFormat="1">
      <c r="A141" s="433"/>
      <c r="E141" s="441"/>
      <c r="F141" s="441"/>
      <c r="G141" s="441"/>
      <c r="H141" s="441"/>
      <c r="I141" s="441"/>
      <c r="J141" s="441"/>
      <c r="K141" s="441"/>
      <c r="L141" s="441"/>
      <c r="M141" s="441"/>
      <c r="N141" s="441"/>
      <c r="O141" s="441"/>
      <c r="P141" s="441"/>
      <c r="Q141" s="441"/>
      <c r="R141" s="441"/>
      <c r="S141" s="441"/>
      <c r="T141" s="441"/>
      <c r="U141" s="441"/>
      <c r="V141" s="441"/>
      <c r="W141" s="441"/>
      <c r="X141" s="441"/>
      <c r="Y141" s="441"/>
      <c r="AA141" s="441"/>
      <c r="AC141" s="441"/>
      <c r="AD141" s="441"/>
      <c r="AE141" s="441"/>
    </row>
    <row r="142" spans="1:31" s="427" customFormat="1" ht="13">
      <c r="C142" s="427" t="s">
        <v>178</v>
      </c>
      <c r="E142" s="442">
        <f>SUM(E140,E136:E136,E132:E135,E129:E131,E139,E128)</f>
        <v>410071173.75</v>
      </c>
      <c r="F142" s="442">
        <f t="shared" ref="F142:H142" si="129">SUM(F140,F136:F136,F132:F135,F129:F131,F139,F128)</f>
        <v>0</v>
      </c>
      <c r="G142" s="442">
        <f t="shared" si="129"/>
        <v>0</v>
      </c>
      <c r="H142" s="442">
        <f t="shared" si="129"/>
        <v>410071173.75</v>
      </c>
      <c r="I142" s="442">
        <f t="shared" ref="I142:Y142" si="130">SUM(I128:I140)</f>
        <v>0</v>
      </c>
      <c r="J142" s="442"/>
      <c r="K142" s="442">
        <f t="shared" si="130"/>
        <v>0</v>
      </c>
      <c r="L142" s="442">
        <f t="shared" si="130"/>
        <v>0</v>
      </c>
      <c r="M142" s="442">
        <f t="shared" si="130"/>
        <v>23625000</v>
      </c>
      <c r="N142" s="442">
        <f t="shared" si="130"/>
        <v>0</v>
      </c>
      <c r="O142" s="442">
        <f t="shared" si="130"/>
        <v>23625000</v>
      </c>
      <c r="P142" s="442">
        <f t="shared" si="130"/>
        <v>1789200000</v>
      </c>
      <c r="Q142" s="442"/>
      <c r="R142" s="442">
        <f t="shared" si="130"/>
        <v>0</v>
      </c>
      <c r="S142" s="442">
        <f t="shared" si="130"/>
        <v>1673068359</v>
      </c>
      <c r="T142" s="442">
        <f t="shared" si="130"/>
        <v>187728067.80000001</v>
      </c>
      <c r="U142" s="442">
        <f t="shared" si="130"/>
        <v>0</v>
      </c>
      <c r="V142" s="442">
        <f t="shared" si="130"/>
        <v>187728067.80000001</v>
      </c>
      <c r="W142" s="442">
        <f t="shared" si="130"/>
        <v>19687500</v>
      </c>
      <c r="X142" s="442">
        <f t="shared" si="130"/>
        <v>0</v>
      </c>
      <c r="Y142" s="442">
        <f t="shared" si="130"/>
        <v>19687500</v>
      </c>
      <c r="AA142" s="442">
        <f>SUM(AA128:AA136)</f>
        <v>0</v>
      </c>
      <c r="AC142" s="442">
        <f>SUM(AC139:AC140,AC136:AC136,AC132:AC135,AC129:AC131)</f>
        <v>2314180100.5500002</v>
      </c>
      <c r="AD142" s="442">
        <f>SUM(AD128:AD136)</f>
        <v>0</v>
      </c>
      <c r="AE142" s="442">
        <f>SUM(AE128:AE140)</f>
        <v>2314180100.5500002</v>
      </c>
    </row>
    <row r="143" spans="1:31" s="423" customFormat="1">
      <c r="C143" s="423" t="s">
        <v>433</v>
      </c>
      <c r="E143" s="441"/>
      <c r="F143" s="441"/>
      <c r="G143" s="441"/>
      <c r="H143" s="441"/>
      <c r="I143" s="441"/>
      <c r="J143" s="441"/>
      <c r="K143" s="441"/>
      <c r="L143" s="441"/>
      <c r="M143" s="441"/>
      <c r="N143" s="441"/>
      <c r="O143" s="441"/>
      <c r="P143" s="441"/>
      <c r="Q143" s="441"/>
      <c r="R143" s="441"/>
      <c r="S143" s="441"/>
      <c r="T143" s="441"/>
      <c r="U143" s="441"/>
      <c r="V143" s="441"/>
      <c r="W143" s="441"/>
      <c r="X143" s="441"/>
      <c r="Y143" s="441"/>
      <c r="AA143" s="441">
        <v>0</v>
      </c>
      <c r="AC143" s="441">
        <v>0</v>
      </c>
      <c r="AD143" s="441">
        <v>0</v>
      </c>
      <c r="AE143" s="441">
        <v>0</v>
      </c>
    </row>
    <row r="144" spans="1:31" s="427" customFormat="1" ht="13">
      <c r="C144" s="427" t="s">
        <v>439</v>
      </c>
      <c r="E144" s="444">
        <f>SUM(E142:E143)</f>
        <v>410071173.75</v>
      </c>
      <c r="F144" s="444"/>
      <c r="G144" s="444"/>
      <c r="H144" s="444">
        <f>SUM(H142:H143)</f>
        <v>410071173.75</v>
      </c>
      <c r="I144" s="444">
        <f>SUM(I142:I143)</f>
        <v>0</v>
      </c>
      <c r="J144" s="444"/>
      <c r="K144" s="444"/>
      <c r="L144" s="444">
        <f>SUM(L142:L143)</f>
        <v>0</v>
      </c>
      <c r="M144" s="444">
        <f>SUM(M142:M143)</f>
        <v>23625000</v>
      </c>
      <c r="N144" s="444"/>
      <c r="O144" s="444">
        <f>SUM(O142:O143)</f>
        <v>23625000</v>
      </c>
      <c r="P144" s="444">
        <f>SUM(P142:P143)</f>
        <v>1789200000</v>
      </c>
      <c r="Q144" s="444"/>
      <c r="R144" s="444"/>
      <c r="S144" s="444">
        <f>SUM(S142:S143)</f>
        <v>1673068359</v>
      </c>
      <c r="T144" s="444">
        <f>SUM(T142:T143)</f>
        <v>187728067.80000001</v>
      </c>
      <c r="U144" s="444"/>
      <c r="V144" s="444">
        <f>SUM(V142:V143)</f>
        <v>187728067.80000001</v>
      </c>
      <c r="W144" s="444">
        <f>SUM(W142:W143)</f>
        <v>19687500</v>
      </c>
      <c r="X144" s="444"/>
      <c r="Y144" s="444">
        <f>SUM(Y142:Y143)</f>
        <v>19687500</v>
      </c>
      <c r="AA144" s="444">
        <f t="shared" ref="AA144" si="131">SUM(AA142:AA143)</f>
        <v>0</v>
      </c>
      <c r="AC144" s="444">
        <f t="shared" ref="AC144:AE144" si="132">SUM(AC142:AC143)</f>
        <v>2314180100.5500002</v>
      </c>
      <c r="AD144" s="444">
        <f t="shared" si="132"/>
        <v>0</v>
      </c>
      <c r="AE144" s="444">
        <f t="shared" si="132"/>
        <v>2314180100.5500002</v>
      </c>
    </row>
    <row r="145" spans="1:31" s="427" customFormat="1" ht="13">
      <c r="E145" s="443"/>
      <c r="F145" s="443"/>
      <c r="G145" s="443"/>
      <c r="H145" s="443"/>
      <c r="I145" s="443"/>
      <c r="J145" s="443"/>
      <c r="K145" s="443"/>
      <c r="L145" s="443"/>
      <c r="M145" s="443"/>
      <c r="N145" s="443"/>
      <c r="O145" s="443"/>
      <c r="P145" s="443"/>
      <c r="Q145" s="443"/>
      <c r="R145" s="443"/>
      <c r="S145" s="443"/>
      <c r="T145" s="443"/>
      <c r="U145" s="443"/>
      <c r="V145" s="443"/>
      <c r="W145" s="443"/>
      <c r="X145" s="443"/>
      <c r="Y145" s="443"/>
      <c r="AA145" s="443"/>
      <c r="AC145" s="443"/>
      <c r="AD145" s="443"/>
      <c r="AE145" s="443"/>
    </row>
    <row r="146" spans="1:31" s="417" customFormat="1" ht="13">
      <c r="D146" s="445" t="s">
        <v>435</v>
      </c>
      <c r="E146" s="435">
        <f>'Consol SoFP 24'!D46</f>
        <v>410071174</v>
      </c>
      <c r="F146" s="435"/>
      <c r="G146" s="435">
        <f>'Consol SoFP 24'!F46</f>
        <v>0</v>
      </c>
      <c r="H146" s="435">
        <f>'Consol SoFP 24'!H46</f>
        <v>410071174</v>
      </c>
      <c r="I146" s="435">
        <f>'Consol SoFP 24'!I46</f>
        <v>0</v>
      </c>
      <c r="J146" s="435"/>
      <c r="K146" s="435">
        <f>'Consol SoFP 24'!K46</f>
        <v>0</v>
      </c>
      <c r="L146" s="435">
        <f>'Consol SoFP 24'!L46</f>
        <v>0</v>
      </c>
      <c r="M146" s="435">
        <f>'Consol SoFP 24'!M46</f>
        <v>23625000</v>
      </c>
      <c r="N146" s="435">
        <f>'Consol SoFP 24'!N46</f>
        <v>0</v>
      </c>
      <c r="O146" s="435">
        <f>'Consol SoFP 24'!O46</f>
        <v>23625000</v>
      </c>
      <c r="P146" s="435">
        <f>'Consol SoFP 24'!P46</f>
        <v>1789200000</v>
      </c>
      <c r="Q146" s="435">
        <f>'Consol SoFP 24'!Q46</f>
        <v>-116131641</v>
      </c>
      <c r="R146" s="435">
        <f>'Consol SoFP 24'!R46</f>
        <v>0</v>
      </c>
      <c r="S146" s="435">
        <f>'Consol SoFP 24'!S46</f>
        <v>1673068359</v>
      </c>
      <c r="T146" s="435">
        <f>'Consol SoFP 24'!T46</f>
        <v>187728068</v>
      </c>
      <c r="U146" s="435">
        <f>'Consol SoFP 24'!U46</f>
        <v>0</v>
      </c>
      <c r="V146" s="435">
        <f>'Consol SoFP 24'!V46</f>
        <v>187728068</v>
      </c>
      <c r="W146" s="435">
        <f>'Consol SoFP 24'!W46</f>
        <v>19687500</v>
      </c>
      <c r="X146" s="435">
        <f>'Consol SoFP 24'!X46</f>
        <v>0</v>
      </c>
      <c r="Y146" s="435">
        <f>'Consol SoFP 24'!Y46</f>
        <v>19687500</v>
      </c>
      <c r="AA146" s="435">
        <v>0</v>
      </c>
      <c r="AC146" s="435">
        <f>'Consol SoFP 24'!AE46</f>
        <v>2314180101</v>
      </c>
      <c r="AD146" s="435">
        <f>SUM('Consol SoFP 24'!AF46:AG46)</f>
        <v>0</v>
      </c>
      <c r="AE146" s="435">
        <f>'Consol SoFP 24'!AH46</f>
        <v>2314180101</v>
      </c>
    </row>
    <row r="147" spans="1:31" s="417" customFormat="1" ht="13">
      <c r="D147" s="445" t="s">
        <v>111</v>
      </c>
      <c r="E147" s="442">
        <f>E144-E146</f>
        <v>-0.25</v>
      </c>
      <c r="F147" s="442"/>
      <c r="G147" s="442"/>
      <c r="H147" s="442">
        <f>H144-H146</f>
        <v>-0.25</v>
      </c>
      <c r="I147" s="442">
        <f>I144-I146</f>
        <v>0</v>
      </c>
      <c r="J147" s="442"/>
      <c r="K147" s="442"/>
      <c r="L147" s="442">
        <f>L144-L146</f>
        <v>0</v>
      </c>
      <c r="M147" s="442">
        <f>M144-M146</f>
        <v>0</v>
      </c>
      <c r="N147" s="442"/>
      <c r="O147" s="442">
        <f>O144-O146</f>
        <v>0</v>
      </c>
      <c r="P147" s="442">
        <f>P144-P146</f>
        <v>0</v>
      </c>
      <c r="Q147" s="442"/>
      <c r="R147" s="442"/>
      <c r="S147" s="442">
        <f>S144-S146</f>
        <v>0</v>
      </c>
      <c r="T147" s="442">
        <f>T144-T146</f>
        <v>-0.19999998807907104</v>
      </c>
      <c r="U147" s="442"/>
      <c r="V147" s="442">
        <f>V144-V146</f>
        <v>-0.19999998807907104</v>
      </c>
      <c r="W147" s="442">
        <f>W144-W146</f>
        <v>0</v>
      </c>
      <c r="X147" s="442"/>
      <c r="Y147" s="442">
        <f>Y144-Y146</f>
        <v>0</v>
      </c>
      <c r="AA147" s="442">
        <f t="shared" ref="AA147" si="133">AA144-AA146</f>
        <v>0</v>
      </c>
      <c r="AC147" s="442">
        <f t="shared" ref="AC147:AE147" si="134">AC144-AC146</f>
        <v>-0.44999980926513672</v>
      </c>
      <c r="AD147" s="442">
        <f t="shared" si="134"/>
        <v>0</v>
      </c>
      <c r="AE147" s="442">
        <f t="shared" si="134"/>
        <v>-0.44999980926513672</v>
      </c>
    </row>
    <row r="148" spans="1:31" s="417" customFormat="1" ht="13">
      <c r="E148" s="443"/>
      <c r="F148" s="443"/>
      <c r="G148" s="443"/>
      <c r="H148" s="443"/>
      <c r="I148" s="443"/>
      <c r="J148" s="443"/>
      <c r="K148" s="443"/>
      <c r="L148" s="443"/>
      <c r="M148" s="443"/>
      <c r="N148" s="443"/>
      <c r="O148" s="443"/>
      <c r="P148" s="443"/>
      <c r="Q148" s="443"/>
      <c r="R148" s="443"/>
      <c r="S148" s="443"/>
      <c r="T148" s="443"/>
      <c r="U148" s="443"/>
      <c r="V148" s="443"/>
      <c r="W148" s="443"/>
      <c r="X148" s="443"/>
      <c r="Y148" s="443"/>
      <c r="AA148" s="443"/>
      <c r="AC148" s="443"/>
      <c r="AD148" s="443"/>
      <c r="AE148" s="443"/>
    </row>
    <row r="149" spans="1:31" s="417" customFormat="1" ht="13" thickBot="1">
      <c r="A149" s="447"/>
      <c r="B149" s="447"/>
      <c r="C149" s="447"/>
      <c r="D149" s="447"/>
      <c r="E149" s="456"/>
      <c r="F149" s="456"/>
      <c r="G149" s="456"/>
      <c r="H149" s="456"/>
      <c r="I149" s="456"/>
      <c r="J149" s="456"/>
      <c r="K149" s="456"/>
      <c r="L149" s="456"/>
      <c r="M149" s="456"/>
      <c r="N149" s="456"/>
      <c r="O149" s="456"/>
      <c r="P149" s="456"/>
      <c r="Q149" s="456"/>
      <c r="R149" s="456"/>
      <c r="S149" s="456"/>
      <c r="T149" s="456"/>
      <c r="U149" s="456"/>
      <c r="V149" s="456"/>
      <c r="W149" s="456"/>
      <c r="X149" s="456"/>
      <c r="Y149" s="456"/>
      <c r="AA149" s="447"/>
      <c r="AC149" s="447"/>
      <c r="AD149" s="447"/>
      <c r="AE149" s="447"/>
    </row>
    <row r="150" spans="1:31" s="417" customFormat="1" ht="13">
      <c r="B150" s="414" t="s">
        <v>446</v>
      </c>
    </row>
    <row r="151" spans="1:31" s="417" customFormat="1" ht="13">
      <c r="A151" s="423"/>
      <c r="B151" s="423"/>
      <c r="C151" s="423"/>
      <c r="D151" s="423"/>
      <c r="E151" s="428" t="s">
        <v>426</v>
      </c>
      <c r="F151" s="428" t="s">
        <v>6</v>
      </c>
      <c r="G151" s="428" t="s">
        <v>334</v>
      </c>
      <c r="H151" s="428" t="s">
        <v>427</v>
      </c>
      <c r="I151" s="428" t="s">
        <v>426</v>
      </c>
      <c r="J151" s="428" t="s">
        <v>6</v>
      </c>
      <c r="K151" s="428" t="s">
        <v>334</v>
      </c>
      <c r="L151" s="428" t="s">
        <v>427</v>
      </c>
      <c r="M151" s="428" t="s">
        <v>426</v>
      </c>
      <c r="N151" s="428" t="s">
        <v>334</v>
      </c>
      <c r="O151" s="428" t="s">
        <v>427</v>
      </c>
      <c r="P151" s="428" t="s">
        <v>426</v>
      </c>
      <c r="Q151" s="428" t="s">
        <v>6</v>
      </c>
      <c r="R151" s="428" t="s">
        <v>334</v>
      </c>
      <c r="S151" s="428" t="s">
        <v>427</v>
      </c>
      <c r="T151" s="428" t="s">
        <v>426</v>
      </c>
      <c r="U151" s="428" t="s">
        <v>334</v>
      </c>
      <c r="V151" s="428" t="s">
        <v>427</v>
      </c>
      <c r="W151" s="428" t="s">
        <v>426</v>
      </c>
      <c r="X151" s="428" t="s">
        <v>334</v>
      </c>
      <c r="Y151" s="428" t="s">
        <v>427</v>
      </c>
      <c r="Z151" s="423"/>
      <c r="AA151" s="428" t="s">
        <v>428</v>
      </c>
      <c r="AB151" s="423"/>
      <c r="AC151" s="428" t="s">
        <v>11</v>
      </c>
      <c r="AD151" s="428" t="s">
        <v>429</v>
      </c>
      <c r="AE151" s="428" t="s">
        <v>13</v>
      </c>
    </row>
    <row r="152" spans="1:31" s="417" customFormat="1" ht="13">
      <c r="A152" s="423"/>
      <c r="B152" s="423"/>
      <c r="C152" s="423"/>
      <c r="D152" s="423"/>
      <c r="E152" s="429">
        <v>45657</v>
      </c>
      <c r="F152" s="429"/>
      <c r="G152" s="429"/>
      <c r="H152" s="429">
        <v>45657</v>
      </c>
      <c r="I152" s="429">
        <v>45657</v>
      </c>
      <c r="J152" s="429"/>
      <c r="K152" s="429"/>
      <c r="L152" s="429">
        <v>45657</v>
      </c>
      <c r="M152" s="429">
        <v>45657</v>
      </c>
      <c r="N152" s="429"/>
      <c r="O152" s="429">
        <v>45657</v>
      </c>
      <c r="P152" s="429">
        <v>45657</v>
      </c>
      <c r="Q152" s="429"/>
      <c r="R152" s="429"/>
      <c r="S152" s="429">
        <v>45657</v>
      </c>
      <c r="T152" s="429">
        <v>45657</v>
      </c>
      <c r="U152" s="429"/>
      <c r="V152" s="429">
        <v>45657</v>
      </c>
      <c r="W152" s="429">
        <v>45657</v>
      </c>
      <c r="X152" s="429"/>
      <c r="Y152" s="429">
        <v>45657</v>
      </c>
      <c r="Z152" s="423"/>
      <c r="AA152" s="429">
        <v>45657</v>
      </c>
      <c r="AB152" s="423"/>
      <c r="AC152" s="429">
        <v>45657</v>
      </c>
      <c r="AD152" s="429">
        <v>45657</v>
      </c>
      <c r="AE152" s="429">
        <v>45657</v>
      </c>
    </row>
    <row r="153" spans="1:31" s="423" customFormat="1" ht="13" customHeight="1">
      <c r="C153" s="430"/>
      <c r="E153" s="431"/>
      <c r="F153" s="431"/>
      <c r="G153" s="431"/>
      <c r="H153" s="431"/>
      <c r="I153" s="431"/>
      <c r="J153" s="431"/>
      <c r="K153" s="431"/>
      <c r="L153" s="431"/>
      <c r="M153" s="431"/>
      <c r="N153" s="431"/>
      <c r="O153" s="431"/>
      <c r="P153" s="431"/>
      <c r="Q153" s="431"/>
      <c r="R153" s="431"/>
      <c r="S153" s="431"/>
      <c r="T153" s="431"/>
      <c r="U153" s="431"/>
      <c r="V153" s="431"/>
      <c r="W153" s="431"/>
      <c r="X153" s="431"/>
      <c r="Y153" s="431"/>
      <c r="AA153" s="432"/>
      <c r="AC153" s="432"/>
      <c r="AD153" s="432"/>
      <c r="AE153" s="432"/>
    </row>
    <row r="154" spans="1:31" s="423" customFormat="1">
      <c r="A154" s="433" t="s">
        <v>640</v>
      </c>
      <c r="C154" s="423" t="s">
        <v>543</v>
      </c>
      <c r="D154" s="434"/>
      <c r="E154" s="435">
        <v>0</v>
      </c>
      <c r="F154" s="435">
        <v>0</v>
      </c>
      <c r="G154" s="435"/>
      <c r="H154" s="435">
        <f t="shared" ref="H154:H165" si="135">SUM(E154:G154)</f>
        <v>0</v>
      </c>
      <c r="I154" s="435">
        <v>562427707791.59998</v>
      </c>
      <c r="J154" s="435">
        <v>-562427707791.59998</v>
      </c>
      <c r="K154" s="435">
        <f>'Consol SoFP 24'!K60</f>
        <v>0</v>
      </c>
      <c r="L154" s="435">
        <f t="shared" ref="L154:L161" si="136">SUM(I154:K154)</f>
        <v>0</v>
      </c>
      <c r="M154" s="435">
        <v>0</v>
      </c>
      <c r="N154" s="435"/>
      <c r="O154" s="435">
        <f t="shared" ref="O154:O161" si="137">SUM(M154:N154)</f>
        <v>0</v>
      </c>
      <c r="P154" s="435">
        <v>0</v>
      </c>
      <c r="Q154" s="435"/>
      <c r="R154" s="435"/>
      <c r="S154" s="435">
        <f t="shared" ref="S154:S161" si="138">SUM(P154:R154)</f>
        <v>0</v>
      </c>
      <c r="T154" s="435">
        <v>0</v>
      </c>
      <c r="U154" s="435"/>
      <c r="V154" s="435">
        <f t="shared" ref="V154:V165" si="139">SUM(T154:U154)</f>
        <v>0</v>
      </c>
      <c r="W154" s="435">
        <v>0</v>
      </c>
      <c r="X154" s="435"/>
      <c r="Y154" s="435">
        <f t="shared" ref="Y154:Y165" si="140">SUM(W154:X154)</f>
        <v>0</v>
      </c>
      <c r="AA154" s="435"/>
      <c r="AC154" s="435">
        <f t="shared" ref="AC154:AC161" si="141">SUM(H154,L154,O154,S154,V154,Y154)</f>
        <v>0</v>
      </c>
      <c r="AD154" s="435"/>
      <c r="AE154" s="435">
        <f>SUM(AC154:AD154)</f>
        <v>0</v>
      </c>
    </row>
    <row r="155" spans="1:31" s="423" customFormat="1">
      <c r="A155" s="423" t="s">
        <v>688</v>
      </c>
      <c r="D155" s="423" t="s">
        <v>546</v>
      </c>
      <c r="E155" s="435">
        <v>0</v>
      </c>
      <c r="F155" s="435"/>
      <c r="G155" s="435"/>
      <c r="H155" s="435">
        <f t="shared" si="135"/>
        <v>0</v>
      </c>
      <c r="I155" s="435">
        <v>0</v>
      </c>
      <c r="J155" s="435">
        <v>0</v>
      </c>
      <c r="K155" s="435"/>
      <c r="L155" s="435">
        <f t="shared" si="136"/>
        <v>0</v>
      </c>
      <c r="M155" s="435">
        <v>0</v>
      </c>
      <c r="N155" s="435"/>
      <c r="O155" s="435">
        <f t="shared" si="137"/>
        <v>0</v>
      </c>
      <c r="P155" s="435">
        <v>0</v>
      </c>
      <c r="Q155" s="435"/>
      <c r="R155" s="435"/>
      <c r="S155" s="435">
        <f t="shared" si="138"/>
        <v>0</v>
      </c>
      <c r="T155" s="435">
        <v>0</v>
      </c>
      <c r="U155" s="435"/>
      <c r="V155" s="435">
        <f t="shared" si="139"/>
        <v>0</v>
      </c>
      <c r="W155" s="435">
        <v>0</v>
      </c>
      <c r="X155" s="435"/>
      <c r="Y155" s="435">
        <f t="shared" si="140"/>
        <v>0</v>
      </c>
      <c r="AA155" s="435"/>
      <c r="AC155" s="435">
        <f t="shared" si="141"/>
        <v>0</v>
      </c>
      <c r="AD155" s="435"/>
      <c r="AE155" s="435">
        <f>SUM(AC155:AD155)</f>
        <v>0</v>
      </c>
    </row>
    <row r="156" spans="1:31" s="423" customFormat="1">
      <c r="D156" s="423" t="s">
        <v>552</v>
      </c>
      <c r="E156" s="435">
        <v>0</v>
      </c>
      <c r="F156" s="435">
        <v>0</v>
      </c>
      <c r="G156" s="435"/>
      <c r="H156" s="435">
        <f t="shared" si="135"/>
        <v>0</v>
      </c>
      <c r="I156" s="435">
        <v>0</v>
      </c>
      <c r="J156" s="435">
        <v>0</v>
      </c>
      <c r="K156" s="435"/>
      <c r="L156" s="435">
        <f t="shared" si="136"/>
        <v>0</v>
      </c>
      <c r="M156" s="435">
        <v>0</v>
      </c>
      <c r="N156" s="435"/>
      <c r="O156" s="435">
        <f t="shared" si="137"/>
        <v>0</v>
      </c>
      <c r="P156" s="435">
        <v>0</v>
      </c>
      <c r="Q156" s="435"/>
      <c r="R156" s="435"/>
      <c r="S156" s="435">
        <f t="shared" si="138"/>
        <v>0</v>
      </c>
      <c r="T156" s="435">
        <v>0</v>
      </c>
      <c r="U156" s="435"/>
      <c r="V156" s="435">
        <f t="shared" si="139"/>
        <v>0</v>
      </c>
      <c r="W156" s="435">
        <v>0</v>
      </c>
      <c r="X156" s="435"/>
      <c r="Y156" s="435">
        <f t="shared" si="140"/>
        <v>0</v>
      </c>
      <c r="AA156" s="435"/>
      <c r="AC156" s="435">
        <f t="shared" si="141"/>
        <v>0</v>
      </c>
      <c r="AD156" s="435"/>
      <c r="AE156" s="435">
        <f t="shared" ref="AE156:AE165" si="142">SUM(AC156:AD156)</f>
        <v>0</v>
      </c>
    </row>
    <row r="157" spans="1:31" s="423" customFormat="1">
      <c r="D157" s="423" t="s">
        <v>547</v>
      </c>
      <c r="E157" s="435">
        <v>0</v>
      </c>
      <c r="F157" s="435">
        <v>0</v>
      </c>
      <c r="G157" s="435"/>
      <c r="H157" s="435">
        <f t="shared" si="135"/>
        <v>0</v>
      </c>
      <c r="I157" s="435">
        <v>0</v>
      </c>
      <c r="J157" s="435">
        <v>0</v>
      </c>
      <c r="K157" s="435"/>
      <c r="L157" s="435">
        <f t="shared" si="136"/>
        <v>0</v>
      </c>
      <c r="M157" s="435">
        <v>0</v>
      </c>
      <c r="N157" s="435"/>
      <c r="O157" s="435">
        <f t="shared" si="137"/>
        <v>0</v>
      </c>
      <c r="P157" s="435">
        <v>0</v>
      </c>
      <c r="Q157" s="435"/>
      <c r="R157" s="435"/>
      <c r="S157" s="435">
        <f t="shared" si="138"/>
        <v>0</v>
      </c>
      <c r="T157" s="435">
        <v>0</v>
      </c>
      <c r="U157" s="435"/>
      <c r="V157" s="435">
        <f t="shared" si="139"/>
        <v>0</v>
      </c>
      <c r="W157" s="435">
        <v>0</v>
      </c>
      <c r="X157" s="435"/>
      <c r="Y157" s="435">
        <f t="shared" si="140"/>
        <v>0</v>
      </c>
      <c r="AA157" s="435"/>
      <c r="AC157" s="435">
        <f t="shared" si="141"/>
        <v>0</v>
      </c>
      <c r="AD157" s="435"/>
      <c r="AE157" s="435">
        <f t="shared" si="142"/>
        <v>0</v>
      </c>
    </row>
    <row r="158" spans="1:31" s="423" customFormat="1">
      <c r="D158" s="423" t="s">
        <v>548</v>
      </c>
      <c r="E158" s="435">
        <v>0</v>
      </c>
      <c r="F158" s="435">
        <v>0</v>
      </c>
      <c r="G158" s="435"/>
      <c r="H158" s="435">
        <f t="shared" si="135"/>
        <v>0</v>
      </c>
      <c r="I158" s="435">
        <v>0</v>
      </c>
      <c r="J158" s="435">
        <v>0</v>
      </c>
      <c r="K158" s="435"/>
      <c r="L158" s="435">
        <f t="shared" si="136"/>
        <v>0</v>
      </c>
      <c r="M158" s="435"/>
      <c r="N158" s="435"/>
      <c r="O158" s="435">
        <f t="shared" si="137"/>
        <v>0</v>
      </c>
      <c r="P158" s="435">
        <v>0</v>
      </c>
      <c r="Q158" s="435"/>
      <c r="R158" s="435"/>
      <c r="S158" s="435">
        <f t="shared" si="138"/>
        <v>0</v>
      </c>
      <c r="T158" s="435"/>
      <c r="U158" s="435"/>
      <c r="V158" s="435">
        <f t="shared" si="139"/>
        <v>0</v>
      </c>
      <c r="W158" s="435">
        <v>0</v>
      </c>
      <c r="X158" s="435"/>
      <c r="Y158" s="435">
        <f t="shared" si="140"/>
        <v>0</v>
      </c>
      <c r="AA158" s="435"/>
      <c r="AC158" s="435">
        <f t="shared" si="141"/>
        <v>0</v>
      </c>
      <c r="AD158" s="435"/>
      <c r="AE158" s="435">
        <f t="shared" si="142"/>
        <v>0</v>
      </c>
    </row>
    <row r="159" spans="1:31" s="423" customFormat="1">
      <c r="D159" s="423" t="s">
        <v>545</v>
      </c>
      <c r="E159" s="435">
        <v>0</v>
      </c>
      <c r="F159" s="435">
        <v>0</v>
      </c>
      <c r="G159" s="435"/>
      <c r="H159" s="435">
        <f t="shared" si="135"/>
        <v>0</v>
      </c>
      <c r="I159" s="435">
        <v>0</v>
      </c>
      <c r="J159" s="435">
        <v>0</v>
      </c>
      <c r="K159" s="435"/>
      <c r="L159" s="435">
        <f t="shared" si="136"/>
        <v>0</v>
      </c>
      <c r="M159" s="435">
        <v>0</v>
      </c>
      <c r="N159" s="435"/>
      <c r="O159" s="435">
        <f t="shared" si="137"/>
        <v>0</v>
      </c>
      <c r="P159" s="435">
        <v>0</v>
      </c>
      <c r="Q159" s="435"/>
      <c r="R159" s="435"/>
      <c r="S159" s="435">
        <f t="shared" si="138"/>
        <v>0</v>
      </c>
      <c r="T159" s="435">
        <v>0</v>
      </c>
      <c r="U159" s="435"/>
      <c r="V159" s="435">
        <f t="shared" si="139"/>
        <v>0</v>
      </c>
      <c r="W159" s="435">
        <v>0</v>
      </c>
      <c r="X159" s="435"/>
      <c r="Y159" s="435">
        <f t="shared" si="140"/>
        <v>0</v>
      </c>
      <c r="AA159" s="435"/>
      <c r="AC159" s="435">
        <f t="shared" si="141"/>
        <v>0</v>
      </c>
      <c r="AD159" s="435"/>
      <c r="AE159" s="435">
        <f t="shared" si="142"/>
        <v>0</v>
      </c>
    </row>
    <row r="160" spans="1:31" s="423" customFormat="1">
      <c r="D160" s="423" t="s">
        <v>549</v>
      </c>
      <c r="E160" s="435">
        <v>0</v>
      </c>
      <c r="F160" s="435">
        <v>0</v>
      </c>
      <c r="G160" s="435"/>
      <c r="H160" s="435">
        <f t="shared" si="135"/>
        <v>0</v>
      </c>
      <c r="I160" s="435">
        <v>0</v>
      </c>
      <c r="J160" s="435">
        <v>0</v>
      </c>
      <c r="K160" s="435"/>
      <c r="L160" s="435">
        <f t="shared" si="136"/>
        <v>0</v>
      </c>
      <c r="M160" s="435">
        <v>0</v>
      </c>
      <c r="N160" s="435"/>
      <c r="O160" s="435">
        <f t="shared" si="137"/>
        <v>0</v>
      </c>
      <c r="P160" s="435">
        <v>0</v>
      </c>
      <c r="Q160" s="435"/>
      <c r="R160" s="435"/>
      <c r="S160" s="435">
        <f t="shared" si="138"/>
        <v>0</v>
      </c>
      <c r="T160" s="435">
        <v>0</v>
      </c>
      <c r="U160" s="435"/>
      <c r="V160" s="435">
        <f t="shared" si="139"/>
        <v>0</v>
      </c>
      <c r="W160" s="435">
        <v>0</v>
      </c>
      <c r="X160" s="435"/>
      <c r="Y160" s="435">
        <f t="shared" si="140"/>
        <v>0</v>
      </c>
      <c r="AA160" s="435"/>
      <c r="AC160" s="435">
        <f t="shared" si="141"/>
        <v>0</v>
      </c>
      <c r="AD160" s="435"/>
      <c r="AE160" s="435">
        <f t="shared" si="142"/>
        <v>0</v>
      </c>
    </row>
    <row r="161" spans="1:31" s="423" customFormat="1">
      <c r="A161" s="433"/>
      <c r="D161" s="434" t="s">
        <v>544</v>
      </c>
      <c r="E161" s="435">
        <v>0</v>
      </c>
      <c r="F161" s="435">
        <v>0</v>
      </c>
      <c r="G161" s="435"/>
      <c r="H161" s="435">
        <f t="shared" si="135"/>
        <v>0</v>
      </c>
      <c r="I161" s="435">
        <v>0</v>
      </c>
      <c r="J161" s="435">
        <v>0</v>
      </c>
      <c r="K161" s="435"/>
      <c r="L161" s="435">
        <f t="shared" si="136"/>
        <v>0</v>
      </c>
      <c r="M161" s="435">
        <v>0</v>
      </c>
      <c r="N161" s="435"/>
      <c r="O161" s="435">
        <f t="shared" si="137"/>
        <v>0</v>
      </c>
      <c r="P161" s="435"/>
      <c r="Q161" s="435"/>
      <c r="R161" s="435"/>
      <c r="S161" s="435">
        <f t="shared" si="138"/>
        <v>0</v>
      </c>
      <c r="T161" s="435">
        <v>0</v>
      </c>
      <c r="U161" s="435"/>
      <c r="V161" s="435">
        <f t="shared" si="139"/>
        <v>0</v>
      </c>
      <c r="W161" s="435"/>
      <c r="X161" s="435"/>
      <c r="Y161" s="435">
        <f t="shared" si="140"/>
        <v>0</v>
      </c>
      <c r="AA161" s="435"/>
      <c r="AC161" s="435">
        <f t="shared" si="141"/>
        <v>0</v>
      </c>
      <c r="AD161" s="435"/>
      <c r="AE161" s="435">
        <f t="shared" si="142"/>
        <v>0</v>
      </c>
    </row>
    <row r="162" spans="1:31" s="423" customFormat="1">
      <c r="A162" s="433"/>
      <c r="D162" s="434"/>
      <c r="E162" s="435"/>
      <c r="F162" s="435"/>
      <c r="G162" s="435"/>
      <c r="H162" s="435"/>
      <c r="I162" s="435"/>
      <c r="J162" s="435"/>
      <c r="K162" s="435"/>
      <c r="L162" s="435"/>
      <c r="M162" s="435"/>
      <c r="N162" s="435"/>
      <c r="O162" s="435"/>
      <c r="P162" s="435"/>
      <c r="Q162" s="435"/>
      <c r="R162" s="435"/>
      <c r="S162" s="435"/>
      <c r="T162" s="435"/>
      <c r="U162" s="435"/>
      <c r="V162" s="435"/>
      <c r="W162" s="435"/>
      <c r="X162" s="435"/>
      <c r="Y162" s="435"/>
      <c r="AA162" s="435"/>
      <c r="AC162" s="435"/>
      <c r="AD162" s="435"/>
      <c r="AE162" s="435"/>
    </row>
    <row r="163" spans="1:31" s="423" customFormat="1">
      <c r="A163" s="433"/>
      <c r="C163" s="438" t="s">
        <v>661</v>
      </c>
      <c r="D163" s="439"/>
      <c r="E163" s="435"/>
      <c r="F163" s="435"/>
      <c r="G163" s="435"/>
      <c r="H163" s="435"/>
      <c r="I163" s="435"/>
      <c r="J163" s="435"/>
      <c r="K163" s="435"/>
      <c r="L163" s="435"/>
      <c r="M163" s="435"/>
      <c r="N163" s="435"/>
      <c r="O163" s="435"/>
      <c r="P163" s="435">
        <v>0</v>
      </c>
      <c r="Q163" s="435"/>
      <c r="R163" s="435"/>
      <c r="S163" s="435"/>
      <c r="T163" s="435"/>
      <c r="U163" s="435"/>
      <c r="V163" s="435"/>
      <c r="W163" s="435">
        <v>0</v>
      </c>
      <c r="X163" s="435"/>
      <c r="Y163" s="435"/>
      <c r="AA163" s="435"/>
      <c r="AC163" s="457"/>
      <c r="AD163" s="435"/>
      <c r="AE163" s="435"/>
    </row>
    <row r="164" spans="1:31" s="423" customFormat="1">
      <c r="A164" s="433"/>
      <c r="D164" s="423" t="s">
        <v>551</v>
      </c>
      <c r="E164" s="435">
        <v>0</v>
      </c>
      <c r="F164" s="435">
        <v>-775151124.29999995</v>
      </c>
      <c r="G164" s="435">
        <f>'Adjustment Consol'!J25</f>
        <v>-2289691252.7999997</v>
      </c>
      <c r="H164" s="435">
        <f t="shared" si="135"/>
        <v>-3064842377.0999994</v>
      </c>
      <c r="I164" s="435">
        <v>0</v>
      </c>
      <c r="J164" s="435"/>
      <c r="K164" s="435"/>
      <c r="L164" s="435">
        <f t="shared" ref="L164:L165" si="143">SUM(I164:K164)</f>
        <v>0</v>
      </c>
      <c r="M164" s="435">
        <v>0</v>
      </c>
      <c r="N164" s="435"/>
      <c r="O164" s="435">
        <f t="shared" ref="O164:O165" si="144">SUM(M164:N164)</f>
        <v>0</v>
      </c>
      <c r="P164" s="435">
        <v>-64992375</v>
      </c>
      <c r="Q164" s="435">
        <v>0</v>
      </c>
      <c r="R164" s="435"/>
      <c r="S164" s="435">
        <f>SUM(P164:R164)</f>
        <v>-64992375</v>
      </c>
      <c r="T164" s="435">
        <v>0</v>
      </c>
      <c r="U164" s="435"/>
      <c r="V164" s="435">
        <f t="shared" si="139"/>
        <v>0</v>
      </c>
      <c r="W164" s="435">
        <v>0</v>
      </c>
      <c r="X164" s="435"/>
      <c r="Y164" s="435">
        <f t="shared" si="140"/>
        <v>0</v>
      </c>
      <c r="AA164" s="435"/>
      <c r="AC164" s="435">
        <f t="shared" ref="AC164:AC165" si="145">SUM(H164,L164,O164,S164,V164,Y164)</f>
        <v>-3129834752.0999994</v>
      </c>
      <c r="AD164" s="435"/>
      <c r="AE164" s="435">
        <f t="shared" si="142"/>
        <v>-3129834752.0999994</v>
      </c>
    </row>
    <row r="165" spans="1:31" s="423" customFormat="1">
      <c r="A165" s="433"/>
      <c r="D165" s="423" t="s">
        <v>442</v>
      </c>
      <c r="E165" s="435">
        <v>0</v>
      </c>
      <c r="F165" s="435"/>
      <c r="G165" s="435"/>
      <c r="H165" s="435">
        <f t="shared" si="135"/>
        <v>0</v>
      </c>
      <c r="I165" s="435">
        <v>0</v>
      </c>
      <c r="J165" s="435"/>
      <c r="K165" s="435"/>
      <c r="L165" s="435">
        <f t="shared" si="143"/>
        <v>0</v>
      </c>
      <c r="M165" s="435">
        <v>0</v>
      </c>
      <c r="N165" s="435"/>
      <c r="O165" s="435">
        <f t="shared" si="144"/>
        <v>0</v>
      </c>
      <c r="P165" s="435">
        <v>-2480625</v>
      </c>
      <c r="Q165" s="435">
        <v>0</v>
      </c>
      <c r="R165" s="435"/>
      <c r="S165" s="435">
        <f>SUM(P165:R165)</f>
        <v>-2480625</v>
      </c>
      <c r="T165" s="435">
        <v>0</v>
      </c>
      <c r="U165" s="435"/>
      <c r="V165" s="435">
        <f t="shared" si="139"/>
        <v>0</v>
      </c>
      <c r="W165" s="435"/>
      <c r="X165" s="435"/>
      <c r="Y165" s="435">
        <f t="shared" si="140"/>
        <v>0</v>
      </c>
      <c r="AA165" s="435"/>
      <c r="AC165" s="435">
        <f t="shared" si="145"/>
        <v>-2480625</v>
      </c>
      <c r="AD165" s="435"/>
      <c r="AE165" s="435">
        <f t="shared" si="142"/>
        <v>-2480625</v>
      </c>
    </row>
    <row r="166" spans="1:31" s="423" customFormat="1">
      <c r="A166" s="417"/>
      <c r="B166" s="417"/>
      <c r="C166" s="417"/>
      <c r="D166" s="417"/>
      <c r="E166" s="435"/>
      <c r="F166" s="435"/>
      <c r="G166" s="435"/>
      <c r="H166" s="435"/>
      <c r="I166" s="435"/>
      <c r="J166" s="435"/>
      <c r="K166" s="435"/>
      <c r="L166" s="435"/>
      <c r="M166" s="435"/>
      <c r="N166" s="435"/>
      <c r="O166" s="435"/>
      <c r="P166" s="435"/>
      <c r="Q166" s="435"/>
      <c r="R166" s="435"/>
      <c r="S166" s="435"/>
      <c r="T166" s="435"/>
      <c r="U166" s="435"/>
      <c r="V166" s="435"/>
      <c r="W166" s="435"/>
      <c r="X166" s="435"/>
      <c r="Y166" s="435"/>
      <c r="AA166" s="417"/>
      <c r="AC166" s="417"/>
      <c r="AD166" s="417"/>
      <c r="AE166" s="417"/>
    </row>
    <row r="167" spans="1:31" s="417" customFormat="1" ht="13.5" thickBot="1">
      <c r="E167" s="458">
        <f t="shared" ref="E167:Y167" si="146">SUM(E154:E165)</f>
        <v>0</v>
      </c>
      <c r="F167" s="458"/>
      <c r="G167" s="458">
        <f t="shared" si="146"/>
        <v>-2289691252.7999997</v>
      </c>
      <c r="H167" s="458">
        <f t="shared" si="146"/>
        <v>-3064842377.0999994</v>
      </c>
      <c r="I167" s="458">
        <f t="shared" si="146"/>
        <v>562427707791.59998</v>
      </c>
      <c r="J167" s="458">
        <f t="shared" si="146"/>
        <v>-562427707791.59998</v>
      </c>
      <c r="K167" s="458">
        <f t="shared" si="146"/>
        <v>0</v>
      </c>
      <c r="L167" s="458">
        <f t="shared" si="146"/>
        <v>0</v>
      </c>
      <c r="M167" s="458">
        <f t="shared" si="146"/>
        <v>0</v>
      </c>
      <c r="N167" s="458">
        <f t="shared" si="146"/>
        <v>0</v>
      </c>
      <c r="O167" s="458">
        <f t="shared" si="146"/>
        <v>0</v>
      </c>
      <c r="P167" s="458">
        <f t="shared" si="146"/>
        <v>-67473000</v>
      </c>
      <c r="Q167" s="458">
        <f t="shared" si="146"/>
        <v>0</v>
      </c>
      <c r="R167" s="458">
        <f t="shared" si="146"/>
        <v>0</v>
      </c>
      <c r="S167" s="458">
        <f t="shared" si="146"/>
        <v>-67473000</v>
      </c>
      <c r="T167" s="458">
        <f t="shared" si="146"/>
        <v>0</v>
      </c>
      <c r="U167" s="458">
        <f t="shared" si="146"/>
        <v>0</v>
      </c>
      <c r="V167" s="458">
        <f t="shared" si="146"/>
        <v>0</v>
      </c>
      <c r="W167" s="458">
        <f t="shared" si="146"/>
        <v>0</v>
      </c>
      <c r="X167" s="458">
        <f t="shared" si="146"/>
        <v>0</v>
      </c>
      <c r="Y167" s="458">
        <f t="shared" si="146"/>
        <v>0</v>
      </c>
      <c r="AA167" s="458">
        <f>SUM(AA154:AA165)</f>
        <v>0</v>
      </c>
      <c r="AC167" s="458">
        <f>SUM(AC154:AC165)</f>
        <v>-3132315377.0999994</v>
      </c>
      <c r="AD167" s="458">
        <f>SUM(AD154:AD165)</f>
        <v>0</v>
      </c>
      <c r="AE167" s="458">
        <f>SUM(AE154:AE165)</f>
        <v>-3132315377.0999994</v>
      </c>
    </row>
    <row r="168" spans="1:31" s="417" customFormat="1" ht="13.5" thickTop="1">
      <c r="E168" s="443"/>
      <c r="F168" s="443"/>
      <c r="G168" s="443"/>
      <c r="H168" s="443"/>
      <c r="I168" s="443"/>
      <c r="J168" s="443"/>
      <c r="K168" s="443"/>
      <c r="L168" s="443"/>
      <c r="M168" s="443"/>
      <c r="N168" s="443"/>
      <c r="O168" s="443"/>
      <c r="P168" s="443"/>
      <c r="Q168" s="443"/>
      <c r="R168" s="443"/>
      <c r="S168" s="443"/>
      <c r="T168" s="443"/>
      <c r="U168" s="443"/>
      <c r="V168" s="443"/>
      <c r="W168" s="443"/>
      <c r="X168" s="443"/>
      <c r="Y168" s="443"/>
      <c r="AA168" s="443"/>
      <c r="AC168" s="443"/>
      <c r="AD168" s="443"/>
      <c r="AE168" s="443"/>
    </row>
    <row r="169" spans="1:31" s="417" customFormat="1" ht="13">
      <c r="D169" s="445" t="s">
        <v>435</v>
      </c>
      <c r="E169" s="446">
        <f>'Consol SoFP 24'!D60</f>
        <v>0</v>
      </c>
      <c r="F169" s="446"/>
      <c r="G169" s="446">
        <f>'Consol SoFP 24'!F60</f>
        <v>0</v>
      </c>
      <c r="H169" s="446">
        <f>'Consol SoFP 24'!H60</f>
        <v>-3064842376.7999997</v>
      </c>
      <c r="I169" s="446">
        <f>'Consol SoFP 24'!I60</f>
        <v>562427707792</v>
      </c>
      <c r="J169" s="446">
        <f>'Consol SoFP 24'!J60</f>
        <v>-562427707792</v>
      </c>
      <c r="K169" s="446">
        <f>'Consol SoFP 24'!K60</f>
        <v>0</v>
      </c>
      <c r="L169" s="446">
        <f>'Consol SoFP 24'!L60</f>
        <v>0</v>
      </c>
      <c r="M169" s="446">
        <f>'Consol SoFP 24'!M60</f>
        <v>0</v>
      </c>
      <c r="N169" s="446">
        <f>'Consol SoFP 24'!N60</f>
        <v>0</v>
      </c>
      <c r="O169" s="446">
        <f>'Consol SoFP 24'!O60</f>
        <v>0</v>
      </c>
      <c r="P169" s="446">
        <f>'Consol SoFP 24'!P60</f>
        <v>-67473000</v>
      </c>
      <c r="Q169" s="446">
        <f>'Consol SoFP 24'!Q60</f>
        <v>0</v>
      </c>
      <c r="R169" s="446">
        <f>'Consol SoFP 24'!R60</f>
        <v>0</v>
      </c>
      <c r="S169" s="446">
        <f>'Consol SoFP 24'!S60</f>
        <v>-67473000</v>
      </c>
      <c r="T169" s="446">
        <f>'Consol SoFP 24'!T60</f>
        <v>0</v>
      </c>
      <c r="U169" s="446">
        <f>'Consol SoFP 24'!U60</f>
        <v>0</v>
      </c>
      <c r="V169" s="446">
        <f>'Consol SoFP 24'!V60</f>
        <v>0</v>
      </c>
      <c r="W169" s="446">
        <f>'Consol SoFP 24'!W60</f>
        <v>0</v>
      </c>
      <c r="X169" s="446">
        <f>'Consol SoFP 24'!X60</f>
        <v>0</v>
      </c>
      <c r="Y169" s="446">
        <f>'Consol SoFP 24'!Y60</f>
        <v>0</v>
      </c>
      <c r="AA169" s="204">
        <v>0</v>
      </c>
      <c r="AC169" s="204">
        <f>'Consol SoFP 24'!AE60</f>
        <v>-3132315376.7999997</v>
      </c>
      <c r="AD169" s="204">
        <f>SUM('Consol SoFP 24'!AF60:AG60)</f>
        <v>0</v>
      </c>
      <c r="AE169" s="204">
        <f>'Consol SoFP 24'!AH60</f>
        <v>-3132315377</v>
      </c>
    </row>
    <row r="170" spans="1:31" s="417" customFormat="1" ht="13">
      <c r="D170" s="445" t="s">
        <v>111</v>
      </c>
      <c r="E170" s="442">
        <f>ROUND(E167-E169,0)</f>
        <v>0</v>
      </c>
      <c r="F170" s="442"/>
      <c r="G170" s="442"/>
      <c r="H170" s="442">
        <f>ROUND(H167-H169,0)</f>
        <v>0</v>
      </c>
      <c r="I170" s="442">
        <f t="shared" ref="I170:L170" si="147">ROUND(I167-I169,0)</f>
        <v>0</v>
      </c>
      <c r="J170" s="442"/>
      <c r="K170" s="442">
        <f t="shared" si="147"/>
        <v>0</v>
      </c>
      <c r="L170" s="442">
        <f t="shared" si="147"/>
        <v>0</v>
      </c>
      <c r="M170" s="442">
        <f t="shared" ref="M170:O170" si="148">ROUND(M167-M169,0)</f>
        <v>0</v>
      </c>
      <c r="N170" s="442">
        <f t="shared" si="148"/>
        <v>0</v>
      </c>
      <c r="O170" s="442">
        <f t="shared" si="148"/>
        <v>0</v>
      </c>
      <c r="P170" s="442">
        <f t="shared" ref="P170" si="149">P167-P169</f>
        <v>0</v>
      </c>
      <c r="Q170" s="442"/>
      <c r="R170" s="442"/>
      <c r="S170" s="442">
        <f t="shared" ref="S170" si="150">S167-S169</f>
        <v>0</v>
      </c>
      <c r="T170" s="442">
        <f t="shared" ref="T170:V170" si="151">ROUND(T167-T169,0)</f>
        <v>0</v>
      </c>
      <c r="U170" s="442">
        <f t="shared" si="151"/>
        <v>0</v>
      </c>
      <c r="V170" s="442">
        <f t="shared" si="151"/>
        <v>0</v>
      </c>
      <c r="W170" s="442">
        <f t="shared" ref="W170" si="152">W167-W169</f>
        <v>0</v>
      </c>
      <c r="X170" s="442"/>
      <c r="Y170" s="442">
        <f t="shared" ref="Y170" si="153">Y167-Y169</f>
        <v>0</v>
      </c>
      <c r="AA170" s="442">
        <f t="shared" ref="AA170" si="154">AA167-AA169</f>
        <v>0</v>
      </c>
      <c r="AC170" s="442">
        <f>ROUND(AC167-AC169,0)</f>
        <v>0</v>
      </c>
      <c r="AD170" s="442">
        <f t="shared" ref="AD170:AE170" si="155">ROUND(AD167-AD169,0)</f>
        <v>0</v>
      </c>
      <c r="AE170" s="442">
        <f t="shared" si="155"/>
        <v>0</v>
      </c>
    </row>
    <row r="171" spans="1:31" s="417" customFormat="1" ht="13">
      <c r="D171" s="445"/>
      <c r="E171" s="443">
        <f>-E170</f>
        <v>0</v>
      </c>
      <c r="F171" s="443"/>
      <c r="G171" s="443"/>
      <c r="H171" s="443"/>
      <c r="I171" s="443"/>
      <c r="J171" s="443"/>
      <c r="K171" s="443"/>
      <c r="L171" s="443"/>
      <c r="M171" s="443"/>
      <c r="N171" s="443"/>
      <c r="O171" s="443"/>
      <c r="P171" s="443">
        <f>-P170</f>
        <v>0</v>
      </c>
      <c r="Q171" s="443"/>
      <c r="R171" s="443"/>
      <c r="S171" s="443"/>
      <c r="T171" s="443"/>
      <c r="U171" s="443"/>
      <c r="V171" s="443"/>
      <c r="W171" s="443"/>
      <c r="X171" s="443"/>
      <c r="Y171" s="443"/>
      <c r="AA171" s="443"/>
      <c r="AC171" s="443"/>
      <c r="AD171" s="443"/>
      <c r="AE171" s="443"/>
    </row>
    <row r="172" spans="1:31" s="417" customFormat="1" ht="13" thickBot="1">
      <c r="A172" s="447"/>
      <c r="B172" s="447"/>
      <c r="C172" s="447"/>
      <c r="D172" s="447"/>
      <c r="E172" s="447"/>
      <c r="F172" s="447"/>
      <c r="G172" s="447"/>
      <c r="H172" s="447"/>
      <c r="I172" s="447"/>
      <c r="J172" s="447"/>
      <c r="K172" s="447"/>
      <c r="L172" s="447"/>
      <c r="M172" s="447"/>
      <c r="N172" s="447"/>
      <c r="O172" s="447"/>
      <c r="P172" s="447"/>
      <c r="Q172" s="447"/>
      <c r="R172" s="447"/>
      <c r="S172" s="447"/>
      <c r="T172" s="447"/>
      <c r="U172" s="447"/>
      <c r="V172" s="447"/>
      <c r="W172" s="447"/>
      <c r="X172" s="447"/>
      <c r="Y172" s="447"/>
      <c r="AA172" s="447"/>
      <c r="AC172" s="447"/>
      <c r="AD172" s="447"/>
      <c r="AE172" s="447"/>
    </row>
    <row r="173" spans="1:31" s="417" customFormat="1" ht="13">
      <c r="B173" s="414" t="s">
        <v>447</v>
      </c>
    </row>
    <row r="174" spans="1:31" s="417" customFormat="1" ht="13">
      <c r="A174" s="423"/>
      <c r="B174" s="423"/>
      <c r="C174" s="423"/>
      <c r="D174" s="423"/>
      <c r="E174" s="428" t="s">
        <v>426</v>
      </c>
      <c r="F174" s="428" t="s">
        <v>6</v>
      </c>
      <c r="G174" s="428" t="s">
        <v>334</v>
      </c>
      <c r="H174" s="428" t="s">
        <v>427</v>
      </c>
      <c r="I174" s="428" t="s">
        <v>426</v>
      </c>
      <c r="J174" s="428"/>
      <c r="K174" s="428" t="s">
        <v>334</v>
      </c>
      <c r="L174" s="428" t="s">
        <v>427</v>
      </c>
      <c r="M174" s="428" t="s">
        <v>426</v>
      </c>
      <c r="N174" s="428" t="s">
        <v>334</v>
      </c>
      <c r="O174" s="428" t="s">
        <v>427</v>
      </c>
      <c r="P174" s="428" t="s">
        <v>426</v>
      </c>
      <c r="Q174" s="428" t="s">
        <v>6</v>
      </c>
      <c r="R174" s="428" t="s">
        <v>334</v>
      </c>
      <c r="S174" s="428" t="s">
        <v>427</v>
      </c>
      <c r="T174" s="428" t="s">
        <v>426</v>
      </c>
      <c r="U174" s="428" t="s">
        <v>334</v>
      </c>
      <c r="V174" s="428" t="s">
        <v>427</v>
      </c>
      <c r="W174" s="428" t="s">
        <v>426</v>
      </c>
      <c r="X174" s="428" t="s">
        <v>334</v>
      </c>
      <c r="Y174" s="428" t="s">
        <v>427</v>
      </c>
      <c r="AA174" s="428" t="s">
        <v>428</v>
      </c>
      <c r="AC174" s="428" t="s">
        <v>11</v>
      </c>
      <c r="AD174" s="428" t="s">
        <v>429</v>
      </c>
      <c r="AE174" s="428" t="s">
        <v>13</v>
      </c>
    </row>
    <row r="175" spans="1:31" s="417" customFormat="1" ht="13">
      <c r="A175" s="423"/>
      <c r="B175" s="423"/>
      <c r="C175" s="423"/>
      <c r="D175" s="423"/>
      <c r="E175" s="429">
        <v>45657</v>
      </c>
      <c r="F175" s="429"/>
      <c r="G175" s="429"/>
      <c r="H175" s="429">
        <v>45657</v>
      </c>
      <c r="I175" s="429">
        <v>45657</v>
      </c>
      <c r="J175" s="429"/>
      <c r="K175" s="429"/>
      <c r="L175" s="429">
        <v>45657</v>
      </c>
      <c r="M175" s="429">
        <v>45657</v>
      </c>
      <c r="N175" s="429"/>
      <c r="O175" s="429">
        <v>45657</v>
      </c>
      <c r="P175" s="429">
        <v>45657</v>
      </c>
      <c r="Q175" s="429"/>
      <c r="R175" s="429"/>
      <c r="S175" s="429">
        <v>45657</v>
      </c>
      <c r="T175" s="429">
        <v>45657</v>
      </c>
      <c r="U175" s="429"/>
      <c r="V175" s="429">
        <v>45657</v>
      </c>
      <c r="W175" s="429">
        <v>45657</v>
      </c>
      <c r="X175" s="429"/>
      <c r="Y175" s="429">
        <v>45657</v>
      </c>
      <c r="AA175" s="429">
        <v>45657</v>
      </c>
      <c r="AC175" s="429">
        <v>45657</v>
      </c>
      <c r="AD175" s="429">
        <v>45657</v>
      </c>
      <c r="AE175" s="429">
        <v>45657</v>
      </c>
    </row>
    <row r="176" spans="1:31" s="423" customFormat="1" ht="13" customHeight="1">
      <c r="C176" s="430"/>
      <c r="E176" s="431"/>
      <c r="F176" s="431"/>
      <c r="G176" s="431"/>
      <c r="H176" s="431"/>
      <c r="I176" s="431"/>
      <c r="J176" s="431"/>
      <c r="K176" s="431"/>
      <c r="L176" s="431"/>
      <c r="M176" s="431"/>
      <c r="N176" s="431"/>
      <c r="O176" s="431"/>
      <c r="P176" s="431"/>
      <c r="Q176" s="431"/>
      <c r="R176" s="431"/>
      <c r="S176" s="431"/>
      <c r="T176" s="431"/>
      <c r="U176" s="431"/>
      <c r="V176" s="431"/>
      <c r="W176" s="431"/>
      <c r="X176" s="431"/>
      <c r="Y176" s="431"/>
      <c r="AA176" s="432"/>
      <c r="AC176" s="432"/>
      <c r="AD176" s="432"/>
      <c r="AE176" s="432"/>
    </row>
    <row r="177" spans="1:31" s="423" customFormat="1">
      <c r="A177" s="423" t="s">
        <v>640</v>
      </c>
      <c r="C177" s="423" t="s">
        <v>543</v>
      </c>
      <c r="D177" s="434"/>
      <c r="E177" s="435">
        <v>0</v>
      </c>
      <c r="F177" s="435">
        <v>0</v>
      </c>
      <c r="G177" s="435"/>
      <c r="H177" s="435">
        <f>SUM(E177:G177)</f>
        <v>0</v>
      </c>
      <c r="I177" s="435">
        <v>0</v>
      </c>
      <c r="J177" s="435">
        <v>0</v>
      </c>
      <c r="K177" s="435"/>
      <c r="L177" s="435">
        <v>0</v>
      </c>
      <c r="M177" s="435">
        <v>0</v>
      </c>
      <c r="N177" s="435"/>
      <c r="O177" s="435">
        <f>SUM(M177:N177)</f>
        <v>0</v>
      </c>
      <c r="P177" s="435">
        <v>0</v>
      </c>
      <c r="Q177" s="435">
        <v>-14774268123.29475</v>
      </c>
      <c r="R177" s="435"/>
      <c r="S177" s="435">
        <f t="shared" ref="S177:S184" si="156">SUM(P177:R177)</f>
        <v>-14774268123.29475</v>
      </c>
      <c r="T177" s="435">
        <v>-8417149098.75</v>
      </c>
      <c r="U177" s="435"/>
      <c r="V177" s="435">
        <f>SUM(T177:U177)</f>
        <v>-8417149098.75</v>
      </c>
      <c r="W177" s="435">
        <v>0</v>
      </c>
      <c r="X177" s="435"/>
      <c r="Y177" s="435">
        <f>SUM(W177:X177)</f>
        <v>0</v>
      </c>
      <c r="Z177" s="435">
        <v>0</v>
      </c>
      <c r="AA177" s="435">
        <v>0</v>
      </c>
      <c r="AB177" s="435">
        <v>0</v>
      </c>
      <c r="AC177" s="435">
        <f t="shared" ref="AC177:AC187" si="157">SUM(H177,L177,O177,S177,V177,Y177)</f>
        <v>-23191417222.04475</v>
      </c>
      <c r="AD177" s="435">
        <f>'Elimination 2024'!G122+'Elimination 2024'!G149</f>
        <v>23191433676.069748</v>
      </c>
      <c r="AE177" s="435">
        <f>SUM(AC177:AD177)</f>
        <v>16454.024997711182</v>
      </c>
    </row>
    <row r="178" spans="1:31" s="423" customFormat="1">
      <c r="A178" s="423" t="s">
        <v>688</v>
      </c>
      <c r="D178" s="423" t="s">
        <v>546</v>
      </c>
      <c r="E178" s="435">
        <v>0</v>
      </c>
      <c r="F178" s="435">
        <v>0</v>
      </c>
      <c r="G178" s="435"/>
      <c r="H178" s="435">
        <f t="shared" ref="H178:H187" si="158">SUM(E178:G178)</f>
        <v>0</v>
      </c>
      <c r="I178" s="435">
        <v>0</v>
      </c>
      <c r="J178" s="435">
        <v>0</v>
      </c>
      <c r="K178" s="435"/>
      <c r="L178" s="435">
        <v>0</v>
      </c>
      <c r="M178" s="435">
        <v>0</v>
      </c>
      <c r="N178" s="435"/>
      <c r="O178" s="435">
        <f t="shared" ref="O178:O184" si="159">SUM(M178:N178)</f>
        <v>0</v>
      </c>
      <c r="P178" s="435"/>
      <c r="Q178" s="435">
        <v>-2204243023.5</v>
      </c>
      <c r="R178" s="435"/>
      <c r="S178" s="435">
        <f t="shared" si="156"/>
        <v>-2204243023.5</v>
      </c>
      <c r="T178" s="435">
        <v>0</v>
      </c>
      <c r="U178" s="435">
        <f>'Consol SoFP 24'!U63</f>
        <v>0</v>
      </c>
      <c r="V178" s="435">
        <f t="shared" ref="V178:V187" si="160">SUM(T178:U178)</f>
        <v>0</v>
      </c>
      <c r="W178" s="435">
        <v>0</v>
      </c>
      <c r="X178" s="435"/>
      <c r="Y178" s="435">
        <f t="shared" ref="Y178:Y187" si="161">SUM(W178:X178)</f>
        <v>0</v>
      </c>
      <c r="Z178" s="435">
        <v>0</v>
      </c>
      <c r="AA178" s="435">
        <v>0</v>
      </c>
      <c r="AB178" s="435">
        <v>0</v>
      </c>
      <c r="AC178" s="435">
        <f t="shared" si="157"/>
        <v>-2204243023.5</v>
      </c>
      <c r="AD178" s="435">
        <f>+'Elimination 2024'!G152</f>
        <v>2204243023.5</v>
      </c>
      <c r="AE178" s="435">
        <f t="shared" ref="AE178:AE186" si="162">SUM(AC178:AD178)</f>
        <v>0</v>
      </c>
    </row>
    <row r="179" spans="1:31" s="423" customFormat="1">
      <c r="A179" s="423" t="s">
        <v>802</v>
      </c>
      <c r="D179" s="423" t="s">
        <v>552</v>
      </c>
      <c r="E179" s="435">
        <v>0</v>
      </c>
      <c r="F179" s="435">
        <v>0</v>
      </c>
      <c r="G179" s="435"/>
      <c r="H179" s="435">
        <f t="shared" si="158"/>
        <v>0</v>
      </c>
      <c r="I179" s="435">
        <v>0</v>
      </c>
      <c r="J179" s="435">
        <v>0</v>
      </c>
      <c r="K179" s="435"/>
      <c r="L179" s="435">
        <v>0</v>
      </c>
      <c r="M179" s="435">
        <v>0</v>
      </c>
      <c r="N179" s="435"/>
      <c r="O179" s="435">
        <f t="shared" si="159"/>
        <v>0</v>
      </c>
      <c r="P179" s="435">
        <v>0</v>
      </c>
      <c r="Q179" s="435">
        <v>0</v>
      </c>
      <c r="R179" s="435"/>
      <c r="S179" s="435">
        <f t="shared" si="156"/>
        <v>0</v>
      </c>
      <c r="T179" s="435">
        <v>0</v>
      </c>
      <c r="U179" s="435"/>
      <c r="V179" s="435">
        <f t="shared" si="160"/>
        <v>0</v>
      </c>
      <c r="W179" s="435">
        <v>0</v>
      </c>
      <c r="X179" s="435"/>
      <c r="Y179" s="435">
        <f t="shared" si="161"/>
        <v>0</v>
      </c>
      <c r="Z179" s="435">
        <v>0</v>
      </c>
      <c r="AA179" s="435">
        <v>0</v>
      </c>
      <c r="AB179" s="435">
        <v>0</v>
      </c>
      <c r="AC179" s="435">
        <f t="shared" si="157"/>
        <v>0</v>
      </c>
      <c r="AD179" s="435"/>
      <c r="AE179" s="435">
        <f t="shared" si="162"/>
        <v>0</v>
      </c>
    </row>
    <row r="180" spans="1:31" s="423" customFormat="1">
      <c r="A180" s="423" t="s">
        <v>740</v>
      </c>
      <c r="D180" s="423" t="s">
        <v>547</v>
      </c>
      <c r="E180" s="435">
        <v>0</v>
      </c>
      <c r="F180" s="435">
        <v>0</v>
      </c>
      <c r="G180" s="435"/>
      <c r="H180" s="435">
        <f t="shared" si="158"/>
        <v>0</v>
      </c>
      <c r="I180" s="435">
        <v>18287482.405500788</v>
      </c>
      <c r="J180" s="435">
        <v>0</v>
      </c>
      <c r="K180" s="435"/>
      <c r="L180" s="435">
        <v>0</v>
      </c>
      <c r="M180" s="435">
        <v>0</v>
      </c>
      <c r="N180" s="435"/>
      <c r="O180" s="435">
        <f t="shared" si="159"/>
        <v>0</v>
      </c>
      <c r="P180" s="435">
        <v>0</v>
      </c>
      <c r="Q180" s="435">
        <v>0</v>
      </c>
      <c r="R180" s="435"/>
      <c r="S180" s="435">
        <f t="shared" si="156"/>
        <v>0</v>
      </c>
      <c r="T180" s="435">
        <v>0</v>
      </c>
      <c r="U180" s="435"/>
      <c r="V180" s="435">
        <f t="shared" si="160"/>
        <v>0</v>
      </c>
      <c r="W180" s="435">
        <v>0</v>
      </c>
      <c r="X180" s="435"/>
      <c r="Y180" s="435">
        <f t="shared" si="161"/>
        <v>0</v>
      </c>
      <c r="Z180" s="435">
        <v>0</v>
      </c>
      <c r="AA180" s="435">
        <v>0</v>
      </c>
      <c r="AB180" s="435">
        <v>0</v>
      </c>
      <c r="AC180" s="435">
        <f t="shared" si="157"/>
        <v>0</v>
      </c>
      <c r="AD180" s="435"/>
      <c r="AE180" s="435">
        <f t="shared" si="162"/>
        <v>0</v>
      </c>
    </row>
    <row r="181" spans="1:31" s="423" customFormat="1">
      <c r="A181" s="423" t="s">
        <v>465</v>
      </c>
      <c r="D181" s="423" t="s">
        <v>548</v>
      </c>
      <c r="E181" s="435">
        <v>-65017401.75</v>
      </c>
      <c r="F181" s="435">
        <v>-24115768112.228626</v>
      </c>
      <c r="G181" s="435">
        <f>'Adjustment Consol'!J34</f>
        <v>-3531586108.0499997</v>
      </c>
      <c r="H181" s="435">
        <f t="shared" si="158"/>
        <v>-27712371622.028625</v>
      </c>
      <c r="I181" s="435">
        <v>0</v>
      </c>
      <c r="J181" s="435">
        <v>0</v>
      </c>
      <c r="K181" s="435">
        <f>'Adjustment Consol'!J53</f>
        <v>-2142168528.1499999</v>
      </c>
      <c r="L181" s="435">
        <v>-2142168528.1499999</v>
      </c>
      <c r="M181" s="435">
        <v>0</v>
      </c>
      <c r="N181" s="435"/>
      <c r="O181" s="435">
        <f t="shared" si="159"/>
        <v>0</v>
      </c>
      <c r="P181" s="435">
        <v>0</v>
      </c>
      <c r="Q181" s="435">
        <v>0</v>
      </c>
      <c r="R181" s="435"/>
      <c r="S181" s="435">
        <f t="shared" si="156"/>
        <v>0</v>
      </c>
      <c r="T181" s="435">
        <v>0</v>
      </c>
      <c r="U181" s="435"/>
      <c r="V181" s="435">
        <f t="shared" si="160"/>
        <v>0</v>
      </c>
      <c r="W181" s="435">
        <v>0</v>
      </c>
      <c r="X181" s="435"/>
      <c r="Y181" s="435">
        <f t="shared" si="161"/>
        <v>0</v>
      </c>
      <c r="Z181" s="435">
        <v>0</v>
      </c>
      <c r="AA181" s="435">
        <v>0</v>
      </c>
      <c r="AB181" s="435">
        <v>0</v>
      </c>
      <c r="AC181" s="435">
        <f t="shared" si="157"/>
        <v>-29854540150.178627</v>
      </c>
      <c r="AD181" s="435">
        <f>'Elimination 2024'!G155+'Elimination 2024'!G158+'Elimination 2024'!G161</f>
        <v>29344340932.200001</v>
      </c>
      <c r="AE181" s="435">
        <f t="shared" si="162"/>
        <v>-510199217.97862625</v>
      </c>
    </row>
    <row r="182" spans="1:31" s="423" customFormat="1">
      <c r="A182" s="423" t="s">
        <v>639</v>
      </c>
      <c r="D182" s="423" t="s">
        <v>545</v>
      </c>
      <c r="E182" s="435">
        <v>0</v>
      </c>
      <c r="F182" s="435">
        <v>0</v>
      </c>
      <c r="G182" s="435"/>
      <c r="H182" s="435">
        <f t="shared" si="158"/>
        <v>0</v>
      </c>
      <c r="I182" s="435">
        <v>0</v>
      </c>
      <c r="J182" s="435">
        <v>0</v>
      </c>
      <c r="K182" s="435"/>
      <c r="L182" s="435">
        <v>0</v>
      </c>
      <c r="M182" s="435">
        <v>0</v>
      </c>
      <c r="N182" s="435"/>
      <c r="O182" s="435">
        <f t="shared" si="159"/>
        <v>0</v>
      </c>
      <c r="P182" s="435">
        <v>0</v>
      </c>
      <c r="Q182" s="435">
        <v>0</v>
      </c>
      <c r="R182" s="435"/>
      <c r="S182" s="435">
        <f t="shared" si="156"/>
        <v>0</v>
      </c>
      <c r="T182" s="435">
        <v>0</v>
      </c>
      <c r="U182" s="435"/>
      <c r="V182" s="435">
        <f t="shared" si="160"/>
        <v>0</v>
      </c>
      <c r="W182" s="435">
        <v>0</v>
      </c>
      <c r="X182" s="435"/>
      <c r="Y182" s="435">
        <f t="shared" si="161"/>
        <v>0</v>
      </c>
      <c r="Z182" s="435">
        <v>0</v>
      </c>
      <c r="AA182" s="435">
        <v>0</v>
      </c>
      <c r="AB182" s="435">
        <v>0</v>
      </c>
      <c r="AC182" s="435">
        <f t="shared" si="157"/>
        <v>0</v>
      </c>
      <c r="AD182" s="435"/>
      <c r="AE182" s="435">
        <f t="shared" si="162"/>
        <v>0</v>
      </c>
    </row>
    <row r="183" spans="1:31" s="423" customFormat="1">
      <c r="A183" s="423" t="s">
        <v>461</v>
      </c>
      <c r="D183" s="423" t="s">
        <v>549</v>
      </c>
      <c r="E183" s="435">
        <v>0</v>
      </c>
      <c r="F183" s="435">
        <v>0</v>
      </c>
      <c r="G183" s="435"/>
      <c r="H183" s="435">
        <f t="shared" si="158"/>
        <v>0</v>
      </c>
      <c r="I183" s="435">
        <v>0</v>
      </c>
      <c r="J183" s="435">
        <v>0</v>
      </c>
      <c r="K183" s="435"/>
      <c r="L183" s="435">
        <v>0</v>
      </c>
      <c r="M183" s="435">
        <v>0</v>
      </c>
      <c r="N183" s="435"/>
      <c r="O183" s="435">
        <f t="shared" si="159"/>
        <v>0</v>
      </c>
      <c r="P183" s="435">
        <v>0</v>
      </c>
      <c r="Q183" s="435">
        <v>0</v>
      </c>
      <c r="R183" s="435"/>
      <c r="S183" s="435">
        <f t="shared" si="156"/>
        <v>0</v>
      </c>
      <c r="T183" s="435">
        <v>0</v>
      </c>
      <c r="U183" s="435"/>
      <c r="V183" s="435">
        <f t="shared" si="160"/>
        <v>0</v>
      </c>
      <c r="W183" s="435">
        <v>0</v>
      </c>
      <c r="X183" s="435"/>
      <c r="Y183" s="435">
        <f t="shared" si="161"/>
        <v>0</v>
      </c>
      <c r="Z183" s="435">
        <v>0</v>
      </c>
      <c r="AA183" s="435">
        <v>0</v>
      </c>
      <c r="AB183" s="435">
        <v>0</v>
      </c>
      <c r="AC183" s="435">
        <f t="shared" si="157"/>
        <v>0</v>
      </c>
      <c r="AD183" s="435"/>
      <c r="AE183" s="435">
        <f t="shared" si="162"/>
        <v>0</v>
      </c>
    </row>
    <row r="184" spans="1:31" s="423" customFormat="1">
      <c r="A184" s="433" t="s">
        <v>609</v>
      </c>
      <c r="D184" s="434" t="s">
        <v>544</v>
      </c>
      <c r="E184" s="435">
        <v>0</v>
      </c>
      <c r="F184" s="435">
        <v>0</v>
      </c>
      <c r="G184" s="435"/>
      <c r="H184" s="435">
        <f t="shared" si="158"/>
        <v>0</v>
      </c>
      <c r="I184" s="435">
        <v>0</v>
      </c>
      <c r="J184" s="435">
        <v>0</v>
      </c>
      <c r="K184" s="435"/>
      <c r="L184" s="435">
        <v>0</v>
      </c>
      <c r="M184" s="435">
        <v>0</v>
      </c>
      <c r="N184" s="435"/>
      <c r="O184" s="435">
        <f t="shared" si="159"/>
        <v>0</v>
      </c>
      <c r="P184" s="435">
        <v>0</v>
      </c>
      <c r="Q184" s="435">
        <v>0</v>
      </c>
      <c r="R184" s="435"/>
      <c r="S184" s="435">
        <f t="shared" si="156"/>
        <v>0</v>
      </c>
      <c r="T184" s="435">
        <v>0</v>
      </c>
      <c r="U184" s="435"/>
      <c r="V184" s="435">
        <f t="shared" si="160"/>
        <v>0</v>
      </c>
      <c r="W184" s="435">
        <v>0</v>
      </c>
      <c r="X184" s="435"/>
      <c r="Y184" s="435">
        <f t="shared" si="161"/>
        <v>0</v>
      </c>
      <c r="Z184" s="435">
        <v>0</v>
      </c>
      <c r="AA184" s="435">
        <v>0</v>
      </c>
      <c r="AB184" s="435">
        <v>0</v>
      </c>
      <c r="AC184" s="435">
        <f t="shared" si="157"/>
        <v>0</v>
      </c>
      <c r="AD184" s="435"/>
      <c r="AE184" s="435">
        <f t="shared" si="162"/>
        <v>0</v>
      </c>
    </row>
    <row r="185" spans="1:31" s="423" customFormat="1">
      <c r="A185" s="433"/>
      <c r="C185" s="438" t="s">
        <v>661</v>
      </c>
      <c r="D185" s="439"/>
      <c r="E185" s="435"/>
      <c r="F185" s="435"/>
      <c r="G185" s="435"/>
      <c r="H185" s="435"/>
      <c r="I185" s="435"/>
      <c r="J185" s="435"/>
      <c r="K185" s="435"/>
      <c r="L185" s="435">
        <v>0</v>
      </c>
      <c r="M185" s="435"/>
      <c r="N185" s="435"/>
      <c r="O185" s="435"/>
      <c r="P185" s="435"/>
      <c r="Q185" s="435"/>
      <c r="R185" s="435"/>
      <c r="S185" s="435"/>
      <c r="T185" s="435"/>
      <c r="U185" s="435"/>
      <c r="V185" s="435"/>
      <c r="W185" s="435"/>
      <c r="X185" s="435"/>
      <c r="Y185" s="435"/>
      <c r="Z185" s="435"/>
      <c r="AA185" s="435"/>
      <c r="AB185" s="435"/>
      <c r="AC185" s="457"/>
      <c r="AD185" s="435"/>
      <c r="AE185" s="435"/>
    </row>
    <row r="186" spans="1:31" s="423" customFormat="1">
      <c r="A186" s="433" t="s">
        <v>800</v>
      </c>
      <c r="D186" s="423" t="s">
        <v>550</v>
      </c>
      <c r="E186" s="435">
        <v>0</v>
      </c>
      <c r="F186" s="435">
        <v>0</v>
      </c>
      <c r="G186" s="435"/>
      <c r="H186" s="435">
        <f t="shared" si="158"/>
        <v>0</v>
      </c>
      <c r="I186" s="435">
        <v>0</v>
      </c>
      <c r="J186" s="435"/>
      <c r="K186" s="435"/>
      <c r="L186" s="435">
        <v>0</v>
      </c>
      <c r="M186" s="435">
        <v>0</v>
      </c>
      <c r="N186" s="435"/>
      <c r="O186" s="435">
        <f t="shared" ref="O186:O187" si="163">SUM(M186:N186)</f>
        <v>0</v>
      </c>
      <c r="P186" s="435">
        <v>-6871272.9749999996</v>
      </c>
      <c r="Q186" s="435"/>
      <c r="R186" s="435"/>
      <c r="S186" s="435">
        <f>SUM(P186:R186)</f>
        <v>-6871272.9749999996</v>
      </c>
      <c r="T186" s="435">
        <f>-56849376.15-1061165331.45</f>
        <v>-1118014707.6000001</v>
      </c>
      <c r="U186" s="435"/>
      <c r="V186" s="435">
        <f t="shared" si="160"/>
        <v>-1118014707.6000001</v>
      </c>
      <c r="W186" s="435">
        <v>0</v>
      </c>
      <c r="X186" s="435"/>
      <c r="Y186" s="435">
        <f t="shared" si="161"/>
        <v>0</v>
      </c>
      <c r="Z186" s="435">
        <v>0</v>
      </c>
      <c r="AA186" s="435">
        <v>0</v>
      </c>
      <c r="AB186" s="435">
        <v>0</v>
      </c>
      <c r="AC186" s="435">
        <f t="shared" si="157"/>
        <v>-1124885980.575</v>
      </c>
      <c r="AD186" s="435"/>
      <c r="AE186" s="435">
        <f t="shared" si="162"/>
        <v>-1124885980.575</v>
      </c>
    </row>
    <row r="187" spans="1:31" s="423" customFormat="1">
      <c r="A187" s="433"/>
      <c r="D187" s="423" t="s">
        <v>442</v>
      </c>
      <c r="E187" s="435">
        <v>0</v>
      </c>
      <c r="F187" s="435">
        <v>0</v>
      </c>
      <c r="G187" s="435"/>
      <c r="H187" s="435">
        <f t="shared" si="158"/>
        <v>0</v>
      </c>
      <c r="I187" s="435">
        <v>-39892590.580500789</v>
      </c>
      <c r="J187" s="435">
        <v>0</v>
      </c>
      <c r="K187" s="435"/>
      <c r="L187" s="435">
        <v>-21605108.175000001</v>
      </c>
      <c r="M187" s="435">
        <v>0</v>
      </c>
      <c r="N187" s="435"/>
      <c r="O187" s="435">
        <f t="shared" si="163"/>
        <v>0</v>
      </c>
      <c r="P187" s="435">
        <v>0</v>
      </c>
      <c r="Q187" s="435"/>
      <c r="R187" s="435"/>
      <c r="S187" s="435">
        <f>SUM(P187:R187)</f>
        <v>0</v>
      </c>
      <c r="T187" s="435">
        <v>0</v>
      </c>
      <c r="U187" s="435"/>
      <c r="V187" s="435">
        <f t="shared" si="160"/>
        <v>0</v>
      </c>
      <c r="W187" s="435">
        <v>0</v>
      </c>
      <c r="X187" s="435"/>
      <c r="Y187" s="435">
        <f t="shared" si="161"/>
        <v>0</v>
      </c>
      <c r="Z187" s="435">
        <v>0</v>
      </c>
      <c r="AA187" s="435">
        <v>0</v>
      </c>
      <c r="AB187" s="435">
        <v>0</v>
      </c>
      <c r="AC187" s="435">
        <f t="shared" si="157"/>
        <v>-21605108.175000001</v>
      </c>
      <c r="AD187" s="435"/>
      <c r="AE187" s="435">
        <f t="shared" ref="AE187" si="164">SUM(AC187:AD187)</f>
        <v>-21605108.175000001</v>
      </c>
    </row>
    <row r="188" spans="1:31" s="423" customFormat="1">
      <c r="A188" s="417"/>
      <c r="B188" s="417"/>
      <c r="C188" s="417"/>
      <c r="D188" s="417"/>
      <c r="E188" s="435"/>
      <c r="F188" s="435"/>
      <c r="G188" s="435"/>
      <c r="H188" s="435"/>
      <c r="I188" s="435"/>
      <c r="J188" s="435"/>
      <c r="K188" s="435"/>
      <c r="L188" s="435"/>
      <c r="M188" s="435"/>
      <c r="N188" s="435"/>
      <c r="O188" s="435"/>
      <c r="P188" s="435"/>
      <c r="Q188" s="435"/>
      <c r="R188" s="435"/>
      <c r="S188" s="435"/>
      <c r="T188" s="435"/>
      <c r="U188" s="435"/>
      <c r="V188" s="435"/>
      <c r="W188" s="435"/>
      <c r="X188" s="435"/>
      <c r="Y188" s="435"/>
      <c r="AA188" s="417"/>
      <c r="AC188" s="417"/>
      <c r="AD188" s="417"/>
      <c r="AE188" s="417"/>
    </row>
    <row r="189" spans="1:31" s="417" customFormat="1" ht="13.5" thickBot="1">
      <c r="E189" s="458">
        <f>SUM(E176:E188)</f>
        <v>-65017401.75</v>
      </c>
      <c r="F189" s="458"/>
      <c r="G189" s="458"/>
      <c r="H189" s="458">
        <f>SUM(H176:H188)</f>
        <v>-27712371622.028625</v>
      </c>
      <c r="I189" s="458">
        <f>SUM(I176:I188)</f>
        <v>-21605108.175000001</v>
      </c>
      <c r="J189" s="458"/>
      <c r="K189" s="458">
        <f>SUM(K176:K188)</f>
        <v>-2142168528.1499999</v>
      </c>
      <c r="L189" s="458">
        <f>SUM(L176:L188)</f>
        <v>-2163773636.3249998</v>
      </c>
      <c r="M189" s="458">
        <f>SUM(M176:M188)</f>
        <v>0</v>
      </c>
      <c r="N189" s="458"/>
      <c r="O189" s="458">
        <f>SUM(O176:O188)</f>
        <v>0</v>
      </c>
      <c r="P189" s="458">
        <f>SUM(P176:P188)</f>
        <v>-6871272.9749999996</v>
      </c>
      <c r="Q189" s="458">
        <f>SUM(Q176:Q188)</f>
        <v>-16978511146.79475</v>
      </c>
      <c r="R189" s="458"/>
      <c r="S189" s="458">
        <f>SUM(S176:S188)</f>
        <v>-16985382419.769751</v>
      </c>
      <c r="T189" s="458">
        <f>SUM(T176:T188)</f>
        <v>-9535163806.3500004</v>
      </c>
      <c r="U189" s="458"/>
      <c r="V189" s="458">
        <f>SUM(V176:V188)</f>
        <v>-9535163806.3500004</v>
      </c>
      <c r="W189" s="458">
        <f>SUM(W176:W188)</f>
        <v>0</v>
      </c>
      <c r="X189" s="458"/>
      <c r="Y189" s="458">
        <f>SUM(Y176:Y188)</f>
        <v>0</v>
      </c>
      <c r="AA189" s="458">
        <f>SUM(AA176:AA188)</f>
        <v>0</v>
      </c>
      <c r="AC189" s="458">
        <f>SUM(AC176:AC188)</f>
        <v>-56396691484.473373</v>
      </c>
      <c r="AD189" s="458">
        <f>SUM(AD176:AD188)</f>
        <v>54740017631.769745</v>
      </c>
      <c r="AE189" s="458">
        <f>SUM(AE176:AE188)</f>
        <v>-1656673852.7036285</v>
      </c>
    </row>
    <row r="190" spans="1:31" s="417" customFormat="1" ht="13.5" thickTop="1">
      <c r="E190" s="443"/>
      <c r="F190" s="443"/>
      <c r="G190" s="443"/>
      <c r="H190" s="443"/>
      <c r="I190" s="443"/>
      <c r="J190" s="443"/>
      <c r="K190" s="443"/>
      <c r="L190" s="443"/>
      <c r="M190" s="443"/>
      <c r="N190" s="443"/>
      <c r="O190" s="443"/>
      <c r="P190" s="443"/>
      <c r="Q190" s="443"/>
      <c r="R190" s="443"/>
      <c r="S190" s="443"/>
      <c r="T190" s="443"/>
      <c r="U190" s="443"/>
      <c r="V190" s="443"/>
      <c r="W190" s="443"/>
      <c r="X190" s="443"/>
      <c r="Y190" s="443"/>
      <c r="AA190" s="443"/>
      <c r="AC190" s="443"/>
      <c r="AD190" s="443"/>
      <c r="AE190" s="443"/>
    </row>
    <row r="191" spans="1:31" s="417" customFormat="1" ht="13">
      <c r="D191" s="445" t="s">
        <v>435</v>
      </c>
      <c r="E191" s="446">
        <f>'Consol SoFP 24'!D63</f>
        <v>-65017402</v>
      </c>
      <c r="F191" s="446"/>
      <c r="G191" s="446">
        <f>'Consol SoFP 24'!F63</f>
        <v>0</v>
      </c>
      <c r="H191" s="446">
        <f>'Consol SoFP 24'!H63</f>
        <v>-27712371623.049999</v>
      </c>
      <c r="I191" s="446">
        <f>'Consol SoFP 24'!I63</f>
        <v>-21605108</v>
      </c>
      <c r="J191" s="446"/>
      <c r="K191" s="446">
        <f>'Consol SoFP 24'!K63</f>
        <v>-2142168528.1499999</v>
      </c>
      <c r="L191" s="446">
        <f>'Consol SoFP 24'!L63</f>
        <v>-2163773636.1499996</v>
      </c>
      <c r="M191" s="446">
        <f>'Consol SoFP 24'!M63</f>
        <v>0</v>
      </c>
      <c r="N191" s="446">
        <f>'Consol SoFP 24'!N63</f>
        <v>0</v>
      </c>
      <c r="O191" s="446">
        <f>'Consol SoFP 24'!O63</f>
        <v>0</v>
      </c>
      <c r="P191" s="446">
        <f>'Consol SoFP 24'!P63</f>
        <v>-6871273</v>
      </c>
      <c r="Q191" s="446">
        <f>'Consol SoFP 24'!Q63</f>
        <v>-16978511147</v>
      </c>
      <c r="R191" s="446">
        <f>'Consol SoFP 24'!R63</f>
        <v>0</v>
      </c>
      <c r="S191" s="446">
        <f>'Consol SoFP 24'!S63</f>
        <v>-16985382420</v>
      </c>
      <c r="T191" s="446">
        <f>'Consol SoFP 24'!T63</f>
        <v>-9535163807</v>
      </c>
      <c r="U191" s="446">
        <f>'Consol SoFP 24'!U63</f>
        <v>0</v>
      </c>
      <c r="V191" s="446">
        <f>'Consol SoFP 24'!V63</f>
        <v>-9535163807</v>
      </c>
      <c r="W191" s="446">
        <f>'Consol SoFP 24'!W63</f>
        <v>0</v>
      </c>
      <c r="X191" s="446">
        <f>'Consol SoFP 24'!X63</f>
        <v>0</v>
      </c>
      <c r="Y191" s="446">
        <f>'Consol SoFP 24'!Y63</f>
        <v>0</v>
      </c>
      <c r="AA191" s="446">
        <v>0</v>
      </c>
      <c r="AC191" s="446">
        <f>'Consol SoFP 24'!AE63</f>
        <v>-56396691486.199997</v>
      </c>
      <c r="AD191" s="446">
        <f>SUM('Consol SoFP 24'!AF63:AG63)</f>
        <v>54740017631.769753</v>
      </c>
      <c r="AE191" s="446">
        <f>'Consol SoFP 24'!AH63</f>
        <v>-1656673854</v>
      </c>
    </row>
    <row r="192" spans="1:31" s="417" customFormat="1" ht="13">
      <c r="D192" s="445" t="s">
        <v>111</v>
      </c>
      <c r="E192" s="442">
        <f t="shared" ref="E192:M192" si="165">E189-E191</f>
        <v>0.25</v>
      </c>
      <c r="F192" s="442"/>
      <c r="G192" s="442"/>
      <c r="H192" s="442">
        <f t="shared" si="165"/>
        <v>1.0213737487792969</v>
      </c>
      <c r="I192" s="442">
        <f t="shared" si="165"/>
        <v>-0.17500000074505806</v>
      </c>
      <c r="J192" s="442"/>
      <c r="K192" s="442">
        <f t="shared" si="165"/>
        <v>0</v>
      </c>
      <c r="L192" s="442">
        <f t="shared" si="165"/>
        <v>-0.17500019073486328</v>
      </c>
      <c r="M192" s="442">
        <f t="shared" si="165"/>
        <v>0</v>
      </c>
      <c r="N192" s="442"/>
      <c r="O192" s="442"/>
      <c r="P192" s="442">
        <f t="shared" ref="P192:W192" si="166">P189-P191</f>
        <v>2.500000037252903E-2</v>
      </c>
      <c r="Q192" s="442">
        <f t="shared" si="166"/>
        <v>0.20524978637695313</v>
      </c>
      <c r="R192" s="442"/>
      <c r="S192" s="442">
        <f t="shared" si="166"/>
        <v>0.23024940490722656</v>
      </c>
      <c r="T192" s="442">
        <f t="shared" si="166"/>
        <v>0.64999961853027344</v>
      </c>
      <c r="U192" s="442">
        <f t="shared" si="166"/>
        <v>0</v>
      </c>
      <c r="V192" s="442">
        <f t="shared" si="166"/>
        <v>0.64999961853027344</v>
      </c>
      <c r="W192" s="442">
        <f t="shared" si="166"/>
        <v>0</v>
      </c>
      <c r="X192" s="442"/>
      <c r="Y192" s="442"/>
      <c r="AA192" s="442">
        <f t="shared" ref="AA192" si="167">AA189-AA191</f>
        <v>0</v>
      </c>
      <c r="AC192" s="442">
        <f t="shared" ref="AC192:AE192" si="168">AC189-AC191</f>
        <v>1.72662353515625</v>
      </c>
      <c r="AD192" s="442">
        <f>AD189-AD191</f>
        <v>0</v>
      </c>
      <c r="AE192" s="442">
        <f t="shared" si="168"/>
        <v>1.2963714599609375</v>
      </c>
    </row>
    <row r="193" spans="1:32" s="417" customFormat="1" ht="13">
      <c r="D193" s="445"/>
      <c r="E193" s="443"/>
      <c r="F193" s="443"/>
      <c r="G193" s="443"/>
      <c r="H193" s="443"/>
      <c r="I193" s="443"/>
      <c r="J193" s="443"/>
      <c r="K193" s="443"/>
      <c r="L193" s="443"/>
      <c r="M193" s="443"/>
      <c r="N193" s="443"/>
      <c r="O193" s="443"/>
      <c r="P193" s="443"/>
      <c r="Q193" s="443"/>
      <c r="R193" s="443"/>
      <c r="S193" s="443"/>
      <c r="T193" s="443"/>
      <c r="U193" s="443"/>
      <c r="V193" s="443"/>
      <c r="W193" s="443"/>
      <c r="X193" s="443"/>
      <c r="Y193" s="443"/>
      <c r="AA193" s="443"/>
      <c r="AC193" s="443"/>
      <c r="AD193" s="443"/>
      <c r="AE193" s="443"/>
    </row>
    <row r="194" spans="1:32" s="417" customFormat="1" ht="13" thickBot="1">
      <c r="A194" s="447"/>
      <c r="B194" s="447"/>
      <c r="C194" s="447"/>
      <c r="D194" s="447"/>
      <c r="E194" s="447"/>
      <c r="F194" s="447"/>
      <c r="G194" s="447"/>
      <c r="H194" s="447"/>
      <c r="I194" s="447"/>
      <c r="J194" s="447"/>
      <c r="K194" s="447"/>
      <c r="L194" s="447"/>
      <c r="M194" s="447"/>
      <c r="N194" s="447"/>
      <c r="O194" s="447"/>
      <c r="P194" s="447"/>
      <c r="Q194" s="447"/>
      <c r="R194" s="447"/>
      <c r="S194" s="447"/>
      <c r="T194" s="447"/>
      <c r="U194" s="447"/>
      <c r="V194" s="447"/>
      <c r="W194" s="447"/>
      <c r="X194" s="447"/>
      <c r="Y194" s="447"/>
      <c r="AA194" s="447"/>
      <c r="AC194" s="447"/>
      <c r="AD194" s="447"/>
      <c r="AE194" s="447"/>
    </row>
    <row r="195" spans="1:32" s="417" customFormat="1" ht="13">
      <c r="B195" s="414" t="s">
        <v>448</v>
      </c>
    </row>
    <row r="196" spans="1:32" s="417" customFormat="1" ht="13">
      <c r="A196" s="423"/>
      <c r="B196" s="423"/>
      <c r="C196" s="423"/>
      <c r="D196" s="423"/>
      <c r="E196" s="428" t="s">
        <v>426</v>
      </c>
      <c r="F196" s="428" t="s">
        <v>6</v>
      </c>
      <c r="G196" s="428" t="s">
        <v>334</v>
      </c>
      <c r="H196" s="428" t="s">
        <v>427</v>
      </c>
      <c r="I196" s="428" t="s">
        <v>426</v>
      </c>
      <c r="J196" s="428" t="s">
        <v>6</v>
      </c>
      <c r="K196" s="428" t="s">
        <v>334</v>
      </c>
      <c r="L196" s="428" t="s">
        <v>427</v>
      </c>
      <c r="M196" s="428" t="s">
        <v>426</v>
      </c>
      <c r="N196" s="428" t="s">
        <v>334</v>
      </c>
      <c r="O196" s="428" t="s">
        <v>427</v>
      </c>
      <c r="P196" s="428" t="s">
        <v>426</v>
      </c>
      <c r="Q196" s="428" t="s">
        <v>6</v>
      </c>
      <c r="R196" s="428" t="s">
        <v>334</v>
      </c>
      <c r="S196" s="428" t="s">
        <v>427</v>
      </c>
      <c r="T196" s="428" t="s">
        <v>426</v>
      </c>
      <c r="U196" s="428" t="s">
        <v>334</v>
      </c>
      <c r="V196" s="428" t="s">
        <v>427</v>
      </c>
      <c r="W196" s="428" t="s">
        <v>426</v>
      </c>
      <c r="X196" s="428" t="s">
        <v>334</v>
      </c>
      <c r="Y196" s="428" t="s">
        <v>427</v>
      </c>
      <c r="AA196" s="428" t="s">
        <v>428</v>
      </c>
      <c r="AC196" s="428" t="s">
        <v>11</v>
      </c>
      <c r="AD196" s="428" t="s">
        <v>429</v>
      </c>
      <c r="AE196" s="428" t="s">
        <v>13</v>
      </c>
    </row>
    <row r="197" spans="1:32" s="417" customFormat="1" ht="13">
      <c r="A197" s="423"/>
      <c r="B197" s="423"/>
      <c r="C197" s="423"/>
      <c r="D197" s="423"/>
      <c r="E197" s="429">
        <v>45657</v>
      </c>
      <c r="F197" s="429"/>
      <c r="G197" s="429"/>
      <c r="H197" s="429">
        <v>45657</v>
      </c>
      <c r="I197" s="429">
        <v>45657</v>
      </c>
      <c r="J197" s="429"/>
      <c r="K197" s="429"/>
      <c r="L197" s="429">
        <v>45657</v>
      </c>
      <c r="M197" s="429">
        <v>45657</v>
      </c>
      <c r="N197" s="429"/>
      <c r="O197" s="429">
        <v>45657</v>
      </c>
      <c r="P197" s="429">
        <v>45657</v>
      </c>
      <c r="Q197" s="429"/>
      <c r="R197" s="429"/>
      <c r="S197" s="429">
        <v>45657</v>
      </c>
      <c r="T197" s="429">
        <v>45657</v>
      </c>
      <c r="U197" s="429"/>
      <c r="V197" s="429">
        <v>45657</v>
      </c>
      <c r="W197" s="429">
        <v>45657</v>
      </c>
      <c r="X197" s="429"/>
      <c r="Y197" s="429">
        <v>45657</v>
      </c>
      <c r="AA197" s="429">
        <v>45657</v>
      </c>
      <c r="AC197" s="429">
        <v>45657</v>
      </c>
      <c r="AD197" s="429">
        <v>45657</v>
      </c>
      <c r="AE197" s="429">
        <v>45657</v>
      </c>
    </row>
    <row r="198" spans="1:32" s="423" customFormat="1" ht="13" customHeight="1">
      <c r="C198" s="430"/>
      <c r="E198" s="431"/>
      <c r="F198" s="431"/>
      <c r="G198" s="431"/>
      <c r="H198" s="431"/>
      <c r="I198" s="431"/>
      <c r="J198" s="431"/>
      <c r="K198" s="431"/>
      <c r="L198" s="431"/>
      <c r="M198" s="431"/>
      <c r="N198" s="431"/>
      <c r="O198" s="431"/>
      <c r="P198" s="431"/>
      <c r="Q198" s="431"/>
      <c r="R198" s="431"/>
      <c r="S198" s="431"/>
      <c r="T198" s="431"/>
      <c r="U198" s="431"/>
      <c r="V198" s="431"/>
      <c r="W198" s="431"/>
      <c r="X198" s="431"/>
      <c r="Y198" s="431"/>
      <c r="AA198" s="432"/>
      <c r="AC198" s="432"/>
      <c r="AD198" s="432"/>
      <c r="AE198" s="432"/>
    </row>
    <row r="199" spans="1:32" s="423" customFormat="1">
      <c r="A199" s="423" t="s">
        <v>640</v>
      </c>
      <c r="C199" s="423" t="s">
        <v>543</v>
      </c>
      <c r="D199" s="434"/>
      <c r="E199" s="435">
        <v>0</v>
      </c>
      <c r="F199" s="435">
        <v>0</v>
      </c>
      <c r="G199" s="435"/>
      <c r="H199" s="435">
        <f>SUM(E199:G199)</f>
        <v>0</v>
      </c>
      <c r="I199" s="435">
        <v>-602176647044.65283</v>
      </c>
      <c r="J199" s="435">
        <v>-365063829601.27496</v>
      </c>
      <c r="K199" s="435"/>
      <c r="L199" s="435">
        <f>SUM(I199:K199)</f>
        <v>-967240476645.92773</v>
      </c>
      <c r="M199" s="435">
        <v>-37537565842.349998</v>
      </c>
      <c r="N199" s="435">
        <v>0</v>
      </c>
      <c r="O199" s="435">
        <f>SUM(M199:N199)</f>
        <v>-37537565842.349998</v>
      </c>
      <c r="P199" s="435">
        <v>-18757067.175000001</v>
      </c>
      <c r="Q199" s="435">
        <v>-114241183940.03639</v>
      </c>
      <c r="R199" s="435"/>
      <c r="S199" s="435">
        <f t="shared" ref="S199:S205" si="169">SUM(P199:R199)</f>
        <v>-114259941007.2114</v>
      </c>
      <c r="T199" s="435">
        <v>-153971324258.34598</v>
      </c>
      <c r="U199" s="435"/>
      <c r="V199" s="435">
        <f>SUM(T199:U199)</f>
        <v>-153971324258.34598</v>
      </c>
      <c r="W199" s="435">
        <v>-7875000</v>
      </c>
      <c r="X199" s="435"/>
      <c r="Y199" s="435">
        <f>SUM(W199:X199)</f>
        <v>-7875000</v>
      </c>
      <c r="Z199" s="435">
        <v>0</v>
      </c>
      <c r="AA199" s="435">
        <v>0</v>
      </c>
      <c r="AB199" s="435">
        <v>0</v>
      </c>
      <c r="AC199" s="435">
        <f t="shared" ref="AC199:AC207" si="170">SUM(H199,L199,O199,S199,V199,Y199)</f>
        <v>-1273017182753.835</v>
      </c>
      <c r="AD199" s="435">
        <f>SUM('Elimination 2024'!G72,'Elimination 2024'!G75,'Elimination 2024'!G78,'Elimination 2024'!G81,'Elimination 2024'!G86)</f>
        <v>1273017182752.1106</v>
      </c>
      <c r="AE199" s="435">
        <f>SUM(AC199:AD199)</f>
        <v>-1.724365234375</v>
      </c>
    </row>
    <row r="200" spans="1:32" s="423" customFormat="1">
      <c r="A200" s="423" t="s">
        <v>688</v>
      </c>
      <c r="D200" s="423" t="s">
        <v>546</v>
      </c>
      <c r="E200" s="435">
        <v>-80799731258.399994</v>
      </c>
      <c r="F200" s="435">
        <v>80799731258.399994</v>
      </c>
      <c r="G200" s="435"/>
      <c r="H200" s="435">
        <f t="shared" ref="H200:H207" si="171">SUM(E200:G200)</f>
        <v>0</v>
      </c>
      <c r="I200" s="435">
        <v>0</v>
      </c>
      <c r="J200" s="435">
        <v>0</v>
      </c>
      <c r="K200" s="435"/>
      <c r="L200" s="435">
        <f t="shared" ref="L200:L207" si="172">SUM(I200:K200)</f>
        <v>0</v>
      </c>
      <c r="M200" s="435">
        <v>-5040938.7</v>
      </c>
      <c r="N200" s="435">
        <v>0</v>
      </c>
      <c r="O200" s="435">
        <f t="shared" ref="O200:O201" si="173">SUM(M200:N200)</f>
        <v>-5040938.7</v>
      </c>
      <c r="P200" s="435">
        <v>-676679678.32499993</v>
      </c>
      <c r="Q200" s="435">
        <v>0</v>
      </c>
      <c r="R200" s="435"/>
      <c r="S200" s="435">
        <f t="shared" si="169"/>
        <v>-676679678.32499993</v>
      </c>
      <c r="T200" s="435">
        <v>-2182619971.8539996</v>
      </c>
      <c r="U200" s="435">
        <f>'Adjustment Consol'!J78</f>
        <v>-15925560001.186502</v>
      </c>
      <c r="V200" s="435">
        <f t="shared" ref="V200:V212" si="174">SUM(T200:U200)</f>
        <v>-18108179973.040501</v>
      </c>
      <c r="W200" s="435">
        <v>0</v>
      </c>
      <c r="X200" s="435"/>
      <c r="Y200" s="435">
        <f t="shared" ref="Y200:Y212" si="175">SUM(W200:X200)</f>
        <v>0</v>
      </c>
      <c r="Z200" s="435">
        <v>0</v>
      </c>
      <c r="AA200" s="435">
        <v>0</v>
      </c>
      <c r="AB200" s="435">
        <v>0</v>
      </c>
      <c r="AC200" s="435">
        <f t="shared" si="170"/>
        <v>-18789900590.065502</v>
      </c>
      <c r="AD200" s="435">
        <f>'Elimination 2024'!G95+'Elimination 2024'!G92+'Elimination 2024'!G89</f>
        <v>18789900590.065502</v>
      </c>
      <c r="AE200" s="435">
        <f t="shared" ref="AE200:AE212" si="176">SUM(AC200:AD200)</f>
        <v>0</v>
      </c>
    </row>
    <row r="201" spans="1:32" s="423" customFormat="1">
      <c r="A201" s="423" t="s">
        <v>740</v>
      </c>
      <c r="D201" s="423" t="s">
        <v>547</v>
      </c>
      <c r="E201" s="435">
        <v>-787500000</v>
      </c>
      <c r="F201" s="435">
        <v>0</v>
      </c>
      <c r="G201" s="435"/>
      <c r="H201" s="435">
        <f t="shared" si="171"/>
        <v>-787500000</v>
      </c>
      <c r="I201" s="435">
        <v>-15119999999.9055</v>
      </c>
      <c r="J201" s="435">
        <v>-6869142182.6999998</v>
      </c>
      <c r="K201" s="435"/>
      <c r="L201" s="435">
        <f t="shared" si="172"/>
        <v>-21989142182.605499</v>
      </c>
      <c r="M201" s="435">
        <v>0</v>
      </c>
      <c r="N201" s="435">
        <v>0</v>
      </c>
      <c r="O201" s="435">
        <f t="shared" si="173"/>
        <v>0</v>
      </c>
      <c r="P201" s="435">
        <v>0</v>
      </c>
      <c r="Q201" s="435">
        <v>0</v>
      </c>
      <c r="R201" s="435"/>
      <c r="S201" s="435">
        <f t="shared" si="169"/>
        <v>0</v>
      </c>
      <c r="T201" s="435">
        <v>0</v>
      </c>
      <c r="U201" s="435"/>
      <c r="V201" s="435">
        <f t="shared" si="174"/>
        <v>0</v>
      </c>
      <c r="W201" s="435">
        <v>0</v>
      </c>
      <c r="X201" s="435"/>
      <c r="Y201" s="435">
        <f t="shared" si="175"/>
        <v>0</v>
      </c>
      <c r="Z201" s="435">
        <v>0</v>
      </c>
      <c r="AA201" s="435">
        <v>0</v>
      </c>
      <c r="AB201" s="435">
        <v>0</v>
      </c>
      <c r="AC201" s="435">
        <f t="shared" si="170"/>
        <v>-22776642182.605499</v>
      </c>
      <c r="AD201" s="435">
        <f>'Elimination 2024'!G101+'Elimination 2024'!G98</f>
        <v>22776642182.605499</v>
      </c>
      <c r="AE201" s="435">
        <f t="shared" si="176"/>
        <v>0</v>
      </c>
    </row>
    <row r="202" spans="1:32" s="423" customFormat="1">
      <c r="A202" s="423" t="s">
        <v>465</v>
      </c>
      <c r="D202" s="423" t="s">
        <v>548</v>
      </c>
      <c r="E202" s="435">
        <f>-43893598218.75--14834984.8499985</f>
        <v>-43878763233.900002</v>
      </c>
      <c r="F202" s="435">
        <v>43858772412.525002</v>
      </c>
      <c r="G202" s="435"/>
      <c r="H202" s="435">
        <f t="shared" si="171"/>
        <v>-19990821.375</v>
      </c>
      <c r="I202" s="435">
        <v>-15390371.91825</v>
      </c>
      <c r="J202" s="435">
        <v>-93947.175000000003</v>
      </c>
      <c r="K202" s="435"/>
      <c r="L202" s="435">
        <f t="shared" si="172"/>
        <v>-15484319.093250001</v>
      </c>
      <c r="M202" s="435">
        <v>0</v>
      </c>
      <c r="N202" s="435">
        <v>0</v>
      </c>
      <c r="O202" s="435">
        <f t="shared" ref="O202:O205" si="177">SUM(M202:N202)</f>
        <v>0</v>
      </c>
      <c r="P202" s="435">
        <v>0</v>
      </c>
      <c r="Q202" s="435">
        <v>0</v>
      </c>
      <c r="R202" s="435"/>
      <c r="S202" s="435">
        <f t="shared" si="169"/>
        <v>0</v>
      </c>
      <c r="T202" s="435">
        <v>-22664430436.724998</v>
      </c>
      <c r="U202" s="435"/>
      <c r="V202" s="435">
        <f t="shared" si="174"/>
        <v>-22664430436.724998</v>
      </c>
      <c r="W202" s="435">
        <v>0</v>
      </c>
      <c r="X202" s="435">
        <f>'Adjustment Consol'!J87</f>
        <v>-152775000</v>
      </c>
      <c r="Y202" s="435">
        <f t="shared" si="175"/>
        <v>-152775000</v>
      </c>
      <c r="Z202" s="435">
        <v>0</v>
      </c>
      <c r="AA202" s="435">
        <v>0</v>
      </c>
      <c r="AB202" s="435">
        <v>0</v>
      </c>
      <c r="AC202" s="435">
        <f t="shared" si="170"/>
        <v>-22852680577.193249</v>
      </c>
      <c r="AD202" s="435">
        <f>'Elimination 2024'!G113+'Elimination 2024'!G104+'Elimination 2024'!G107+'Elimination 2024'!G110</f>
        <v>22852680577.193249</v>
      </c>
      <c r="AE202" s="436">
        <f t="shared" si="176"/>
        <v>0</v>
      </c>
      <c r="AF202" s="454"/>
    </row>
    <row r="203" spans="1:32" s="423" customFormat="1">
      <c r="A203" s="423" t="s">
        <v>639</v>
      </c>
      <c r="D203" s="423" t="s">
        <v>545</v>
      </c>
      <c r="E203" s="435">
        <v>0</v>
      </c>
      <c r="F203" s="435">
        <v>0</v>
      </c>
      <c r="G203" s="435"/>
      <c r="H203" s="435">
        <f t="shared" si="171"/>
        <v>0</v>
      </c>
      <c r="I203" s="435">
        <v>0</v>
      </c>
      <c r="J203" s="435">
        <v>0</v>
      </c>
      <c r="K203" s="435"/>
      <c r="L203" s="435">
        <f t="shared" si="172"/>
        <v>0</v>
      </c>
      <c r="M203" s="435">
        <v>0</v>
      </c>
      <c r="N203" s="435">
        <v>0</v>
      </c>
      <c r="O203" s="435">
        <f t="shared" si="177"/>
        <v>0</v>
      </c>
      <c r="P203" s="435">
        <v>0</v>
      </c>
      <c r="Q203" s="435">
        <v>0</v>
      </c>
      <c r="R203" s="435"/>
      <c r="S203" s="435">
        <f t="shared" si="169"/>
        <v>0</v>
      </c>
      <c r="T203" s="435">
        <v>0</v>
      </c>
      <c r="U203" s="435"/>
      <c r="V203" s="435">
        <f t="shared" si="174"/>
        <v>0</v>
      </c>
      <c r="W203" s="435">
        <v>0</v>
      </c>
      <c r="X203" s="435"/>
      <c r="Y203" s="435">
        <f t="shared" si="175"/>
        <v>0</v>
      </c>
      <c r="Z203" s="435">
        <v>0</v>
      </c>
      <c r="AA203" s="435">
        <v>0</v>
      </c>
      <c r="AB203" s="435">
        <v>0</v>
      </c>
      <c r="AC203" s="435">
        <f t="shared" si="170"/>
        <v>0</v>
      </c>
      <c r="AD203" s="435"/>
      <c r="AE203" s="435">
        <f t="shared" si="176"/>
        <v>0</v>
      </c>
    </row>
    <row r="204" spans="1:32" s="423" customFormat="1">
      <c r="A204" s="423" t="s">
        <v>461</v>
      </c>
      <c r="D204" s="423" t="s">
        <v>549</v>
      </c>
      <c r="E204" s="435">
        <v>0</v>
      </c>
      <c r="F204" s="435">
        <v>0</v>
      </c>
      <c r="G204" s="435"/>
      <c r="H204" s="435">
        <f t="shared" si="171"/>
        <v>0</v>
      </c>
      <c r="I204" s="435">
        <v>0</v>
      </c>
      <c r="J204" s="435">
        <v>0</v>
      </c>
      <c r="K204" s="435"/>
      <c r="L204" s="435">
        <f t="shared" si="172"/>
        <v>0</v>
      </c>
      <c r="M204" s="435">
        <v>0</v>
      </c>
      <c r="N204" s="435">
        <v>0</v>
      </c>
      <c r="O204" s="435">
        <f t="shared" si="177"/>
        <v>0</v>
      </c>
      <c r="P204" s="435">
        <v>0</v>
      </c>
      <c r="Q204" s="435">
        <v>0</v>
      </c>
      <c r="R204" s="435"/>
      <c r="S204" s="435">
        <f t="shared" si="169"/>
        <v>0</v>
      </c>
      <c r="T204" s="435">
        <v>0</v>
      </c>
      <c r="U204" s="435"/>
      <c r="V204" s="435">
        <f t="shared" si="174"/>
        <v>0</v>
      </c>
      <c r="W204" s="435">
        <v>0</v>
      </c>
      <c r="X204" s="435"/>
      <c r="Y204" s="435">
        <f t="shared" si="175"/>
        <v>0</v>
      </c>
      <c r="Z204" s="435">
        <v>0</v>
      </c>
      <c r="AA204" s="435">
        <v>0</v>
      </c>
      <c r="AB204" s="435">
        <v>0</v>
      </c>
      <c r="AC204" s="435">
        <f t="shared" si="170"/>
        <v>0</v>
      </c>
      <c r="AD204" s="435"/>
      <c r="AE204" s="435">
        <f t="shared" si="176"/>
        <v>0</v>
      </c>
    </row>
    <row r="205" spans="1:32" s="423" customFormat="1">
      <c r="A205" s="433" t="s">
        <v>609</v>
      </c>
      <c r="D205" s="434" t="s">
        <v>544</v>
      </c>
      <c r="E205" s="435">
        <v>-31668191569.349998</v>
      </c>
      <c r="F205" s="435">
        <v>31628816569.349998</v>
      </c>
      <c r="G205" s="435"/>
      <c r="H205" s="435">
        <f t="shared" si="171"/>
        <v>-39375000</v>
      </c>
      <c r="I205" s="435">
        <v>15925560001.186497</v>
      </c>
      <c r="J205" s="435">
        <v>0</v>
      </c>
      <c r="K205" s="435">
        <f>'Adjustment Consol'!J46</f>
        <v>-15925560001.186502</v>
      </c>
      <c r="L205" s="435">
        <f t="shared" si="172"/>
        <v>0</v>
      </c>
      <c r="M205" s="435">
        <v>0</v>
      </c>
      <c r="N205" s="435">
        <v>0</v>
      </c>
      <c r="O205" s="435">
        <f t="shared" si="177"/>
        <v>0</v>
      </c>
      <c r="P205" s="435">
        <v>0</v>
      </c>
      <c r="Q205" s="435">
        <v>0</v>
      </c>
      <c r="R205" s="435"/>
      <c r="S205" s="435">
        <f t="shared" si="169"/>
        <v>0</v>
      </c>
      <c r="T205" s="435">
        <v>0</v>
      </c>
      <c r="U205" s="435"/>
      <c r="V205" s="435">
        <f t="shared" si="174"/>
        <v>0</v>
      </c>
      <c r="W205" s="435">
        <v>0</v>
      </c>
      <c r="X205" s="435">
        <f>'Adjustment Consol'!J84</f>
        <v>-86625000</v>
      </c>
      <c r="Y205" s="435">
        <f t="shared" si="175"/>
        <v>-86625000</v>
      </c>
      <c r="Z205" s="435">
        <v>0</v>
      </c>
      <c r="AA205" s="435">
        <v>0</v>
      </c>
      <c r="AB205" s="435">
        <v>0</v>
      </c>
      <c r="AC205" s="435">
        <f t="shared" si="170"/>
        <v>-126000000</v>
      </c>
      <c r="AD205" s="435">
        <f>'Elimination 2024'!G116+'Elimination 2024'!G119</f>
        <v>126000000</v>
      </c>
      <c r="AE205" s="435">
        <f t="shared" si="176"/>
        <v>0</v>
      </c>
    </row>
    <row r="206" spans="1:32" s="423" customFormat="1">
      <c r="A206" s="433"/>
      <c r="D206" s="434" t="s">
        <v>662</v>
      </c>
      <c r="E206" s="435">
        <v>0</v>
      </c>
      <c r="F206" s="435">
        <v>0</v>
      </c>
      <c r="G206" s="435"/>
      <c r="H206" s="435">
        <f t="shared" si="171"/>
        <v>0</v>
      </c>
      <c r="I206" s="435">
        <v>0</v>
      </c>
      <c r="J206" s="435">
        <v>0</v>
      </c>
      <c r="K206" s="435"/>
      <c r="L206" s="435">
        <f t="shared" si="172"/>
        <v>0</v>
      </c>
      <c r="M206" s="435"/>
      <c r="N206" s="435"/>
      <c r="O206" s="435"/>
      <c r="P206" s="435"/>
      <c r="Q206" s="435"/>
      <c r="R206" s="435"/>
      <c r="S206" s="435"/>
      <c r="T206" s="435">
        <v>9124026907.2749996</v>
      </c>
      <c r="U206" s="435"/>
      <c r="V206" s="435">
        <f t="shared" ref="V206" si="178">SUM(T206:U206)</f>
        <v>9124026907.2749996</v>
      </c>
      <c r="W206" s="435">
        <v>0</v>
      </c>
      <c r="X206" s="435"/>
      <c r="Y206" s="435"/>
      <c r="Z206" s="435"/>
      <c r="AA206" s="435"/>
      <c r="AB206" s="435"/>
      <c r="AC206" s="435">
        <f t="shared" si="170"/>
        <v>9124026907.2749996</v>
      </c>
      <c r="AD206" s="435">
        <f>-'Elimination 2024'!G82</f>
        <v>-9124026906.5646496</v>
      </c>
      <c r="AE206" s="435">
        <f t="shared" ref="AE206" si="179">SUM(AC206:AD206)</f>
        <v>0.71035003662109375</v>
      </c>
    </row>
    <row r="207" spans="1:32" s="423" customFormat="1">
      <c r="A207" s="433"/>
      <c r="D207" s="434" t="s">
        <v>449</v>
      </c>
      <c r="E207" s="435">
        <v>0</v>
      </c>
      <c r="F207" s="435">
        <v>0</v>
      </c>
      <c r="G207" s="435"/>
      <c r="H207" s="435">
        <f t="shared" si="171"/>
        <v>0</v>
      </c>
      <c r="I207" s="435">
        <v>0</v>
      </c>
      <c r="J207" s="435">
        <v>0</v>
      </c>
      <c r="K207" s="435"/>
      <c r="L207" s="435">
        <f t="shared" si="172"/>
        <v>0</v>
      </c>
      <c r="M207" s="435"/>
      <c r="N207" s="435"/>
      <c r="O207" s="435"/>
      <c r="P207" s="435"/>
      <c r="Q207" s="435">
        <f>-50000000.2929535+50000000.2929535</f>
        <v>0</v>
      </c>
      <c r="R207" s="435"/>
      <c r="S207" s="435">
        <f>SUM(P207:R207)</f>
        <v>0</v>
      </c>
      <c r="T207" s="435">
        <v>0</v>
      </c>
      <c r="U207" s="435"/>
      <c r="V207" s="435">
        <f t="shared" si="174"/>
        <v>0</v>
      </c>
      <c r="W207" s="435">
        <v>0</v>
      </c>
      <c r="X207" s="435"/>
      <c r="Y207" s="435"/>
      <c r="Z207" s="435"/>
      <c r="AA207" s="435"/>
      <c r="AB207" s="435"/>
      <c r="AC207" s="435">
        <f t="shared" si="170"/>
        <v>0</v>
      </c>
      <c r="AD207" s="435"/>
      <c r="AE207" s="435">
        <f t="shared" si="176"/>
        <v>0</v>
      </c>
    </row>
    <row r="208" spans="1:32" s="423" customFormat="1">
      <c r="A208" s="433"/>
      <c r="D208" s="434"/>
      <c r="E208" s="435"/>
      <c r="F208" s="435"/>
      <c r="G208" s="435"/>
      <c r="H208" s="435"/>
      <c r="I208" s="435"/>
      <c r="J208" s="435"/>
      <c r="K208" s="435"/>
      <c r="L208" s="435"/>
      <c r="M208" s="435"/>
      <c r="N208" s="435"/>
      <c r="O208" s="435"/>
      <c r="P208" s="435"/>
      <c r="Q208" s="435"/>
      <c r="R208" s="435"/>
      <c r="S208" s="435"/>
      <c r="T208" s="435"/>
      <c r="U208" s="435"/>
      <c r="V208" s="435"/>
      <c r="W208" s="435"/>
      <c r="X208" s="435"/>
      <c r="Y208" s="435"/>
      <c r="Z208" s="435"/>
      <c r="AA208" s="435"/>
      <c r="AB208" s="435"/>
      <c r="AC208" s="435"/>
      <c r="AD208" s="435"/>
      <c r="AE208" s="435"/>
    </row>
    <row r="209" spans="1:31" s="423" customFormat="1">
      <c r="A209" s="433"/>
      <c r="C209" s="438" t="s">
        <v>661</v>
      </c>
      <c r="D209" s="439"/>
      <c r="E209" s="435"/>
      <c r="F209" s="435"/>
      <c r="G209" s="435"/>
      <c r="H209" s="435"/>
      <c r="I209" s="435"/>
      <c r="J209" s="435"/>
      <c r="K209" s="435"/>
      <c r="L209" s="435"/>
      <c r="M209" s="435"/>
      <c r="N209" s="435"/>
      <c r="O209" s="435"/>
      <c r="P209" s="435"/>
      <c r="Q209" s="435"/>
      <c r="R209" s="435"/>
      <c r="S209" s="435"/>
      <c r="T209" s="435"/>
      <c r="U209" s="435"/>
      <c r="V209" s="435"/>
      <c r="W209" s="435"/>
      <c r="X209" s="435"/>
      <c r="Y209" s="435"/>
      <c r="Z209" s="435"/>
      <c r="AA209" s="435"/>
      <c r="AB209" s="435"/>
      <c r="AC209" s="457"/>
      <c r="AD209" s="435"/>
      <c r="AE209" s="435"/>
    </row>
    <row r="210" spans="1:31" s="423" customFormat="1">
      <c r="A210" s="423" t="s">
        <v>802</v>
      </c>
      <c r="D210" s="423" t="s">
        <v>552</v>
      </c>
      <c r="E210" s="435">
        <f>-14834984.8499985</f>
        <v>-14834984.8499985</v>
      </c>
      <c r="F210" s="435">
        <v>0</v>
      </c>
      <c r="G210" s="435"/>
      <c r="H210" s="435">
        <f>SUM(E210:G210)</f>
        <v>-14834984.8499985</v>
      </c>
      <c r="I210" s="435">
        <v>-1890000000</v>
      </c>
      <c r="J210" s="435">
        <v>0</v>
      </c>
      <c r="K210" s="435"/>
      <c r="L210" s="435">
        <f>SUM(I210:K210)</f>
        <v>-1890000000</v>
      </c>
      <c r="M210" s="435">
        <v>0</v>
      </c>
      <c r="N210" s="435">
        <v>0</v>
      </c>
      <c r="O210" s="435">
        <f>SUM(M210:N210)</f>
        <v>0</v>
      </c>
      <c r="P210" s="435">
        <v>0</v>
      </c>
      <c r="Q210" s="435">
        <v>0</v>
      </c>
      <c r="R210" s="435"/>
      <c r="S210" s="435">
        <f>SUM(P210:R210)</f>
        <v>0</v>
      </c>
      <c r="T210" s="435">
        <v>0</v>
      </c>
      <c r="U210" s="435"/>
      <c r="V210" s="435">
        <f>SUM(T210:U210)</f>
        <v>0</v>
      </c>
      <c r="W210" s="435">
        <v>0</v>
      </c>
      <c r="X210" s="435"/>
      <c r="Y210" s="435">
        <f>SUM(W210:X210)</f>
        <v>0</v>
      </c>
      <c r="Z210" s="435">
        <v>0</v>
      </c>
      <c r="AA210" s="435">
        <v>0</v>
      </c>
      <c r="AB210" s="435">
        <v>0</v>
      </c>
      <c r="AC210" s="435">
        <f>SUM(H210,L210,O210,S210,V210,Y210)</f>
        <v>-1904834984.8499985</v>
      </c>
      <c r="AD210" s="435"/>
      <c r="AE210" s="435">
        <f>SUM(AC210:AD210)</f>
        <v>-1904834984.8499985</v>
      </c>
    </row>
    <row r="211" spans="1:31" s="423" customFormat="1">
      <c r="A211" s="433" t="s">
        <v>800</v>
      </c>
      <c r="D211" s="423" t="s">
        <v>550</v>
      </c>
      <c r="E211" s="435">
        <v>0</v>
      </c>
      <c r="F211" s="435">
        <v>-5712801042.375</v>
      </c>
      <c r="G211" s="435"/>
      <c r="H211" s="435">
        <f>SUM(E211:G211)</f>
        <v>-5712801042.375</v>
      </c>
      <c r="I211" s="435">
        <v>0</v>
      </c>
      <c r="J211" s="435">
        <v>-25838547734.474998</v>
      </c>
      <c r="K211" s="435"/>
      <c r="L211" s="435">
        <f t="shared" ref="L211:L214" si="180">SUM(I211:K211)</f>
        <v>-25838547734.474998</v>
      </c>
      <c r="M211" s="435">
        <v>0</v>
      </c>
      <c r="N211" s="435"/>
      <c r="O211" s="435">
        <f t="shared" ref="O211:O214" si="181">SUM(M211:N211)</f>
        <v>0</v>
      </c>
      <c r="P211" s="435">
        <v>0</v>
      </c>
      <c r="Q211" s="435">
        <v>0</v>
      </c>
      <c r="R211" s="435"/>
      <c r="S211" s="435">
        <f>SUM(P211:R211)</f>
        <v>0</v>
      </c>
      <c r="T211" s="435">
        <v>0</v>
      </c>
      <c r="U211" s="435"/>
      <c r="V211" s="435">
        <f t="shared" si="174"/>
        <v>0</v>
      </c>
      <c r="W211" s="435">
        <v>0</v>
      </c>
      <c r="X211" s="435"/>
      <c r="Y211" s="435">
        <f t="shared" si="175"/>
        <v>0</v>
      </c>
      <c r="Z211" s="435">
        <v>0</v>
      </c>
      <c r="AA211" s="435">
        <v>0</v>
      </c>
      <c r="AB211" s="435">
        <v>0</v>
      </c>
      <c r="AC211" s="435">
        <f t="shared" ref="AC211:AC214" si="182">SUM(H211,L211,O211,S211,V211,Y211)</f>
        <v>-31551348776.849998</v>
      </c>
      <c r="AD211" s="435"/>
      <c r="AE211" s="435">
        <f t="shared" si="176"/>
        <v>-31551348776.849998</v>
      </c>
    </row>
    <row r="212" spans="1:31" s="423" customFormat="1">
      <c r="A212" s="433" t="s">
        <v>630</v>
      </c>
      <c r="D212" s="423" t="s">
        <v>551</v>
      </c>
      <c r="E212" s="435">
        <v>0</v>
      </c>
      <c r="F212" s="435">
        <v>0</v>
      </c>
      <c r="G212" s="435">
        <f>'Adjustment Consol'!J19</f>
        <v>-3077191252.7999997</v>
      </c>
      <c r="H212" s="435">
        <f>SUM(E212:G212)</f>
        <v>-3077191252.7999997</v>
      </c>
      <c r="I212" s="435">
        <v>0</v>
      </c>
      <c r="J212" s="435">
        <v>-8796044108.25</v>
      </c>
      <c r="K212" s="435"/>
      <c r="L212" s="435">
        <f t="shared" si="180"/>
        <v>-8796044108.25</v>
      </c>
      <c r="M212" s="435">
        <v>0</v>
      </c>
      <c r="N212" s="435"/>
      <c r="O212" s="435">
        <f t="shared" si="181"/>
        <v>0</v>
      </c>
      <c r="P212" s="435">
        <v>-40302224.549999997</v>
      </c>
      <c r="Q212" s="435">
        <v>0</v>
      </c>
      <c r="R212" s="435"/>
      <c r="S212" s="435">
        <f>SUM(P212:R212)</f>
        <v>-40302224.549999997</v>
      </c>
      <c r="T212" s="435">
        <v>0</v>
      </c>
      <c r="U212" s="435"/>
      <c r="V212" s="435">
        <f t="shared" si="174"/>
        <v>0</v>
      </c>
      <c r="W212" s="435">
        <v>0</v>
      </c>
      <c r="X212" s="435"/>
      <c r="Y212" s="435">
        <f t="shared" si="175"/>
        <v>0</v>
      </c>
      <c r="Z212" s="435">
        <v>0</v>
      </c>
      <c r="AA212" s="435">
        <v>0</v>
      </c>
      <c r="AB212" s="435">
        <v>0</v>
      </c>
      <c r="AC212" s="435">
        <f t="shared" si="182"/>
        <v>-11913537585.599998</v>
      </c>
      <c r="AD212" s="435"/>
      <c r="AE212" s="435">
        <f t="shared" si="176"/>
        <v>-11913537585.599998</v>
      </c>
    </row>
    <row r="213" spans="1:31" s="423" customFormat="1">
      <c r="A213" s="433" t="s">
        <v>811</v>
      </c>
      <c r="D213" s="423" t="s">
        <v>553</v>
      </c>
      <c r="E213" s="435">
        <v>0</v>
      </c>
      <c r="F213" s="435">
        <v>-13909457480.625</v>
      </c>
      <c r="G213" s="435">
        <f>'Adjustment Consol'!J16</f>
        <v>-7560000000</v>
      </c>
      <c r="H213" s="435">
        <f t="shared" ref="H213" si="183">SUM(E213:G213)</f>
        <v>-21469457480.625</v>
      </c>
      <c r="I213" s="435">
        <v>0</v>
      </c>
      <c r="J213" s="435">
        <v>0</v>
      </c>
      <c r="K213" s="435"/>
      <c r="L213" s="435">
        <f t="shared" si="180"/>
        <v>0</v>
      </c>
      <c r="M213" s="435">
        <v>0</v>
      </c>
      <c r="N213" s="435"/>
      <c r="O213" s="435">
        <f t="shared" si="181"/>
        <v>0</v>
      </c>
      <c r="P213" s="435">
        <v>0</v>
      </c>
      <c r="Q213" s="435">
        <v>-14961740740.883999</v>
      </c>
      <c r="R213" s="435"/>
      <c r="S213" s="435">
        <f>SUM(P213:R213)</f>
        <v>-14961740740.883999</v>
      </c>
      <c r="T213" s="435">
        <v>0</v>
      </c>
      <c r="U213" s="435"/>
      <c r="V213" s="435">
        <f t="shared" ref="V213:V214" si="184">SUM(T213:U213)</f>
        <v>0</v>
      </c>
      <c r="W213" s="435">
        <v>0</v>
      </c>
      <c r="X213" s="435"/>
      <c r="Y213" s="435">
        <f t="shared" ref="Y213:Y214" si="185">SUM(W213:X213)</f>
        <v>0</v>
      </c>
      <c r="Z213" s="435">
        <v>0</v>
      </c>
      <c r="AA213" s="435">
        <v>0</v>
      </c>
      <c r="AB213" s="435">
        <v>0</v>
      </c>
      <c r="AC213" s="435">
        <f t="shared" si="182"/>
        <v>-36431198221.509003</v>
      </c>
      <c r="AD213" s="435"/>
      <c r="AE213" s="435">
        <f t="shared" ref="AE213:AE214" si="186">SUM(AC213:AD213)</f>
        <v>-36431198221.509003</v>
      </c>
    </row>
    <row r="214" spans="1:31" s="423" customFormat="1">
      <c r="A214" s="433" t="s">
        <v>816</v>
      </c>
      <c r="D214" s="423" t="s">
        <v>555</v>
      </c>
      <c r="E214" s="435">
        <v>0</v>
      </c>
      <c r="F214" s="435">
        <v>0</v>
      </c>
      <c r="G214" s="435"/>
      <c r="H214" s="435">
        <f t="shared" ref="H214" si="187">SUM(E214:G214)</f>
        <v>0</v>
      </c>
      <c r="I214" s="435">
        <v>0</v>
      </c>
      <c r="J214" s="435">
        <v>0</v>
      </c>
      <c r="K214" s="435"/>
      <c r="L214" s="435">
        <f t="shared" si="180"/>
        <v>0</v>
      </c>
      <c r="M214" s="435">
        <v>0</v>
      </c>
      <c r="N214" s="435"/>
      <c r="O214" s="435">
        <f t="shared" si="181"/>
        <v>0</v>
      </c>
      <c r="P214" s="435">
        <v>0</v>
      </c>
      <c r="Q214" s="435">
        <v>-40465643.379603535</v>
      </c>
      <c r="R214" s="435"/>
      <c r="S214" s="435">
        <f>SUM(P214:R214)</f>
        <v>-40465643.379603535</v>
      </c>
      <c r="T214" s="435">
        <v>0</v>
      </c>
      <c r="U214" s="435"/>
      <c r="V214" s="435">
        <f t="shared" si="184"/>
        <v>0</v>
      </c>
      <c r="W214" s="435">
        <v>0</v>
      </c>
      <c r="X214" s="435"/>
      <c r="Y214" s="435">
        <f t="shared" si="185"/>
        <v>0</v>
      </c>
      <c r="Z214" s="435">
        <v>0</v>
      </c>
      <c r="AA214" s="435">
        <v>0</v>
      </c>
      <c r="AB214" s="435">
        <v>0</v>
      </c>
      <c r="AC214" s="435">
        <f t="shared" si="182"/>
        <v>-40465643.379603535</v>
      </c>
      <c r="AD214" s="435"/>
      <c r="AE214" s="435">
        <f t="shared" si="186"/>
        <v>-40465643.379603535</v>
      </c>
    </row>
    <row r="215" spans="1:31" s="423" customFormat="1">
      <c r="A215" s="417"/>
      <c r="B215" s="417"/>
      <c r="C215" s="417"/>
      <c r="D215" s="417"/>
      <c r="E215" s="435"/>
      <c r="F215" s="435"/>
      <c r="G215" s="435"/>
      <c r="H215" s="435"/>
      <c r="I215" s="435"/>
      <c r="J215" s="435"/>
      <c r="K215" s="435"/>
      <c r="L215" s="435"/>
      <c r="M215" s="435"/>
      <c r="N215" s="435"/>
      <c r="O215" s="435"/>
      <c r="P215" s="435"/>
      <c r="Q215" s="435"/>
      <c r="R215" s="435"/>
      <c r="S215" s="435"/>
      <c r="T215" s="435"/>
      <c r="U215" s="435"/>
      <c r="V215" s="435"/>
      <c r="W215" s="435"/>
      <c r="X215" s="435"/>
      <c r="Y215" s="435"/>
      <c r="AA215" s="417"/>
      <c r="AC215" s="417"/>
      <c r="AD215" s="417"/>
      <c r="AE215" s="417"/>
    </row>
    <row r="216" spans="1:31" s="417" customFormat="1" ht="13.5" thickBot="1">
      <c r="E216" s="458">
        <f t="shared" ref="E216:M216" si="188">SUM(E198:E215)</f>
        <v>-157149021046.5</v>
      </c>
      <c r="F216" s="458">
        <f t="shared" si="188"/>
        <v>136665061717.27499</v>
      </c>
      <c r="G216" s="458">
        <f t="shared" si="188"/>
        <v>-10637191252.799999</v>
      </c>
      <c r="H216" s="458">
        <f t="shared" si="188"/>
        <v>-31121150582.024998</v>
      </c>
      <c r="I216" s="458">
        <f t="shared" si="188"/>
        <v>-603276477415.29004</v>
      </c>
      <c r="J216" s="458">
        <f t="shared" si="188"/>
        <v>-406567657573.87494</v>
      </c>
      <c r="K216" s="458">
        <f t="shared" si="188"/>
        <v>-15925560001.186502</v>
      </c>
      <c r="L216" s="458">
        <f t="shared" si="188"/>
        <v>-1025769694990.3514</v>
      </c>
      <c r="M216" s="458">
        <f t="shared" si="188"/>
        <v>-37542606781.049995</v>
      </c>
      <c r="N216" s="458"/>
      <c r="O216" s="458">
        <f>SUM(O198:O215)</f>
        <v>-37542606781.049995</v>
      </c>
      <c r="P216" s="458">
        <f>SUM(P198:P215)</f>
        <v>-735738970.04999983</v>
      </c>
      <c r="Q216" s="458">
        <f>SUM(Q198:Q215)</f>
        <v>-129243390324.3</v>
      </c>
      <c r="R216" s="458"/>
      <c r="S216" s="458">
        <f t="shared" ref="S216:Y216" si="189">SUM(S198:S215)</f>
        <v>-129979129294.35001</v>
      </c>
      <c r="T216" s="458">
        <f t="shared" si="189"/>
        <v>-169694347759.64999</v>
      </c>
      <c r="U216" s="458">
        <f t="shared" si="189"/>
        <v>-15925560001.186502</v>
      </c>
      <c r="V216" s="458">
        <f t="shared" si="189"/>
        <v>-185619907760.83649</v>
      </c>
      <c r="W216" s="458">
        <f t="shared" si="189"/>
        <v>-7875000</v>
      </c>
      <c r="X216" s="458">
        <f t="shared" si="189"/>
        <v>-239400000</v>
      </c>
      <c r="Y216" s="458">
        <f t="shared" si="189"/>
        <v>-247275000</v>
      </c>
      <c r="AA216" s="458">
        <f>SUM(AA198:AA215)</f>
        <v>0</v>
      </c>
      <c r="AC216" s="458">
        <f>SUM(AC198:AC215)</f>
        <v>-1410279764408.6133</v>
      </c>
      <c r="AD216" s="458">
        <f>SUM(AD198:AD215)</f>
        <v>1328438379195.4102</v>
      </c>
      <c r="AE216" s="458">
        <f>SUM(AE198:AE215)</f>
        <v>-81841385213.202621</v>
      </c>
    </row>
    <row r="217" spans="1:31" s="417" customFormat="1" ht="13.5" thickTop="1">
      <c r="E217" s="443"/>
      <c r="F217" s="443"/>
      <c r="G217" s="443"/>
      <c r="H217" s="443"/>
      <c r="I217" s="443"/>
      <c r="J217" s="443"/>
      <c r="K217" s="443"/>
      <c r="L217" s="443"/>
      <c r="M217" s="443"/>
      <c r="N217" s="443"/>
      <c r="O217" s="443"/>
      <c r="P217" s="443"/>
      <c r="Q217" s="443"/>
      <c r="R217" s="443"/>
      <c r="S217" s="443"/>
      <c r="T217" s="443"/>
      <c r="U217" s="443"/>
      <c r="V217" s="443"/>
      <c r="W217" s="443"/>
      <c r="X217" s="443"/>
      <c r="Y217" s="443"/>
      <c r="AA217" s="443"/>
      <c r="AC217" s="443"/>
      <c r="AD217" s="443"/>
      <c r="AE217" s="443"/>
    </row>
    <row r="218" spans="1:31" s="417" customFormat="1" ht="13">
      <c r="D218" s="445" t="s">
        <v>435</v>
      </c>
      <c r="E218" s="446">
        <f>'Consol SoFP 24'!D66</f>
        <v>-157149021046</v>
      </c>
      <c r="F218" s="446">
        <f>'Consol SoFP 24'!E66</f>
        <v>136665061717</v>
      </c>
      <c r="G218" s="446">
        <f>'Consol SoFP 24'!G66</f>
        <v>-10637191252.799999</v>
      </c>
      <c r="H218" s="446">
        <f>'Consol SoFP 24'!H66</f>
        <v>-31121150581.799999</v>
      </c>
      <c r="I218" s="446">
        <f>'Consol SoFP 24'!I66</f>
        <v>-603276477415</v>
      </c>
      <c r="J218" s="446">
        <f>'Consol SoFP 24'!J66</f>
        <v>-406567657574</v>
      </c>
      <c r="K218" s="446">
        <f>'Consol SoFP 24'!K66</f>
        <v>-15925560001.186502</v>
      </c>
      <c r="L218" s="446">
        <f>'Consol SoFP 24'!L66</f>
        <v>-1025769694990.1865</v>
      </c>
      <c r="M218" s="446">
        <f>'Consol SoFP 24'!M66</f>
        <v>-37542606781</v>
      </c>
      <c r="N218" s="446">
        <f>'Consol SoFP 24'!N66</f>
        <v>0</v>
      </c>
      <c r="O218" s="446">
        <f>'Consol SoFP 24'!O66</f>
        <v>-37542606781</v>
      </c>
      <c r="P218" s="446">
        <f>'Consol SoFP 24'!P66</f>
        <v>-735738971</v>
      </c>
      <c r="Q218" s="446">
        <f>'Consol SoFP 24'!Q66</f>
        <v>-129243390324</v>
      </c>
      <c r="R218" s="446">
        <f>'Consol SoFP 24'!R66</f>
        <v>0</v>
      </c>
      <c r="S218" s="446">
        <f>'Consol SoFP 24'!S66</f>
        <v>-129979129295</v>
      </c>
      <c r="T218" s="446" t="e">
        <f>'Consol SoFP 24'!T66+'Consol SoFP 24'!#REF!</f>
        <v>#REF!</v>
      </c>
      <c r="U218" s="446">
        <f>'Consol SoFP 24'!U66</f>
        <v>-15925560001.186502</v>
      </c>
      <c r="V218" s="446" t="e">
        <f>'Consol SoFP 24'!V66+'Consol SoFP 24'!#REF!</f>
        <v>#REF!</v>
      </c>
      <c r="W218" s="446">
        <f>'Consol SoFP 24'!W66</f>
        <v>-7875000</v>
      </c>
      <c r="X218" s="446">
        <f>'Consol SoFP 24'!X66</f>
        <v>-239400000</v>
      </c>
      <c r="Y218" s="446">
        <f>'Consol SoFP 24'!Y66</f>
        <v>-247275000</v>
      </c>
      <c r="AA218" s="446">
        <v>0</v>
      </c>
      <c r="AC218" s="459" t="e">
        <f>'Consol SoFP 24'!AE66+'Consol SoFP 24'!#REF!</f>
        <v>#REF!</v>
      </c>
      <c r="AD218" s="459">
        <f>SUM('Consol SoFP 24'!AF66:AG66)</f>
        <v>1328438379195.4102</v>
      </c>
      <c r="AE218" s="459" t="e">
        <f>'Consol SoFP 24'!AH66+'Consol SoFP 24'!#REF!</f>
        <v>#REF!</v>
      </c>
    </row>
    <row r="219" spans="1:31" s="417" customFormat="1" ht="13">
      <c r="D219" s="445" t="s">
        <v>111</v>
      </c>
      <c r="E219" s="442">
        <f t="shared" ref="E219:H219" si="190">E216-E218</f>
        <v>-0.5</v>
      </c>
      <c r="F219" s="442">
        <f t="shared" si="190"/>
        <v>0.274993896484375</v>
      </c>
      <c r="G219" s="442">
        <f t="shared" si="190"/>
        <v>0</v>
      </c>
      <c r="H219" s="442">
        <f t="shared" si="190"/>
        <v>-0.22499847412109375</v>
      </c>
      <c r="I219" s="442">
        <f t="shared" ref="I219:J219" si="191">ROUND(I216-I218,0)</f>
        <v>0</v>
      </c>
      <c r="J219" s="442">
        <f t="shared" si="191"/>
        <v>0</v>
      </c>
      <c r="K219" s="442">
        <f>ROUND(K216-K218,0)</f>
        <v>0</v>
      </c>
      <c r="L219" s="442">
        <f t="shared" ref="L219:Y219" si="192">ROUND(L216-L218,0)</f>
        <v>0</v>
      </c>
      <c r="M219" s="442">
        <f t="shared" si="192"/>
        <v>0</v>
      </c>
      <c r="N219" s="442">
        <f t="shared" si="192"/>
        <v>0</v>
      </c>
      <c r="O219" s="442">
        <f t="shared" si="192"/>
        <v>0</v>
      </c>
      <c r="P219" s="442">
        <f t="shared" si="192"/>
        <v>1</v>
      </c>
      <c r="Q219" s="442">
        <f t="shared" si="192"/>
        <v>0</v>
      </c>
      <c r="R219" s="442">
        <f t="shared" si="192"/>
        <v>0</v>
      </c>
      <c r="S219" s="442">
        <f t="shared" si="192"/>
        <v>1</v>
      </c>
      <c r="T219" s="442" t="e">
        <f t="shared" si="192"/>
        <v>#REF!</v>
      </c>
      <c r="U219" s="442">
        <f t="shared" si="192"/>
        <v>0</v>
      </c>
      <c r="V219" s="442" t="e">
        <f t="shared" si="192"/>
        <v>#REF!</v>
      </c>
      <c r="W219" s="442">
        <f t="shared" si="192"/>
        <v>0</v>
      </c>
      <c r="X219" s="442">
        <f t="shared" si="192"/>
        <v>0</v>
      </c>
      <c r="Y219" s="442">
        <f t="shared" si="192"/>
        <v>0</v>
      </c>
      <c r="AA219" s="442">
        <f t="shared" ref="AA219:AE219" si="193">AA216-AA218</f>
        <v>0</v>
      </c>
      <c r="AC219" s="442" t="e">
        <f t="shared" si="193"/>
        <v>#REF!</v>
      </c>
      <c r="AD219" s="442">
        <f t="shared" si="193"/>
        <v>0</v>
      </c>
      <c r="AE219" s="442" t="e">
        <f t="shared" si="193"/>
        <v>#REF!</v>
      </c>
    </row>
    <row r="220" spans="1:31" s="417" customFormat="1" ht="13">
      <c r="D220" s="445"/>
      <c r="E220" s="443"/>
      <c r="F220" s="443"/>
      <c r="G220" s="443"/>
      <c r="H220" s="443"/>
      <c r="I220" s="443"/>
      <c r="J220" s="443"/>
      <c r="K220" s="443"/>
      <c r="L220" s="443"/>
      <c r="M220" s="443"/>
      <c r="N220" s="443"/>
      <c r="O220" s="443"/>
      <c r="P220" s="443"/>
      <c r="Q220" s="443">
        <f>-Q219</f>
        <v>0</v>
      </c>
      <c r="R220" s="443"/>
      <c r="S220" s="443"/>
      <c r="T220" s="443"/>
      <c r="U220" s="443"/>
      <c r="V220" s="443"/>
      <c r="W220" s="443"/>
      <c r="X220" s="443"/>
      <c r="Y220" s="443"/>
      <c r="AA220" s="443"/>
      <c r="AC220" s="443"/>
      <c r="AD220" s="443"/>
      <c r="AE220" s="443"/>
    </row>
    <row r="221" spans="1:31" s="417" customFormat="1" ht="13" thickBot="1">
      <c r="A221" s="447"/>
      <c r="B221" s="447"/>
      <c r="C221" s="447"/>
      <c r="D221" s="447"/>
      <c r="E221" s="447"/>
      <c r="F221" s="447"/>
      <c r="G221" s="447"/>
      <c r="H221" s="447"/>
      <c r="I221" s="447"/>
      <c r="J221" s="447"/>
      <c r="K221" s="447"/>
      <c r="L221" s="447"/>
      <c r="M221" s="447"/>
      <c r="N221" s="447"/>
      <c r="O221" s="447"/>
      <c r="P221" s="447"/>
      <c r="Q221" s="447"/>
      <c r="R221" s="447"/>
      <c r="S221" s="447"/>
      <c r="T221" s="447"/>
      <c r="U221" s="447"/>
      <c r="V221" s="447"/>
      <c r="W221" s="447"/>
      <c r="X221" s="447"/>
      <c r="Y221" s="447"/>
      <c r="AA221" s="447"/>
      <c r="AC221" s="447"/>
      <c r="AD221" s="447"/>
      <c r="AE221" s="447"/>
    </row>
    <row r="222" spans="1:31" s="417" customFormat="1" ht="13">
      <c r="D222" s="445"/>
      <c r="E222" s="443"/>
      <c r="F222" s="443"/>
      <c r="G222" s="443"/>
      <c r="H222" s="443"/>
      <c r="I222" s="443"/>
      <c r="J222" s="443"/>
      <c r="K222" s="443"/>
      <c r="L222" s="443"/>
      <c r="M222" s="443"/>
      <c r="N222" s="443"/>
      <c r="O222" s="443"/>
      <c r="P222" s="443"/>
      <c r="Q222" s="443"/>
      <c r="R222" s="443"/>
      <c r="S222" s="443"/>
      <c r="T222" s="443"/>
      <c r="U222" s="443"/>
      <c r="V222" s="443"/>
      <c r="W222" s="443"/>
      <c r="X222" s="443"/>
      <c r="Y222" s="443"/>
      <c r="AA222" s="443"/>
      <c r="AC222" s="443"/>
      <c r="AD222" s="443"/>
      <c r="AE222" s="443"/>
    </row>
    <row r="223" spans="1:31" s="417" customFormat="1" ht="13">
      <c r="B223" s="414" t="s">
        <v>450</v>
      </c>
      <c r="I223" s="457"/>
      <c r="P223" s="457">
        <f>P231+L99</f>
        <v>-1.5749998092651367</v>
      </c>
      <c r="Q223" s="457"/>
    </row>
    <row r="224" spans="1:31" s="417" customFormat="1" ht="13">
      <c r="A224" s="423"/>
      <c r="B224" s="423"/>
      <c r="C224" s="423"/>
      <c r="D224" s="423"/>
      <c r="E224" s="428" t="s">
        <v>426</v>
      </c>
      <c r="F224" s="428" t="s">
        <v>6</v>
      </c>
      <c r="G224" s="428" t="s">
        <v>334</v>
      </c>
      <c r="H224" s="428" t="s">
        <v>427</v>
      </c>
      <c r="I224" s="428" t="s">
        <v>426</v>
      </c>
      <c r="J224" s="428" t="s">
        <v>6</v>
      </c>
      <c r="K224" s="428" t="s">
        <v>334</v>
      </c>
      <c r="L224" s="428" t="s">
        <v>427</v>
      </c>
      <c r="M224" s="428" t="s">
        <v>426</v>
      </c>
      <c r="N224" s="428" t="s">
        <v>334</v>
      </c>
      <c r="O224" s="428" t="s">
        <v>427</v>
      </c>
      <c r="P224" s="428" t="s">
        <v>426</v>
      </c>
      <c r="Q224" s="428" t="s">
        <v>6</v>
      </c>
      <c r="R224" s="428" t="s">
        <v>334</v>
      </c>
      <c r="S224" s="428" t="s">
        <v>427</v>
      </c>
      <c r="T224" s="428" t="s">
        <v>426</v>
      </c>
      <c r="U224" s="428" t="s">
        <v>334</v>
      </c>
      <c r="V224" s="428" t="s">
        <v>427</v>
      </c>
      <c r="W224" s="428" t="s">
        <v>426</v>
      </c>
      <c r="X224" s="428" t="s">
        <v>334</v>
      </c>
      <c r="Y224" s="428" t="s">
        <v>427</v>
      </c>
      <c r="Z224" s="423"/>
      <c r="AA224" s="428" t="s">
        <v>428</v>
      </c>
      <c r="AB224" s="423"/>
      <c r="AC224" s="428" t="s">
        <v>11</v>
      </c>
      <c r="AD224" s="428" t="s">
        <v>429</v>
      </c>
      <c r="AE224" s="428" t="s">
        <v>13</v>
      </c>
    </row>
    <row r="225" spans="1:31" s="417" customFormat="1" ht="13">
      <c r="A225" s="423"/>
      <c r="B225" s="423"/>
      <c r="C225" s="423"/>
      <c r="D225" s="423"/>
      <c r="E225" s="429">
        <v>45657</v>
      </c>
      <c r="F225" s="429"/>
      <c r="G225" s="429"/>
      <c r="H225" s="429">
        <v>45657</v>
      </c>
      <c r="I225" s="429">
        <v>45657</v>
      </c>
      <c r="J225" s="429"/>
      <c r="K225" s="429"/>
      <c r="L225" s="429">
        <v>45657</v>
      </c>
      <c r="M225" s="429">
        <v>45657</v>
      </c>
      <c r="N225" s="429"/>
      <c r="O225" s="429">
        <v>45657</v>
      </c>
      <c r="P225" s="429">
        <v>45657</v>
      </c>
      <c r="Q225" s="429"/>
      <c r="R225" s="429"/>
      <c r="S225" s="429">
        <v>45657</v>
      </c>
      <c r="T225" s="429">
        <v>45657</v>
      </c>
      <c r="U225" s="429"/>
      <c r="V225" s="429">
        <v>45657</v>
      </c>
      <c r="W225" s="429">
        <v>45657</v>
      </c>
      <c r="X225" s="429"/>
      <c r="Y225" s="429">
        <v>45657</v>
      </c>
      <c r="Z225" s="423"/>
      <c r="AA225" s="429">
        <v>45657</v>
      </c>
      <c r="AB225" s="423"/>
      <c r="AC225" s="429">
        <v>45657</v>
      </c>
      <c r="AD225" s="429">
        <v>45657</v>
      </c>
      <c r="AE225" s="429">
        <v>45657</v>
      </c>
    </row>
    <row r="226" spans="1:31" s="423" customFormat="1" ht="13" customHeight="1">
      <c r="C226" s="430"/>
      <c r="E226" s="431"/>
      <c r="F226" s="431"/>
      <c r="G226" s="431"/>
      <c r="H226" s="431"/>
      <c r="I226" s="431"/>
      <c r="J226" s="431"/>
      <c r="K226" s="431"/>
      <c r="L226" s="431"/>
      <c r="M226" s="431"/>
      <c r="N226" s="431"/>
      <c r="O226" s="431"/>
      <c r="P226" s="431"/>
      <c r="Q226" s="431"/>
      <c r="R226" s="431"/>
      <c r="S226" s="431"/>
      <c r="T226" s="431"/>
      <c r="U226" s="431"/>
      <c r="V226" s="431"/>
      <c r="W226" s="431"/>
      <c r="X226" s="431"/>
      <c r="Y226" s="431"/>
      <c r="AA226" s="432"/>
      <c r="AC226" s="432"/>
      <c r="AD226" s="432"/>
      <c r="AE226" s="432"/>
    </row>
    <row r="227" spans="1:31" s="423" customFormat="1">
      <c r="A227" s="423" t="s">
        <v>640</v>
      </c>
      <c r="C227" s="423" t="s">
        <v>543</v>
      </c>
      <c r="D227" s="434"/>
      <c r="E227" s="435"/>
      <c r="F227" s="435">
        <v>0</v>
      </c>
      <c r="G227" s="435"/>
      <c r="H227" s="435">
        <f t="shared" ref="H227:H234" si="194">SUM(E227:G227)</f>
        <v>0</v>
      </c>
      <c r="I227" s="435">
        <v>0</v>
      </c>
      <c r="J227" s="435">
        <v>0</v>
      </c>
      <c r="K227" s="435"/>
      <c r="L227" s="435">
        <f t="shared" ref="L227:L234" si="195">SUM(I227:K227)</f>
        <v>0</v>
      </c>
      <c r="M227" s="435">
        <v>0</v>
      </c>
      <c r="N227" s="435"/>
      <c r="O227" s="435">
        <f t="shared" ref="O227:O234" si="196">SUM(M227:N227)</f>
        <v>0</v>
      </c>
      <c r="P227" s="435">
        <v>0</v>
      </c>
      <c r="Q227" s="435"/>
      <c r="R227" s="435"/>
      <c r="S227" s="435">
        <f t="shared" ref="S227:S234" si="197">SUM(P227:R227)</f>
        <v>0</v>
      </c>
      <c r="T227" s="435">
        <v>0</v>
      </c>
      <c r="U227" s="435"/>
      <c r="V227" s="435">
        <f t="shared" ref="V227:V234" si="198">SUM(T227:U227)</f>
        <v>0</v>
      </c>
      <c r="W227" s="435">
        <v>0</v>
      </c>
      <c r="X227" s="435"/>
      <c r="Y227" s="435">
        <f t="shared" ref="Y227:Y234" si="199">SUM(W227:X227)</f>
        <v>0</v>
      </c>
      <c r="AA227" s="435"/>
      <c r="AC227" s="435">
        <f>SUM(H227,L227,O227,S227,V227,Y227)</f>
        <v>0</v>
      </c>
      <c r="AD227" s="435">
        <v>0</v>
      </c>
      <c r="AE227" s="435">
        <f>SUM(AC227:AD227)</f>
        <v>0</v>
      </c>
    </row>
    <row r="228" spans="1:31" s="423" customFormat="1">
      <c r="A228" s="423" t="s">
        <v>688</v>
      </c>
      <c r="D228" s="423" t="s">
        <v>546</v>
      </c>
      <c r="E228" s="435">
        <v>0</v>
      </c>
      <c r="F228" s="435">
        <v>0</v>
      </c>
      <c r="G228" s="435"/>
      <c r="H228" s="435">
        <f t="shared" si="194"/>
        <v>0</v>
      </c>
      <c r="I228" s="435">
        <v>0</v>
      </c>
      <c r="J228" s="435">
        <v>0</v>
      </c>
      <c r="K228" s="435"/>
      <c r="L228" s="435">
        <f t="shared" si="195"/>
        <v>0</v>
      </c>
      <c r="M228" s="435">
        <v>0</v>
      </c>
      <c r="N228" s="435"/>
      <c r="O228" s="435">
        <f t="shared" si="196"/>
        <v>0</v>
      </c>
      <c r="P228" s="435">
        <v>0</v>
      </c>
      <c r="Q228" s="435">
        <v>0</v>
      </c>
      <c r="R228" s="435"/>
      <c r="S228" s="435">
        <f t="shared" si="197"/>
        <v>0</v>
      </c>
      <c r="T228" s="435">
        <v>-30256823164.049999</v>
      </c>
      <c r="U228" s="435">
        <f>'Consol SoFP 24'!U69</f>
        <v>-28711285630.649998</v>
      </c>
      <c r="V228" s="435">
        <f t="shared" si="198"/>
        <v>-58968108794.699997</v>
      </c>
      <c r="W228" s="435">
        <v>0</v>
      </c>
      <c r="X228" s="435"/>
      <c r="Y228" s="435">
        <f t="shared" si="199"/>
        <v>0</v>
      </c>
      <c r="AA228" s="435"/>
      <c r="AC228" s="435">
        <f t="shared" ref="AC228:AC234" si="200">SUM(H228,L228,O228,S228,V228,Y228)</f>
        <v>-58968108794.699997</v>
      </c>
      <c r="AD228" s="435">
        <f>'Elimination 2024'!G146+'Elimination 2024'!G140</f>
        <v>58968108794.699997</v>
      </c>
      <c r="AE228" s="435">
        <f>SUM(AC228:AD228)</f>
        <v>0</v>
      </c>
    </row>
    <row r="229" spans="1:31" s="423" customFormat="1">
      <c r="A229" s="423" t="s">
        <v>802</v>
      </c>
      <c r="D229" s="423" t="s">
        <v>552</v>
      </c>
      <c r="E229" s="435">
        <v>0</v>
      </c>
      <c r="F229" s="435">
        <v>0</v>
      </c>
      <c r="G229" s="435"/>
      <c r="H229" s="435">
        <f t="shared" si="194"/>
        <v>0</v>
      </c>
      <c r="I229" s="435">
        <v>0</v>
      </c>
      <c r="J229" s="435">
        <v>0</v>
      </c>
      <c r="K229" s="435"/>
      <c r="L229" s="435">
        <f t="shared" si="195"/>
        <v>0</v>
      </c>
      <c r="M229" s="435">
        <v>0</v>
      </c>
      <c r="N229" s="435"/>
      <c r="O229" s="435">
        <f t="shared" si="196"/>
        <v>0</v>
      </c>
      <c r="P229" s="435">
        <v>0</v>
      </c>
      <c r="Q229" s="435">
        <v>0</v>
      </c>
      <c r="R229" s="435"/>
      <c r="S229" s="435">
        <f t="shared" si="197"/>
        <v>0</v>
      </c>
      <c r="T229" s="435">
        <v>0</v>
      </c>
      <c r="U229" s="435"/>
      <c r="V229" s="435">
        <f t="shared" si="198"/>
        <v>0</v>
      </c>
      <c r="W229" s="435">
        <v>0</v>
      </c>
      <c r="X229" s="435"/>
      <c r="Y229" s="435">
        <f t="shared" si="199"/>
        <v>0</v>
      </c>
      <c r="AA229" s="435"/>
      <c r="AC229" s="435">
        <f t="shared" si="200"/>
        <v>0</v>
      </c>
      <c r="AD229" s="435">
        <f>-AC229</f>
        <v>0</v>
      </c>
      <c r="AE229" s="435">
        <f t="shared" ref="AE229:AE230" si="201">SUM(AC229:AD229)</f>
        <v>0</v>
      </c>
    </row>
    <row r="230" spans="1:31" s="423" customFormat="1">
      <c r="A230" s="423" t="s">
        <v>740</v>
      </c>
      <c r="D230" s="423" t="s">
        <v>547</v>
      </c>
      <c r="E230" s="435">
        <v>0</v>
      </c>
      <c r="F230" s="435">
        <v>0</v>
      </c>
      <c r="G230" s="435"/>
      <c r="H230" s="435">
        <f t="shared" si="194"/>
        <v>0</v>
      </c>
      <c r="I230" s="435">
        <v>0</v>
      </c>
      <c r="J230" s="435">
        <v>0</v>
      </c>
      <c r="K230" s="435"/>
      <c r="L230" s="435">
        <f t="shared" si="195"/>
        <v>0</v>
      </c>
      <c r="M230" s="435">
        <v>0</v>
      </c>
      <c r="N230" s="435"/>
      <c r="O230" s="435">
        <f t="shared" si="196"/>
        <v>0</v>
      </c>
      <c r="P230" s="435">
        <v>0</v>
      </c>
      <c r="Q230" s="435">
        <v>0</v>
      </c>
      <c r="R230" s="435"/>
      <c r="S230" s="435">
        <f t="shared" si="197"/>
        <v>0</v>
      </c>
      <c r="T230" s="435">
        <v>0</v>
      </c>
      <c r="U230" s="435"/>
      <c r="V230" s="435">
        <f t="shared" si="198"/>
        <v>0</v>
      </c>
      <c r="W230" s="435">
        <v>0</v>
      </c>
      <c r="X230" s="435"/>
      <c r="Y230" s="435">
        <f t="shared" si="199"/>
        <v>0</v>
      </c>
      <c r="AA230" s="435"/>
      <c r="AC230" s="435">
        <f t="shared" si="200"/>
        <v>0</v>
      </c>
      <c r="AD230" s="435"/>
      <c r="AE230" s="435">
        <f t="shared" si="201"/>
        <v>0</v>
      </c>
    </row>
    <row r="231" spans="1:31" s="423" customFormat="1">
      <c r="A231" s="423" t="s">
        <v>465</v>
      </c>
      <c r="D231" s="423" t="s">
        <v>548</v>
      </c>
      <c r="E231" s="435">
        <v>0</v>
      </c>
      <c r="F231" s="435">
        <v>0</v>
      </c>
      <c r="G231" s="435"/>
      <c r="H231" s="435">
        <f t="shared" si="194"/>
        <v>0</v>
      </c>
      <c r="I231" s="435">
        <v>0</v>
      </c>
      <c r="J231" s="435">
        <v>0</v>
      </c>
      <c r="K231" s="435"/>
      <c r="L231" s="435">
        <f t="shared" si="195"/>
        <v>0</v>
      </c>
      <c r="M231" s="435">
        <v>0</v>
      </c>
      <c r="N231" s="435"/>
      <c r="O231" s="435">
        <f t="shared" si="196"/>
        <v>0</v>
      </c>
      <c r="P231" s="435">
        <v>-5120912991.5999994</v>
      </c>
      <c r="Q231" s="435">
        <v>0</v>
      </c>
      <c r="R231" s="435"/>
      <c r="S231" s="435">
        <f t="shared" si="197"/>
        <v>-5120912991.5999994</v>
      </c>
      <c r="T231" s="435">
        <v>0</v>
      </c>
      <c r="U231" s="435"/>
      <c r="V231" s="435">
        <f t="shared" si="198"/>
        <v>0</v>
      </c>
      <c r="W231" s="435">
        <v>0</v>
      </c>
      <c r="X231" s="435"/>
      <c r="Y231" s="435">
        <f t="shared" si="199"/>
        <v>0</v>
      </c>
      <c r="AA231" s="435"/>
      <c r="AC231" s="435">
        <f t="shared" si="200"/>
        <v>-5120912991.5999994</v>
      </c>
      <c r="AD231" s="435">
        <f>'Elimination 2024'!G143</f>
        <v>5120912990.0249996</v>
      </c>
      <c r="AE231" s="435">
        <f t="shared" ref="AE231:AE234" si="202">SUM(AC231:AD231)</f>
        <v>-1.5749998092651367</v>
      </c>
    </row>
    <row r="232" spans="1:31" s="423" customFormat="1">
      <c r="A232" s="423" t="s">
        <v>639</v>
      </c>
      <c r="D232" s="423" t="s">
        <v>545</v>
      </c>
      <c r="E232" s="435">
        <v>0</v>
      </c>
      <c r="F232" s="435">
        <v>0</v>
      </c>
      <c r="G232" s="435"/>
      <c r="H232" s="435">
        <f t="shared" si="194"/>
        <v>0</v>
      </c>
      <c r="I232" s="435">
        <v>0</v>
      </c>
      <c r="J232" s="435">
        <v>0</v>
      </c>
      <c r="K232" s="435"/>
      <c r="L232" s="435">
        <f t="shared" si="195"/>
        <v>0</v>
      </c>
      <c r="M232" s="435">
        <v>0</v>
      </c>
      <c r="N232" s="435"/>
      <c r="O232" s="435">
        <f t="shared" si="196"/>
        <v>0</v>
      </c>
      <c r="P232" s="435">
        <v>0</v>
      </c>
      <c r="Q232" s="435">
        <v>0</v>
      </c>
      <c r="R232" s="435"/>
      <c r="S232" s="435">
        <f t="shared" si="197"/>
        <v>0</v>
      </c>
      <c r="T232" s="435">
        <v>0</v>
      </c>
      <c r="U232" s="435"/>
      <c r="V232" s="435">
        <f t="shared" si="198"/>
        <v>0</v>
      </c>
      <c r="W232" s="435">
        <v>0</v>
      </c>
      <c r="X232" s="435"/>
      <c r="Y232" s="435">
        <f t="shared" si="199"/>
        <v>0</v>
      </c>
      <c r="AA232" s="435"/>
      <c r="AC232" s="435">
        <f t="shared" si="200"/>
        <v>0</v>
      </c>
      <c r="AD232" s="435">
        <f>-AC232</f>
        <v>0</v>
      </c>
      <c r="AE232" s="435">
        <f t="shared" si="202"/>
        <v>0</v>
      </c>
    </row>
    <row r="233" spans="1:31" s="423" customFormat="1">
      <c r="A233" s="423" t="s">
        <v>461</v>
      </c>
      <c r="D233" s="423" t="s">
        <v>549</v>
      </c>
      <c r="E233" s="435">
        <v>0</v>
      </c>
      <c r="F233" s="435">
        <v>0</v>
      </c>
      <c r="G233" s="435"/>
      <c r="H233" s="435">
        <f t="shared" si="194"/>
        <v>0</v>
      </c>
      <c r="I233" s="435">
        <v>0</v>
      </c>
      <c r="J233" s="435">
        <v>0</v>
      </c>
      <c r="K233" s="435"/>
      <c r="L233" s="435">
        <f t="shared" si="195"/>
        <v>0</v>
      </c>
      <c r="M233" s="435">
        <v>0</v>
      </c>
      <c r="N233" s="435"/>
      <c r="O233" s="435">
        <f t="shared" si="196"/>
        <v>0</v>
      </c>
      <c r="P233" s="435">
        <v>0</v>
      </c>
      <c r="Q233" s="435">
        <v>0</v>
      </c>
      <c r="R233" s="435"/>
      <c r="S233" s="435">
        <f t="shared" si="197"/>
        <v>0</v>
      </c>
      <c r="T233" s="435">
        <v>0</v>
      </c>
      <c r="U233" s="435"/>
      <c r="V233" s="435">
        <f t="shared" si="198"/>
        <v>0</v>
      </c>
      <c r="W233" s="435">
        <v>0</v>
      </c>
      <c r="X233" s="435"/>
      <c r="Y233" s="435">
        <f t="shared" si="199"/>
        <v>0</v>
      </c>
      <c r="AA233" s="435"/>
      <c r="AC233" s="435">
        <f t="shared" si="200"/>
        <v>0</v>
      </c>
      <c r="AD233" s="435"/>
      <c r="AE233" s="435">
        <f t="shared" si="202"/>
        <v>0</v>
      </c>
    </row>
    <row r="234" spans="1:31" s="423" customFormat="1">
      <c r="A234" s="423" t="s">
        <v>609</v>
      </c>
      <c r="D234" s="434" t="s">
        <v>544</v>
      </c>
      <c r="E234" s="435">
        <v>-1130613.75</v>
      </c>
      <c r="F234" s="435">
        <v>0</v>
      </c>
      <c r="G234" s="435"/>
      <c r="H234" s="435">
        <f t="shared" si="194"/>
        <v>-1130613.75</v>
      </c>
      <c r="I234" s="435">
        <v>0</v>
      </c>
      <c r="J234" s="435">
        <v>0</v>
      </c>
      <c r="K234" s="435"/>
      <c r="L234" s="435">
        <f t="shared" si="195"/>
        <v>0</v>
      </c>
      <c r="M234" s="435">
        <v>0</v>
      </c>
      <c r="N234" s="435"/>
      <c r="O234" s="435">
        <f t="shared" si="196"/>
        <v>0</v>
      </c>
      <c r="P234" s="435">
        <v>0</v>
      </c>
      <c r="Q234" s="435">
        <v>0</v>
      </c>
      <c r="R234" s="435"/>
      <c r="S234" s="435">
        <f t="shared" si="197"/>
        <v>0</v>
      </c>
      <c r="T234" s="435">
        <v>0</v>
      </c>
      <c r="U234" s="435"/>
      <c r="V234" s="435">
        <f t="shared" si="198"/>
        <v>0</v>
      </c>
      <c r="W234" s="435">
        <v>0</v>
      </c>
      <c r="X234" s="435"/>
      <c r="Y234" s="435">
        <f t="shared" si="199"/>
        <v>0</v>
      </c>
      <c r="AA234" s="435"/>
      <c r="AC234" s="435">
        <f t="shared" si="200"/>
        <v>-1130613.75</v>
      </c>
      <c r="AD234" s="435">
        <f>'Elimination 2024'!G164</f>
        <v>1130613.75</v>
      </c>
      <c r="AE234" s="435">
        <f t="shared" si="202"/>
        <v>0</v>
      </c>
    </row>
    <row r="235" spans="1:31" s="417" customFormat="1">
      <c r="E235" s="435"/>
      <c r="F235" s="435"/>
      <c r="G235" s="435"/>
      <c r="H235" s="435"/>
      <c r="I235" s="435"/>
      <c r="J235" s="435"/>
      <c r="K235" s="435"/>
      <c r="L235" s="435"/>
      <c r="M235" s="435"/>
      <c r="N235" s="435"/>
      <c r="O235" s="435"/>
      <c r="P235" s="435"/>
      <c r="Q235" s="435"/>
      <c r="R235" s="435"/>
      <c r="S235" s="435"/>
      <c r="T235" s="435"/>
      <c r="U235" s="435"/>
      <c r="V235" s="435"/>
      <c r="W235" s="435"/>
      <c r="X235" s="435"/>
      <c r="Y235" s="435"/>
    </row>
    <row r="236" spans="1:31" s="417" customFormat="1">
      <c r="B236" s="416" t="s">
        <v>451</v>
      </c>
      <c r="H236" s="435"/>
      <c r="I236" s="435"/>
      <c r="J236" s="435"/>
      <c r="K236" s="435"/>
      <c r="L236" s="435"/>
      <c r="M236" s="435"/>
      <c r="N236" s="435"/>
      <c r="O236" s="435"/>
      <c r="P236" s="435"/>
      <c r="Q236" s="435"/>
      <c r="R236" s="435"/>
      <c r="S236" s="435"/>
      <c r="T236" s="435"/>
      <c r="U236" s="435"/>
      <c r="V236" s="435"/>
      <c r="W236" s="435"/>
      <c r="X236" s="435"/>
      <c r="Y236" s="435"/>
      <c r="AC236" s="435">
        <f t="shared" ref="AC236:AC238" si="203">SUM(H236,L236,O236,S236,V236,Y236)</f>
        <v>0</v>
      </c>
    </row>
    <row r="237" spans="1:31" s="417" customFormat="1">
      <c r="D237" s="417" t="s">
        <v>555</v>
      </c>
      <c r="F237" s="435">
        <v>-46093950</v>
      </c>
      <c r="H237" s="435">
        <f t="shared" ref="H237:H238" si="204">SUM(E237:G237)</f>
        <v>-46093950</v>
      </c>
      <c r="I237" s="435"/>
      <c r="J237" s="435"/>
      <c r="K237" s="435"/>
      <c r="L237" s="435"/>
      <c r="M237" s="435"/>
      <c r="N237" s="435"/>
      <c r="O237" s="435"/>
      <c r="P237" s="435">
        <v>0</v>
      </c>
      <c r="Q237" s="435"/>
      <c r="R237" s="435"/>
      <c r="S237" s="435">
        <f>SUM(P237:R237)</f>
        <v>0</v>
      </c>
      <c r="T237" s="435"/>
      <c r="U237" s="435"/>
      <c r="V237" s="435"/>
      <c r="W237" s="435">
        <v>0</v>
      </c>
      <c r="X237" s="435"/>
      <c r="Y237" s="435">
        <f t="shared" ref="Y237:Y238" si="205">SUM(W237:X237)</f>
        <v>0</v>
      </c>
      <c r="AC237" s="435">
        <f t="shared" si="203"/>
        <v>-46093950</v>
      </c>
      <c r="AE237" s="435">
        <f t="shared" ref="AE237:AE238" si="206">SUM(AC237:AD237)</f>
        <v>-46093950</v>
      </c>
    </row>
    <row r="238" spans="1:31" s="417" customFormat="1">
      <c r="D238" s="417" t="s">
        <v>602</v>
      </c>
      <c r="H238" s="435">
        <f t="shared" si="204"/>
        <v>0</v>
      </c>
      <c r="I238" s="435"/>
      <c r="J238" s="435"/>
      <c r="K238" s="435"/>
      <c r="L238" s="435"/>
      <c r="M238" s="435"/>
      <c r="N238" s="435"/>
      <c r="O238" s="435"/>
      <c r="P238" s="435">
        <v>0</v>
      </c>
      <c r="Q238" s="435"/>
      <c r="R238" s="435"/>
      <c r="S238" s="435">
        <f>SUM(P238:R238)</f>
        <v>0</v>
      </c>
      <c r="T238" s="435"/>
      <c r="U238" s="435"/>
      <c r="V238" s="435"/>
      <c r="W238" s="435">
        <v>0</v>
      </c>
      <c r="X238" s="435"/>
      <c r="Y238" s="435">
        <f t="shared" si="205"/>
        <v>0</v>
      </c>
      <c r="AC238" s="435">
        <f t="shared" si="203"/>
        <v>0</v>
      </c>
      <c r="AE238" s="435">
        <f t="shared" si="206"/>
        <v>0</v>
      </c>
    </row>
    <row r="239" spans="1:31" s="417" customFormat="1">
      <c r="E239" s="435"/>
      <c r="F239" s="435"/>
      <c r="G239" s="435"/>
      <c r="H239" s="435"/>
      <c r="I239" s="435"/>
      <c r="J239" s="435"/>
      <c r="K239" s="435"/>
      <c r="L239" s="435"/>
      <c r="M239" s="435"/>
      <c r="N239" s="435"/>
      <c r="O239" s="435"/>
      <c r="P239" s="435"/>
      <c r="Q239" s="435"/>
      <c r="R239" s="435"/>
      <c r="S239" s="435"/>
      <c r="T239" s="435"/>
      <c r="U239" s="435"/>
      <c r="V239" s="435"/>
      <c r="W239" s="435"/>
      <c r="X239" s="435"/>
      <c r="Y239" s="435"/>
    </row>
    <row r="240" spans="1:31" s="417" customFormat="1">
      <c r="E240" s="435"/>
      <c r="F240" s="435"/>
      <c r="G240" s="435"/>
      <c r="H240" s="435"/>
      <c r="I240" s="435"/>
      <c r="J240" s="435"/>
      <c r="K240" s="435"/>
      <c r="L240" s="435"/>
      <c r="M240" s="435"/>
      <c r="N240" s="435"/>
      <c r="O240" s="435"/>
      <c r="P240" s="435"/>
      <c r="Q240" s="435"/>
      <c r="R240" s="435"/>
      <c r="S240" s="435"/>
      <c r="T240" s="435"/>
      <c r="U240" s="435"/>
      <c r="V240" s="435"/>
      <c r="W240" s="435"/>
      <c r="X240" s="435"/>
      <c r="Y240" s="435"/>
    </row>
    <row r="241" spans="1:33" s="417" customFormat="1" ht="13.5" thickBot="1">
      <c r="E241" s="458">
        <f t="shared" ref="E241:AE241" si="207">SUM(E227:E238)</f>
        <v>-1130613.75</v>
      </c>
      <c r="F241" s="458">
        <f t="shared" si="207"/>
        <v>-46093950</v>
      </c>
      <c r="G241" s="458">
        <f t="shared" si="207"/>
        <v>0</v>
      </c>
      <c r="H241" s="458">
        <f>SUM(H227:H238)</f>
        <v>-47224563.75</v>
      </c>
      <c r="I241" s="458">
        <f t="shared" si="207"/>
        <v>0</v>
      </c>
      <c r="J241" s="458"/>
      <c r="K241" s="458">
        <f t="shared" si="207"/>
        <v>0</v>
      </c>
      <c r="L241" s="458">
        <f t="shared" si="207"/>
        <v>0</v>
      </c>
      <c r="M241" s="458">
        <f t="shared" si="207"/>
        <v>0</v>
      </c>
      <c r="N241" s="458">
        <f t="shared" si="207"/>
        <v>0</v>
      </c>
      <c r="O241" s="458">
        <f t="shared" si="207"/>
        <v>0</v>
      </c>
      <c r="P241" s="458">
        <f t="shared" si="207"/>
        <v>-5120912991.5999994</v>
      </c>
      <c r="Q241" s="458">
        <f t="shared" si="207"/>
        <v>0</v>
      </c>
      <c r="R241" s="458">
        <f t="shared" si="207"/>
        <v>0</v>
      </c>
      <c r="S241" s="458">
        <f t="shared" si="207"/>
        <v>-5120912991.5999994</v>
      </c>
      <c r="T241" s="458">
        <f t="shared" si="207"/>
        <v>-30256823164.049999</v>
      </c>
      <c r="U241" s="458">
        <f t="shared" si="207"/>
        <v>-28711285630.649998</v>
      </c>
      <c r="V241" s="458">
        <f t="shared" si="207"/>
        <v>-58968108794.699997</v>
      </c>
      <c r="W241" s="458">
        <f t="shared" si="207"/>
        <v>0</v>
      </c>
      <c r="X241" s="458">
        <f t="shared" si="207"/>
        <v>0</v>
      </c>
      <c r="Y241" s="458">
        <f t="shared" si="207"/>
        <v>0</v>
      </c>
      <c r="AA241" s="458">
        <f t="shared" si="207"/>
        <v>0</v>
      </c>
      <c r="AC241" s="458">
        <f t="shared" si="207"/>
        <v>-64136246350.049995</v>
      </c>
      <c r="AD241" s="458">
        <f t="shared" si="207"/>
        <v>64090152398.474998</v>
      </c>
      <c r="AE241" s="458">
        <f t="shared" si="207"/>
        <v>-46093951.574999809</v>
      </c>
    </row>
    <row r="242" spans="1:33" s="417" customFormat="1" ht="13.5" thickTop="1">
      <c r="D242" s="445"/>
      <c r="E242" s="443"/>
      <c r="F242" s="443"/>
      <c r="G242" s="443"/>
      <c r="H242" s="443"/>
      <c r="I242" s="443"/>
      <c r="J242" s="443"/>
      <c r="K242" s="443"/>
      <c r="L242" s="443"/>
      <c r="M242" s="443"/>
      <c r="N242" s="443"/>
      <c r="O242" s="443"/>
      <c r="P242" s="443"/>
      <c r="Q242" s="443"/>
      <c r="R242" s="443"/>
      <c r="S242" s="443"/>
      <c r="T242" s="443"/>
      <c r="U242" s="443"/>
      <c r="V242" s="443"/>
      <c r="W242" s="443"/>
      <c r="X242" s="443"/>
      <c r="Y242" s="443"/>
      <c r="AA242" s="443"/>
      <c r="AC242" s="443"/>
      <c r="AD242" s="443"/>
      <c r="AE242" s="443"/>
    </row>
    <row r="243" spans="1:33" s="417" customFormat="1" ht="13">
      <c r="D243" s="445" t="s">
        <v>435</v>
      </c>
      <c r="E243" s="446">
        <f>'Consol SoFP 24'!D69</f>
        <v>-1130613.75</v>
      </c>
      <c r="F243" s="446"/>
      <c r="G243" s="446">
        <f>'Consol SoFP 24'!F69</f>
        <v>0</v>
      </c>
      <c r="H243" s="446">
        <f>'Consol SoFP 24'!H69</f>
        <v>-47224563.75</v>
      </c>
      <c r="I243" s="446">
        <f>'Consol SoFP 24'!I69</f>
        <v>3066019373.223999</v>
      </c>
      <c r="J243" s="446">
        <f>'Consol SoFP 24'!J69</f>
        <v>-3066019373</v>
      </c>
      <c r="K243" s="446">
        <f>'Consol SoFP 24'!K69</f>
        <v>0</v>
      </c>
      <c r="L243" s="446">
        <f>'Consol SoFP 24'!L69</f>
        <v>0.2239990234375</v>
      </c>
      <c r="M243" s="446">
        <f>'Consol SoFP 24'!M69</f>
        <v>0</v>
      </c>
      <c r="N243" s="446">
        <f>'Consol SoFP 24'!N69</f>
        <v>0</v>
      </c>
      <c r="O243" s="446">
        <f>'Consol SoFP 24'!O69</f>
        <v>0</v>
      </c>
      <c r="P243" s="446">
        <f>'Consol SoFP 24'!P69</f>
        <v>-5120912992</v>
      </c>
      <c r="Q243" s="446">
        <f>'Consol SoFP 24'!Q69</f>
        <v>0</v>
      </c>
      <c r="R243" s="446">
        <f>'Consol SoFP 24'!R69</f>
        <v>0</v>
      </c>
      <c r="S243" s="446">
        <f>'Consol SoFP 24'!S69</f>
        <v>-5120912992</v>
      </c>
      <c r="T243" s="446">
        <f>'Consol SoFP 24'!T69</f>
        <v>-30256823164</v>
      </c>
      <c r="U243" s="446">
        <f>'Consol SoFP 24'!U69</f>
        <v>-28711285630.649998</v>
      </c>
      <c r="V243" s="446">
        <f>'Consol SoFP 24'!V69</f>
        <v>-58968108794.649994</v>
      </c>
      <c r="W243" s="446">
        <f>'Consol SoFP 24'!W69</f>
        <v>0</v>
      </c>
      <c r="X243" s="446">
        <f>'Consol SoFP 24'!X69</f>
        <v>0</v>
      </c>
      <c r="Y243" s="446">
        <f>'Consol SoFP 24'!Y69</f>
        <v>0</v>
      </c>
      <c r="AA243" s="446">
        <v>0</v>
      </c>
      <c r="AC243" s="446">
        <f>'Consol SoFP 24'!AE69</f>
        <v>-64136246350.175995</v>
      </c>
      <c r="AD243" s="446">
        <f>SUM('Consol SoFP 24'!AF69:AG69)</f>
        <v>64090152398.474998</v>
      </c>
      <c r="AE243" s="446">
        <f>'Consol SoFP 24'!AH69</f>
        <v>-46093952</v>
      </c>
      <c r="AG243" s="457"/>
    </row>
    <row r="244" spans="1:33" s="417" customFormat="1" ht="13">
      <c r="D244" s="445" t="s">
        <v>111</v>
      </c>
      <c r="E244" s="442">
        <f>ROUND(E241-E243,0)</f>
        <v>0</v>
      </c>
      <c r="F244" s="442"/>
      <c r="G244" s="442">
        <f t="shared" ref="G244:Y244" si="208">ROUND(G241-G243,0)</f>
        <v>0</v>
      </c>
      <c r="H244" s="442">
        <f t="shared" si="208"/>
        <v>0</v>
      </c>
      <c r="I244" s="442">
        <f t="shared" si="208"/>
        <v>-3066019373</v>
      </c>
      <c r="J244" s="442"/>
      <c r="K244" s="442">
        <f t="shared" si="208"/>
        <v>0</v>
      </c>
      <c r="L244" s="442">
        <f t="shared" si="208"/>
        <v>0</v>
      </c>
      <c r="M244" s="442">
        <f t="shared" si="208"/>
        <v>0</v>
      </c>
      <c r="N244" s="442">
        <f t="shared" si="208"/>
        <v>0</v>
      </c>
      <c r="O244" s="442">
        <f t="shared" si="208"/>
        <v>0</v>
      </c>
      <c r="P244" s="442">
        <f t="shared" si="208"/>
        <v>0</v>
      </c>
      <c r="Q244" s="442">
        <f t="shared" si="208"/>
        <v>0</v>
      </c>
      <c r="R244" s="442">
        <f t="shared" si="208"/>
        <v>0</v>
      </c>
      <c r="S244" s="442">
        <f t="shared" si="208"/>
        <v>0</v>
      </c>
      <c r="T244" s="442">
        <f t="shared" si="208"/>
        <v>0</v>
      </c>
      <c r="U244" s="442">
        <f t="shared" si="208"/>
        <v>0</v>
      </c>
      <c r="V244" s="442">
        <f t="shared" si="208"/>
        <v>0</v>
      </c>
      <c r="W244" s="442">
        <f t="shared" si="208"/>
        <v>0</v>
      </c>
      <c r="X244" s="442">
        <f t="shared" si="208"/>
        <v>0</v>
      </c>
      <c r="Y244" s="442">
        <f t="shared" si="208"/>
        <v>0</v>
      </c>
      <c r="AA244" s="442">
        <f t="shared" ref="AA244" si="209">AA241-AA243</f>
        <v>0</v>
      </c>
      <c r="AC244" s="442">
        <f t="shared" ref="AC244:AE244" si="210">AC241-AC243</f>
        <v>0.12599945068359375</v>
      </c>
      <c r="AD244" s="442">
        <f t="shared" si="210"/>
        <v>0</v>
      </c>
      <c r="AE244" s="442">
        <f t="shared" si="210"/>
        <v>0.42500019073486328</v>
      </c>
    </row>
    <row r="245" spans="1:33" s="417" customFormat="1" ht="13">
      <c r="D245" s="445"/>
      <c r="E245" s="443"/>
      <c r="F245" s="443"/>
      <c r="G245" s="443"/>
      <c r="H245" s="443"/>
      <c r="I245" s="443"/>
      <c r="J245" s="443"/>
      <c r="K245" s="443"/>
      <c r="L245" s="443"/>
      <c r="M245" s="443"/>
      <c r="N245" s="443"/>
      <c r="O245" s="443"/>
      <c r="P245" s="443">
        <f>-P244</f>
        <v>0</v>
      </c>
      <c r="Q245" s="443"/>
      <c r="R245" s="443"/>
      <c r="S245" s="443"/>
      <c r="T245" s="443"/>
      <c r="U245" s="443"/>
      <c r="V245" s="443"/>
      <c r="W245" s="443"/>
      <c r="X245" s="443"/>
      <c r="Y245" s="443"/>
      <c r="AA245" s="443"/>
      <c r="AC245" s="443"/>
      <c r="AD245" s="443"/>
      <c r="AE245" s="443"/>
    </row>
    <row r="246" spans="1:33" s="417" customFormat="1" ht="13" thickBot="1">
      <c r="A246" s="447"/>
      <c r="B246" s="447"/>
      <c r="C246" s="447"/>
      <c r="D246" s="447"/>
      <c r="E246" s="447"/>
      <c r="F246" s="447"/>
      <c r="G246" s="447"/>
      <c r="H246" s="447"/>
      <c r="I246" s="447"/>
      <c r="J246" s="447"/>
      <c r="K246" s="447"/>
      <c r="L246" s="447"/>
      <c r="M246" s="447"/>
      <c r="N246" s="447"/>
      <c r="O246" s="447"/>
      <c r="P246" s="447"/>
      <c r="Q246" s="447"/>
      <c r="R246" s="447"/>
      <c r="S246" s="447"/>
      <c r="T246" s="447"/>
      <c r="U246" s="447"/>
      <c r="V246" s="447"/>
      <c r="W246" s="447"/>
      <c r="X246" s="447"/>
      <c r="Y246" s="447"/>
      <c r="AA246" s="447"/>
      <c r="AC246" s="447"/>
      <c r="AD246" s="447"/>
      <c r="AE246" s="447"/>
    </row>
    <row r="247" spans="1:33" s="417" customFormat="1" ht="13">
      <c r="D247" s="445"/>
      <c r="E247" s="443"/>
      <c r="F247" s="443"/>
      <c r="G247" s="443"/>
      <c r="H247" s="443"/>
      <c r="I247" s="443"/>
      <c r="J247" s="443"/>
      <c r="K247" s="443"/>
      <c r="L247" s="443"/>
      <c r="M247" s="443"/>
      <c r="N247" s="443"/>
      <c r="O247" s="443"/>
      <c r="P247" s="443"/>
      <c r="Q247" s="443"/>
      <c r="R247" s="443"/>
      <c r="S247" s="443"/>
      <c r="T247" s="443"/>
      <c r="U247" s="443"/>
      <c r="V247" s="443"/>
      <c r="W247" s="443"/>
      <c r="X247" s="443"/>
      <c r="Y247" s="443"/>
      <c r="AA247" s="443"/>
      <c r="AC247" s="443"/>
      <c r="AD247" s="443"/>
      <c r="AE247" s="443"/>
    </row>
    <row r="248" spans="1:33" s="417" customFormat="1" ht="13">
      <c r="B248" s="414" t="s">
        <v>452</v>
      </c>
    </row>
    <row r="249" spans="1:33" s="417" customFormat="1" ht="13">
      <c r="A249" s="423"/>
      <c r="B249" s="423"/>
      <c r="C249" s="423"/>
      <c r="D249" s="423"/>
      <c r="E249" s="428" t="s">
        <v>426</v>
      </c>
      <c r="F249" s="428" t="s">
        <v>6</v>
      </c>
      <c r="G249" s="428" t="s">
        <v>334</v>
      </c>
      <c r="H249" s="428" t="s">
        <v>427</v>
      </c>
      <c r="I249" s="428" t="s">
        <v>426</v>
      </c>
      <c r="J249" s="428" t="s">
        <v>6</v>
      </c>
      <c r="K249" s="428" t="s">
        <v>334</v>
      </c>
      <c r="L249" s="428" t="s">
        <v>427</v>
      </c>
      <c r="M249" s="428" t="s">
        <v>426</v>
      </c>
      <c r="N249" s="428" t="s">
        <v>334</v>
      </c>
      <c r="O249" s="428" t="s">
        <v>427</v>
      </c>
      <c r="P249" s="428" t="s">
        <v>426</v>
      </c>
      <c r="Q249" s="428" t="s">
        <v>6</v>
      </c>
      <c r="R249" s="428" t="s">
        <v>334</v>
      </c>
      <c r="S249" s="428" t="s">
        <v>427</v>
      </c>
      <c r="T249" s="428" t="s">
        <v>426</v>
      </c>
      <c r="U249" s="428" t="s">
        <v>334</v>
      </c>
      <c r="V249" s="428" t="s">
        <v>427</v>
      </c>
      <c r="W249" s="428" t="s">
        <v>426</v>
      </c>
      <c r="X249" s="428" t="s">
        <v>334</v>
      </c>
      <c r="Y249" s="428" t="s">
        <v>427</v>
      </c>
      <c r="Z249" s="423"/>
      <c r="AA249" s="428" t="s">
        <v>428</v>
      </c>
      <c r="AB249" s="423"/>
      <c r="AC249" s="428" t="s">
        <v>11</v>
      </c>
      <c r="AD249" s="428" t="s">
        <v>429</v>
      </c>
      <c r="AE249" s="428" t="s">
        <v>13</v>
      </c>
    </row>
    <row r="250" spans="1:33" s="417" customFormat="1" ht="13">
      <c r="A250" s="423"/>
      <c r="B250" s="423"/>
      <c r="C250" s="423"/>
      <c r="D250" s="423"/>
      <c r="E250" s="429">
        <v>45657</v>
      </c>
      <c r="F250" s="429"/>
      <c r="G250" s="429"/>
      <c r="H250" s="429">
        <v>45657</v>
      </c>
      <c r="I250" s="429">
        <v>45657</v>
      </c>
      <c r="J250" s="429"/>
      <c r="K250" s="429"/>
      <c r="L250" s="429">
        <v>45657</v>
      </c>
      <c r="M250" s="429">
        <v>45657</v>
      </c>
      <c r="N250" s="429"/>
      <c r="O250" s="429">
        <v>45657</v>
      </c>
      <c r="P250" s="429">
        <v>45657</v>
      </c>
      <c r="Q250" s="429"/>
      <c r="R250" s="429"/>
      <c r="S250" s="429">
        <v>45657</v>
      </c>
      <c r="T250" s="429">
        <v>45657</v>
      </c>
      <c r="U250" s="429"/>
      <c r="V250" s="429">
        <v>45657</v>
      </c>
      <c r="W250" s="429">
        <v>45657</v>
      </c>
      <c r="X250" s="429"/>
      <c r="Y250" s="429">
        <v>45657</v>
      </c>
      <c r="Z250" s="423"/>
      <c r="AA250" s="429">
        <v>45657</v>
      </c>
      <c r="AB250" s="423"/>
      <c r="AC250" s="429">
        <v>45657</v>
      </c>
      <c r="AD250" s="429">
        <v>45657</v>
      </c>
      <c r="AE250" s="429">
        <v>45657</v>
      </c>
    </row>
    <row r="251" spans="1:33" s="423" customFormat="1" ht="13" customHeight="1">
      <c r="C251" s="430"/>
      <c r="E251" s="431"/>
      <c r="F251" s="431"/>
      <c r="G251" s="431"/>
      <c r="H251" s="431"/>
      <c r="I251" s="431"/>
      <c r="J251" s="431"/>
      <c r="K251" s="431"/>
      <c r="L251" s="431"/>
      <c r="M251" s="431"/>
      <c r="N251" s="431"/>
      <c r="O251" s="431"/>
      <c r="P251" s="431"/>
      <c r="Q251" s="431"/>
      <c r="R251" s="431"/>
      <c r="S251" s="431"/>
      <c r="T251" s="431"/>
      <c r="U251" s="431"/>
      <c r="V251" s="431"/>
      <c r="W251" s="431"/>
      <c r="X251" s="431"/>
      <c r="Y251" s="431"/>
      <c r="AA251" s="432"/>
      <c r="AC251" s="432"/>
      <c r="AD251" s="432"/>
      <c r="AE251" s="432"/>
    </row>
    <row r="252" spans="1:33" s="423" customFormat="1">
      <c r="C252" s="423" t="s">
        <v>543</v>
      </c>
      <c r="D252" s="434"/>
      <c r="E252" s="435"/>
      <c r="F252" s="435"/>
      <c r="G252" s="435"/>
      <c r="H252" s="435">
        <f t="shared" ref="H252:H259" si="211">SUM(E252:G252)</f>
        <v>0</v>
      </c>
      <c r="I252" s="435">
        <v>0</v>
      </c>
      <c r="J252" s="435">
        <v>0</v>
      </c>
      <c r="K252" s="435"/>
      <c r="L252" s="435">
        <f t="shared" ref="L252" si="212">SUM(I252:K252)</f>
        <v>0</v>
      </c>
      <c r="M252" s="435">
        <v>0</v>
      </c>
      <c r="N252" s="435"/>
      <c r="O252" s="435">
        <f t="shared" ref="O252" si="213">SUM(M252:N252)</f>
        <v>0</v>
      </c>
      <c r="P252" s="435">
        <v>0</v>
      </c>
      <c r="Q252" s="435">
        <v>0</v>
      </c>
      <c r="R252" s="435"/>
      <c r="S252" s="435">
        <f t="shared" ref="S252:S259" si="214">SUM(P252:R252)</f>
        <v>0</v>
      </c>
      <c r="T252" s="435">
        <v>0</v>
      </c>
      <c r="U252" s="435"/>
      <c r="V252" s="435">
        <f t="shared" ref="V252:V259" si="215">SUM(T252:U252)</f>
        <v>0</v>
      </c>
      <c r="W252" s="435">
        <v>0</v>
      </c>
      <c r="X252" s="435"/>
      <c r="Y252" s="435">
        <f t="shared" ref="Y252:Y259" si="216">SUM(W252:X252)</f>
        <v>0</v>
      </c>
      <c r="AA252" s="435"/>
      <c r="AC252" s="435">
        <f t="shared" ref="AC252:AC259" si="217">SUM(H252,L252,O252,S252,V252,Y252)</f>
        <v>0</v>
      </c>
      <c r="AD252" s="435"/>
      <c r="AE252" s="435">
        <f>SUM(AC252:AD252)</f>
        <v>0</v>
      </c>
    </row>
    <row r="253" spans="1:33" s="423" customFormat="1">
      <c r="D253" s="423" t="s">
        <v>546</v>
      </c>
      <c r="E253" s="435">
        <v>79329820854.375</v>
      </c>
      <c r="F253" s="435">
        <v>-57824863779.375</v>
      </c>
      <c r="G253" s="435">
        <f>'Equity &amp; Adjustment Consol'!D29</f>
        <v>-5130652270.7612705</v>
      </c>
      <c r="H253" s="435">
        <f>SUM(E253:G253)</f>
        <v>16374304804.238729</v>
      </c>
      <c r="I253" s="435">
        <v>0</v>
      </c>
      <c r="J253" s="435">
        <v>0</v>
      </c>
      <c r="K253" s="435"/>
      <c r="L253" s="435">
        <f t="shared" ref="L253:L259" si="218">SUM(I253:K253)</f>
        <v>0</v>
      </c>
      <c r="M253" s="435">
        <v>0</v>
      </c>
      <c r="N253" s="435"/>
      <c r="O253" s="435">
        <f t="shared" ref="O253:O259" si="219">SUM(M253:N253)</f>
        <v>0</v>
      </c>
      <c r="P253" s="435">
        <v>0</v>
      </c>
      <c r="Q253" s="435">
        <v>0</v>
      </c>
      <c r="R253" s="435"/>
      <c r="S253" s="435">
        <f t="shared" si="214"/>
        <v>0</v>
      </c>
      <c r="T253" s="435">
        <v>0</v>
      </c>
      <c r="U253" s="435"/>
      <c r="V253" s="435">
        <f t="shared" si="215"/>
        <v>0</v>
      </c>
      <c r="W253" s="435">
        <v>0</v>
      </c>
      <c r="X253" s="435"/>
      <c r="Y253" s="435">
        <f t="shared" si="216"/>
        <v>0</v>
      </c>
      <c r="AA253" s="435"/>
      <c r="AC253" s="435">
        <f>SUM(H253,L253,O253,S253,V253,Y253)</f>
        <v>16374304804.238729</v>
      </c>
      <c r="AD253" s="435">
        <f>'Elimination 2024'!H7+'Elimination 2024'!G10+'Elimination 2024'!H23+'Elimination 2024'!H28+'Elimination 2024'!H18</f>
        <v>-16374306025.752068</v>
      </c>
      <c r="AE253" s="435">
        <f>SUM(AC253:AD253)</f>
        <v>-1221.5133380889893</v>
      </c>
    </row>
    <row r="254" spans="1:33" s="423" customFormat="1">
      <c r="D254" s="423" t="s">
        <v>547</v>
      </c>
      <c r="E254" s="435">
        <v>0</v>
      </c>
      <c r="F254" s="435">
        <f>11807775+241645</f>
        <v>12049420</v>
      </c>
      <c r="G254" s="435">
        <f>'Equity &amp; Adjustment Consol'!D30</f>
        <v>-3971906591.1909003</v>
      </c>
      <c r="H254" s="435">
        <f t="shared" si="211"/>
        <v>-3959857171.1909003</v>
      </c>
      <c r="I254" s="435">
        <v>0</v>
      </c>
      <c r="J254" s="435">
        <v>0</v>
      </c>
      <c r="K254" s="435"/>
      <c r="L254" s="435">
        <f t="shared" si="218"/>
        <v>0</v>
      </c>
      <c r="M254" s="435">
        <v>0</v>
      </c>
      <c r="N254" s="435"/>
      <c r="O254" s="435">
        <f t="shared" si="219"/>
        <v>0</v>
      </c>
      <c r="P254" s="435">
        <v>0</v>
      </c>
      <c r="Q254" s="435">
        <v>0</v>
      </c>
      <c r="R254" s="435"/>
      <c r="S254" s="435">
        <f t="shared" si="214"/>
        <v>0</v>
      </c>
      <c r="T254" s="435">
        <v>0</v>
      </c>
      <c r="U254" s="435"/>
      <c r="V254" s="435">
        <f t="shared" si="215"/>
        <v>0</v>
      </c>
      <c r="W254" s="435">
        <v>0</v>
      </c>
      <c r="X254" s="435"/>
      <c r="Y254" s="435">
        <f t="shared" si="216"/>
        <v>0</v>
      </c>
      <c r="AA254" s="435"/>
      <c r="AC254" s="435">
        <f t="shared" si="217"/>
        <v>-3959857171.1909003</v>
      </c>
      <c r="AD254" s="435">
        <f>'Elimination 2024'!H31+'Elimination 2024'!G36+'Elimination 2024'!H41</f>
        <v>3959857841.1908998</v>
      </c>
      <c r="AE254" s="435">
        <f t="shared" ref="AE254:AE259" si="220">SUM(AC254:AD254)</f>
        <v>669.99999952316284</v>
      </c>
    </row>
    <row r="255" spans="1:33" s="423" customFormat="1">
      <c r="D255" s="423" t="s">
        <v>548</v>
      </c>
      <c r="E255" s="435">
        <v>0</v>
      </c>
      <c r="F255" s="435">
        <v>2510156250</v>
      </c>
      <c r="G255" s="435">
        <f>'Equity &amp; Adjustment Consol'!D31</f>
        <v>-9077028261.9222012</v>
      </c>
      <c r="H255" s="435">
        <f t="shared" si="211"/>
        <v>-6566872011.9222012</v>
      </c>
      <c r="I255" s="435">
        <v>0</v>
      </c>
      <c r="J255" s="435">
        <v>0</v>
      </c>
      <c r="K255" s="435"/>
      <c r="L255" s="435">
        <f t="shared" si="218"/>
        <v>0</v>
      </c>
      <c r="M255" s="435">
        <v>0</v>
      </c>
      <c r="N255" s="435"/>
      <c r="O255" s="435">
        <f t="shared" si="219"/>
        <v>0</v>
      </c>
      <c r="P255" s="435">
        <v>0</v>
      </c>
      <c r="Q255" s="435">
        <v>0</v>
      </c>
      <c r="R255" s="435"/>
      <c r="S255" s="435">
        <f t="shared" si="214"/>
        <v>0</v>
      </c>
      <c r="T255" s="435">
        <v>0</v>
      </c>
      <c r="U255" s="435"/>
      <c r="V255" s="435">
        <f t="shared" si="215"/>
        <v>0</v>
      </c>
      <c r="W255" s="435">
        <v>0</v>
      </c>
      <c r="X255" s="435"/>
      <c r="Y255" s="435">
        <f t="shared" si="216"/>
        <v>0</v>
      </c>
      <c r="AA255" s="435"/>
      <c r="AC255" s="435">
        <f t="shared" si="217"/>
        <v>-6566872011.9222012</v>
      </c>
      <c r="AD255" s="435">
        <f>'Elimination 2024'!G53+'Elimination 2024'!G49+'Elimination 2024'!H44</f>
        <v>6566872011.7944508</v>
      </c>
      <c r="AE255" s="435">
        <f t="shared" si="220"/>
        <v>-0.12775039672851563</v>
      </c>
    </row>
    <row r="256" spans="1:33" s="423" customFormat="1">
      <c r="D256" s="423" t="s">
        <v>554</v>
      </c>
      <c r="E256" s="435"/>
      <c r="F256" s="435"/>
      <c r="G256" s="435"/>
      <c r="H256" s="435">
        <f t="shared" si="211"/>
        <v>0</v>
      </c>
      <c r="I256" s="435">
        <v>0</v>
      </c>
      <c r="J256" s="435">
        <v>0</v>
      </c>
      <c r="K256" s="435"/>
      <c r="L256" s="435">
        <f t="shared" si="218"/>
        <v>0</v>
      </c>
      <c r="M256" s="435">
        <v>0</v>
      </c>
      <c r="N256" s="435"/>
      <c r="O256" s="435">
        <f t="shared" si="219"/>
        <v>0</v>
      </c>
      <c r="P256" s="435">
        <v>0</v>
      </c>
      <c r="Q256" s="435">
        <v>0</v>
      </c>
      <c r="R256" s="435"/>
      <c r="S256" s="435">
        <f t="shared" si="214"/>
        <v>0</v>
      </c>
      <c r="T256" s="435">
        <v>0</v>
      </c>
      <c r="U256" s="435"/>
      <c r="V256" s="435">
        <f t="shared" si="215"/>
        <v>0</v>
      </c>
      <c r="W256" s="435">
        <v>0</v>
      </c>
      <c r="X256" s="435"/>
      <c r="Y256" s="435">
        <f t="shared" si="216"/>
        <v>0</v>
      </c>
      <c r="AA256" s="435"/>
      <c r="AC256" s="435">
        <f t="shared" si="217"/>
        <v>0</v>
      </c>
      <c r="AD256" s="435"/>
      <c r="AE256" s="435">
        <f t="shared" si="220"/>
        <v>0</v>
      </c>
    </row>
    <row r="257" spans="1:33" s="423" customFormat="1">
      <c r="D257" s="423" t="s">
        <v>545</v>
      </c>
      <c r="E257" s="435"/>
      <c r="F257" s="435"/>
      <c r="G257" s="435"/>
      <c r="H257" s="435">
        <f t="shared" si="211"/>
        <v>0</v>
      </c>
      <c r="I257" s="435">
        <v>0</v>
      </c>
      <c r="J257" s="435">
        <v>0</v>
      </c>
      <c r="K257" s="435"/>
      <c r="L257" s="435">
        <f t="shared" si="218"/>
        <v>0</v>
      </c>
      <c r="M257" s="435">
        <v>0</v>
      </c>
      <c r="N257" s="435"/>
      <c r="O257" s="435">
        <f t="shared" si="219"/>
        <v>0</v>
      </c>
      <c r="P257" s="435">
        <v>0</v>
      </c>
      <c r="Q257" s="435">
        <v>0</v>
      </c>
      <c r="R257" s="435"/>
      <c r="S257" s="435">
        <f t="shared" si="214"/>
        <v>0</v>
      </c>
      <c r="T257" s="435">
        <v>0</v>
      </c>
      <c r="U257" s="435"/>
      <c r="V257" s="435">
        <f t="shared" si="215"/>
        <v>0</v>
      </c>
      <c r="W257" s="435">
        <v>0</v>
      </c>
      <c r="X257" s="435"/>
      <c r="Y257" s="435">
        <f t="shared" si="216"/>
        <v>0</v>
      </c>
      <c r="AA257" s="435"/>
      <c r="AC257" s="435">
        <f t="shared" si="217"/>
        <v>0</v>
      </c>
      <c r="AD257" s="435"/>
      <c r="AE257" s="435">
        <f t="shared" si="220"/>
        <v>0</v>
      </c>
    </row>
    <row r="258" spans="1:33" s="423" customFormat="1">
      <c r="D258" s="423" t="s">
        <v>549</v>
      </c>
      <c r="E258" s="435"/>
      <c r="F258" s="435"/>
      <c r="G258" s="435"/>
      <c r="H258" s="435">
        <f t="shared" si="211"/>
        <v>0</v>
      </c>
      <c r="I258" s="435">
        <v>19687500</v>
      </c>
      <c r="J258" s="435">
        <v>0</v>
      </c>
      <c r="K258" s="435"/>
      <c r="L258" s="435">
        <f t="shared" si="218"/>
        <v>19687500</v>
      </c>
      <c r="M258" s="435">
        <v>0</v>
      </c>
      <c r="N258" s="435"/>
      <c r="O258" s="435">
        <f t="shared" si="219"/>
        <v>0</v>
      </c>
      <c r="P258" s="435">
        <v>0</v>
      </c>
      <c r="Q258" s="435">
        <v>0</v>
      </c>
      <c r="R258" s="435"/>
      <c r="S258" s="435">
        <f t="shared" si="214"/>
        <v>0</v>
      </c>
      <c r="T258" s="435">
        <v>0</v>
      </c>
      <c r="U258" s="435"/>
      <c r="V258" s="435">
        <f t="shared" si="215"/>
        <v>0</v>
      </c>
      <c r="W258" s="435">
        <v>0</v>
      </c>
      <c r="X258" s="435"/>
      <c r="Y258" s="435">
        <f t="shared" si="216"/>
        <v>0</v>
      </c>
      <c r="AA258" s="435"/>
      <c r="AC258" s="435">
        <f t="shared" si="217"/>
        <v>19687500</v>
      </c>
      <c r="AD258" s="435">
        <f>-AC258</f>
        <v>-19687500</v>
      </c>
      <c r="AE258" s="435">
        <f t="shared" si="220"/>
        <v>0</v>
      </c>
    </row>
    <row r="259" spans="1:33" s="423" customFormat="1">
      <c r="A259" s="433"/>
      <c r="D259" s="434" t="s">
        <v>544</v>
      </c>
      <c r="E259" s="435">
        <v>240975000</v>
      </c>
      <c r="F259" s="435">
        <v>0</v>
      </c>
      <c r="G259" s="435">
        <f>'Equity &amp; Adjustment Consol'!D32</f>
        <v>-12434075863.041597</v>
      </c>
      <c r="H259" s="435">
        <f t="shared" si="211"/>
        <v>-12193100863.041597</v>
      </c>
      <c r="I259" s="435">
        <v>0</v>
      </c>
      <c r="J259" s="435">
        <v>0</v>
      </c>
      <c r="K259" s="435"/>
      <c r="L259" s="435">
        <f t="shared" si="218"/>
        <v>0</v>
      </c>
      <c r="M259" s="435">
        <v>0</v>
      </c>
      <c r="N259" s="435"/>
      <c r="O259" s="435">
        <f t="shared" si="219"/>
        <v>0</v>
      </c>
      <c r="P259" s="435">
        <v>0</v>
      </c>
      <c r="Q259" s="435">
        <v>0</v>
      </c>
      <c r="R259" s="435"/>
      <c r="S259" s="435">
        <f t="shared" si="214"/>
        <v>0</v>
      </c>
      <c r="T259" s="435">
        <v>0</v>
      </c>
      <c r="U259" s="435"/>
      <c r="V259" s="435">
        <f t="shared" si="215"/>
        <v>0</v>
      </c>
      <c r="W259" s="435">
        <v>0</v>
      </c>
      <c r="X259" s="435"/>
      <c r="Y259" s="435">
        <f t="shared" si="216"/>
        <v>0</v>
      </c>
      <c r="AA259" s="435"/>
      <c r="AC259" s="435">
        <f t="shared" si="217"/>
        <v>-12193100863.041597</v>
      </c>
      <c r="AD259" s="435">
        <f>-AC259</f>
        <v>12193100863.041597</v>
      </c>
      <c r="AE259" s="435">
        <f t="shared" si="220"/>
        <v>0</v>
      </c>
    </row>
    <row r="260" spans="1:33" s="417" customFormat="1">
      <c r="E260" s="435"/>
      <c r="F260" s="435"/>
      <c r="G260" s="435"/>
      <c r="H260" s="435"/>
      <c r="I260" s="435"/>
      <c r="J260" s="435"/>
      <c r="K260" s="435"/>
      <c r="L260" s="435"/>
      <c r="M260" s="435"/>
      <c r="N260" s="435"/>
      <c r="O260" s="435"/>
      <c r="P260" s="435"/>
      <c r="Q260" s="435"/>
      <c r="R260" s="435"/>
      <c r="S260" s="435"/>
      <c r="T260" s="435"/>
      <c r="U260" s="435"/>
      <c r="V260" s="435"/>
      <c r="W260" s="435"/>
      <c r="X260" s="435"/>
      <c r="Y260" s="435"/>
    </row>
    <row r="261" spans="1:33" s="417" customFormat="1" ht="13.5" thickBot="1">
      <c r="E261" s="458">
        <f>SUM(E252:E259)</f>
        <v>79570795854.375</v>
      </c>
      <c r="F261" s="458">
        <f>SUM(F252:F259)</f>
        <v>-55302658109.375</v>
      </c>
      <c r="G261" s="458">
        <f>SUM(G252:G259)</f>
        <v>-30613662986.91597</v>
      </c>
      <c r="H261" s="458">
        <f>SUM(H252:H259)</f>
        <v>-6345525241.9159698</v>
      </c>
      <c r="I261" s="458">
        <f>SUM(I252:I259)</f>
        <v>19687500</v>
      </c>
      <c r="J261" s="458"/>
      <c r="K261" s="458">
        <f t="shared" ref="K261:P261" si="221">SUM(K252:K259)</f>
        <v>0</v>
      </c>
      <c r="L261" s="458">
        <f t="shared" si="221"/>
        <v>19687500</v>
      </c>
      <c r="M261" s="458">
        <f t="shared" si="221"/>
        <v>0</v>
      </c>
      <c r="N261" s="458">
        <f t="shared" si="221"/>
        <v>0</v>
      </c>
      <c r="O261" s="458">
        <f t="shared" si="221"/>
        <v>0</v>
      </c>
      <c r="P261" s="458">
        <f t="shared" si="221"/>
        <v>0</v>
      </c>
      <c r="Q261" s="458"/>
      <c r="R261" s="458">
        <f t="shared" ref="R261:Y261" si="222">SUM(R252:R259)</f>
        <v>0</v>
      </c>
      <c r="S261" s="458">
        <f t="shared" si="222"/>
        <v>0</v>
      </c>
      <c r="T261" s="458">
        <f t="shared" si="222"/>
        <v>0</v>
      </c>
      <c r="U261" s="458">
        <f t="shared" si="222"/>
        <v>0</v>
      </c>
      <c r="V261" s="458">
        <f t="shared" si="222"/>
        <v>0</v>
      </c>
      <c r="W261" s="458">
        <f t="shared" si="222"/>
        <v>0</v>
      </c>
      <c r="X261" s="458">
        <f t="shared" si="222"/>
        <v>0</v>
      </c>
      <c r="Y261" s="458">
        <f t="shared" si="222"/>
        <v>0</v>
      </c>
      <c r="AA261" s="458">
        <f>SUM(AA252:AA259)</f>
        <v>0</v>
      </c>
      <c r="AC261" s="458">
        <f>SUM(AC252:AC259)</f>
        <v>-6325837741.9159698</v>
      </c>
      <c r="AD261" s="458">
        <f>SUM(AD253:AD259)</f>
        <v>6325837190.2748795</v>
      </c>
      <c r="AE261" s="458">
        <f>SUM(AE253:AE259)</f>
        <v>-551.64108896255493</v>
      </c>
    </row>
    <row r="262" spans="1:33" s="417" customFormat="1" ht="13.5" thickTop="1">
      <c r="D262" s="445"/>
      <c r="E262" s="443"/>
      <c r="F262" s="443"/>
      <c r="G262" s="443"/>
      <c r="H262" s="443"/>
      <c r="I262" s="443"/>
      <c r="J262" s="443"/>
      <c r="K262" s="443"/>
      <c r="L262" s="443"/>
      <c r="M262" s="443"/>
      <c r="N262" s="443"/>
      <c r="O262" s="443"/>
      <c r="P262" s="443"/>
      <c r="Q262" s="443"/>
      <c r="R262" s="443"/>
      <c r="S262" s="443"/>
      <c r="T262" s="443"/>
      <c r="U262" s="443"/>
      <c r="V262" s="443"/>
      <c r="W262" s="443"/>
      <c r="X262" s="443"/>
      <c r="Y262" s="443"/>
      <c r="AA262" s="443"/>
      <c r="AC262" s="443"/>
      <c r="AD262" s="443"/>
      <c r="AE262" s="443"/>
    </row>
    <row r="263" spans="1:33" s="417" customFormat="1" ht="13">
      <c r="D263" s="445" t="s">
        <v>435</v>
      </c>
      <c r="E263" s="446">
        <f>'Consol SoFP 24'!D40</f>
        <v>79570795854</v>
      </c>
      <c r="F263" s="446">
        <f>'Consol SoFP 24'!E40</f>
        <v>-55302658109</v>
      </c>
      <c r="G263" s="446">
        <f>SUM('Consol SoFP 24'!F40:G40)</f>
        <v>-30613662987</v>
      </c>
      <c r="H263" s="446">
        <f>'Consol SoFP 24'!H40</f>
        <v>-6345525242</v>
      </c>
      <c r="I263" s="446">
        <f>'Consol SoFP 24'!I40</f>
        <v>19687500</v>
      </c>
      <c r="J263" s="446"/>
      <c r="K263" s="446">
        <f>'Consol SoFP 24'!K40</f>
        <v>0</v>
      </c>
      <c r="L263" s="446">
        <f>'Consol SoFP 24'!L40</f>
        <v>19687500</v>
      </c>
      <c r="M263" s="446">
        <f>'Consol SoFP 24'!M40</f>
        <v>0</v>
      </c>
      <c r="N263" s="446">
        <f>'Consol SoFP 24'!N40</f>
        <v>0</v>
      </c>
      <c r="O263" s="446">
        <f>'Consol SoFP 24'!O40</f>
        <v>0</v>
      </c>
      <c r="P263" s="446">
        <f>'Consol SoFP 24'!P40</f>
        <v>0</v>
      </c>
      <c r="Q263" s="446"/>
      <c r="R263" s="446">
        <f>'Consol SoFP 24'!R40</f>
        <v>0</v>
      </c>
      <c r="S263" s="446">
        <f>'Consol SoFP 24'!S40</f>
        <v>0</v>
      </c>
      <c r="T263" s="446">
        <f>'Consol SoFP 24'!T40</f>
        <v>0</v>
      </c>
      <c r="U263" s="446">
        <f>'Consol SoFP 24'!U40</f>
        <v>0</v>
      </c>
      <c r="V263" s="446">
        <f>'Consol SoFP 24'!V40</f>
        <v>0</v>
      </c>
      <c r="W263" s="446">
        <f>'Consol SoFP 24'!W40</f>
        <v>0</v>
      </c>
      <c r="X263" s="446">
        <f>'Consol SoFP 24'!X40</f>
        <v>0</v>
      </c>
      <c r="Y263" s="446">
        <f>'Consol SoFP 24'!Y40</f>
        <v>0</v>
      </c>
      <c r="AA263" s="446">
        <v>0</v>
      </c>
      <c r="AC263" s="446">
        <f>'Consol SoFP 24'!AE40</f>
        <v>-6325837190.1687775</v>
      </c>
      <c r="AD263" s="446">
        <f>SUM('Consol SoFP 24'!AF40:AG40)</f>
        <v>6325837190.2748718</v>
      </c>
      <c r="AE263" s="446">
        <f>'Consol SoFP 24'!AH40</f>
        <v>0</v>
      </c>
      <c r="AG263" s="457"/>
    </row>
    <row r="264" spans="1:33" s="417" customFormat="1" ht="13">
      <c r="D264" s="445" t="s">
        <v>111</v>
      </c>
      <c r="E264" s="442">
        <f>ROUND(E261-E263,0)</f>
        <v>0</v>
      </c>
      <c r="F264" s="442">
        <f>ROUND(F261-F263,0)</f>
        <v>0</v>
      </c>
      <c r="G264" s="442">
        <f t="shared" ref="G264:Y264" si="223">ROUND(G261-G263,0)</f>
        <v>0</v>
      </c>
      <c r="H264" s="442">
        <f t="shared" si="223"/>
        <v>0</v>
      </c>
      <c r="I264" s="442">
        <f t="shared" si="223"/>
        <v>0</v>
      </c>
      <c r="J264" s="442"/>
      <c r="K264" s="442">
        <f t="shared" si="223"/>
        <v>0</v>
      </c>
      <c r="L264" s="442">
        <f t="shared" si="223"/>
        <v>0</v>
      </c>
      <c r="M264" s="442">
        <f t="shared" si="223"/>
        <v>0</v>
      </c>
      <c r="N264" s="442">
        <f t="shared" si="223"/>
        <v>0</v>
      </c>
      <c r="O264" s="442">
        <f t="shared" si="223"/>
        <v>0</v>
      </c>
      <c r="P264" s="442">
        <f t="shared" si="223"/>
        <v>0</v>
      </c>
      <c r="Q264" s="442"/>
      <c r="R264" s="442">
        <f t="shared" si="223"/>
        <v>0</v>
      </c>
      <c r="S264" s="442">
        <f t="shared" si="223"/>
        <v>0</v>
      </c>
      <c r="T264" s="442">
        <f t="shared" si="223"/>
        <v>0</v>
      </c>
      <c r="U264" s="442">
        <f t="shared" si="223"/>
        <v>0</v>
      </c>
      <c r="V264" s="442">
        <f t="shared" si="223"/>
        <v>0</v>
      </c>
      <c r="W264" s="442">
        <f t="shared" si="223"/>
        <v>0</v>
      </c>
      <c r="X264" s="442">
        <f t="shared" si="223"/>
        <v>0</v>
      </c>
      <c r="Y264" s="442">
        <f t="shared" si="223"/>
        <v>0</v>
      </c>
      <c r="AA264" s="442">
        <f t="shared" ref="AA264" si="224">AA261-AA263</f>
        <v>0</v>
      </c>
      <c r="AC264" s="442">
        <f t="shared" ref="AC264:AE264" si="225">AC261-AC263</f>
        <v>-551.7471923828125</v>
      </c>
      <c r="AD264" s="442">
        <f>AD261-AD263</f>
        <v>7.62939453125E-6</v>
      </c>
      <c r="AE264" s="442">
        <f t="shared" si="225"/>
        <v>-551.64108896255493</v>
      </c>
    </row>
    <row r="265" spans="1:33" s="417" customFormat="1" ht="13">
      <c r="D265" s="445"/>
      <c r="E265" s="443"/>
      <c r="F265" s="443"/>
      <c r="G265" s="443"/>
      <c r="H265" s="443"/>
      <c r="I265" s="443"/>
      <c r="J265" s="443"/>
      <c r="K265" s="443"/>
      <c r="L265" s="443"/>
      <c r="M265" s="443"/>
      <c r="N265" s="443"/>
      <c r="O265" s="443"/>
      <c r="P265" s="443"/>
      <c r="Q265" s="443"/>
      <c r="R265" s="443"/>
      <c r="S265" s="443">
        <f>-S264</f>
        <v>0</v>
      </c>
      <c r="T265" s="443"/>
      <c r="U265" s="443"/>
      <c r="V265" s="443"/>
      <c r="W265" s="443"/>
      <c r="X265" s="443"/>
      <c r="Y265" s="443"/>
      <c r="AA265" s="443"/>
      <c r="AC265" s="443"/>
      <c r="AD265" s="443"/>
      <c r="AE265" s="443"/>
    </row>
    <row r="266" spans="1:33" s="417" customFormat="1" ht="13" thickBot="1">
      <c r="A266" s="447"/>
      <c r="B266" s="447"/>
      <c r="C266" s="447"/>
      <c r="D266" s="447"/>
      <c r="E266" s="447"/>
      <c r="F266" s="447"/>
      <c r="G266" s="447"/>
      <c r="H266" s="447"/>
      <c r="I266" s="447"/>
      <c r="J266" s="447"/>
      <c r="K266" s="447"/>
      <c r="L266" s="447"/>
      <c r="M266" s="447"/>
      <c r="N266" s="447"/>
      <c r="O266" s="447"/>
      <c r="P266" s="447"/>
      <c r="Q266" s="447"/>
      <c r="R266" s="447"/>
      <c r="S266" s="447"/>
      <c r="T266" s="447"/>
      <c r="U266" s="447"/>
      <c r="V266" s="447"/>
      <c r="W266" s="447"/>
      <c r="X266" s="447"/>
      <c r="Y266" s="447"/>
      <c r="AA266" s="447"/>
      <c r="AC266" s="447"/>
      <c r="AD266" s="447"/>
      <c r="AE266" s="447"/>
    </row>
    <row r="267" spans="1:33" s="417" customFormat="1" ht="13">
      <c r="B267" s="414" t="s">
        <v>453</v>
      </c>
    </row>
    <row r="268" spans="1:33" s="417" customFormat="1" ht="13">
      <c r="A268" s="423"/>
      <c r="B268" s="423"/>
      <c r="C268" s="423"/>
      <c r="D268" s="423"/>
      <c r="E268" s="428" t="s">
        <v>426</v>
      </c>
      <c r="F268" s="428"/>
      <c r="G268" s="428" t="s">
        <v>334</v>
      </c>
      <c r="H268" s="428" t="s">
        <v>427</v>
      </c>
      <c r="I268" s="428" t="s">
        <v>426</v>
      </c>
      <c r="J268" s="428" t="s">
        <v>6</v>
      </c>
      <c r="K268" s="428" t="s">
        <v>334</v>
      </c>
      <c r="L268" s="428" t="s">
        <v>427</v>
      </c>
      <c r="M268" s="428" t="s">
        <v>426</v>
      </c>
      <c r="N268" s="428" t="s">
        <v>334</v>
      </c>
      <c r="O268" s="428" t="s">
        <v>427</v>
      </c>
      <c r="P268" s="428" t="s">
        <v>426</v>
      </c>
      <c r="Q268" s="428" t="s">
        <v>6</v>
      </c>
      <c r="R268" s="428" t="s">
        <v>334</v>
      </c>
      <c r="S268" s="428" t="s">
        <v>427</v>
      </c>
      <c r="T268" s="428" t="s">
        <v>426</v>
      </c>
      <c r="U268" s="428" t="s">
        <v>334</v>
      </c>
      <c r="V268" s="428" t="s">
        <v>427</v>
      </c>
      <c r="W268" s="428" t="s">
        <v>426</v>
      </c>
      <c r="X268" s="428" t="s">
        <v>334</v>
      </c>
      <c r="Y268" s="428" t="s">
        <v>427</v>
      </c>
      <c r="Z268" s="423"/>
      <c r="AA268" s="428" t="s">
        <v>428</v>
      </c>
      <c r="AB268" s="423"/>
      <c r="AC268" s="428" t="s">
        <v>11</v>
      </c>
      <c r="AD268" s="428" t="s">
        <v>429</v>
      </c>
      <c r="AE268" s="428" t="s">
        <v>13</v>
      </c>
    </row>
    <row r="269" spans="1:33" s="417" customFormat="1" ht="13">
      <c r="A269" s="423"/>
      <c r="B269" s="423"/>
      <c r="C269" s="423"/>
      <c r="D269" s="423"/>
      <c r="E269" s="429">
        <v>45657</v>
      </c>
      <c r="F269" s="429"/>
      <c r="G269" s="429"/>
      <c r="H269" s="429">
        <v>45657</v>
      </c>
      <c r="I269" s="429">
        <v>45657</v>
      </c>
      <c r="J269" s="429"/>
      <c r="K269" s="429"/>
      <c r="L269" s="429">
        <v>45657</v>
      </c>
      <c r="M269" s="429">
        <v>45657</v>
      </c>
      <c r="N269" s="429"/>
      <c r="O269" s="429">
        <v>45657</v>
      </c>
      <c r="P269" s="429">
        <v>45657</v>
      </c>
      <c r="Q269" s="429"/>
      <c r="R269" s="429"/>
      <c r="S269" s="429">
        <v>45657</v>
      </c>
      <c r="T269" s="429">
        <v>45657</v>
      </c>
      <c r="U269" s="429"/>
      <c r="V269" s="429">
        <v>45657</v>
      </c>
      <c r="W269" s="429">
        <v>45657</v>
      </c>
      <c r="X269" s="429"/>
      <c r="Y269" s="429">
        <v>45657</v>
      </c>
      <c r="Z269" s="423"/>
      <c r="AA269" s="429">
        <v>45657</v>
      </c>
      <c r="AB269" s="423"/>
      <c r="AC269" s="429">
        <v>45657</v>
      </c>
      <c r="AD269" s="429">
        <v>45657</v>
      </c>
      <c r="AE269" s="429">
        <v>45657</v>
      </c>
    </row>
    <row r="270" spans="1:33" s="423" customFormat="1" ht="13" customHeight="1">
      <c r="C270" s="430"/>
      <c r="E270" s="431"/>
      <c r="F270" s="431"/>
      <c r="G270" s="431"/>
      <c r="H270" s="431"/>
      <c r="I270" s="431"/>
      <c r="J270" s="431"/>
      <c r="K270" s="431"/>
      <c r="L270" s="431"/>
      <c r="M270" s="431"/>
      <c r="N270" s="431"/>
      <c r="O270" s="431"/>
      <c r="P270" s="431"/>
      <c r="Q270" s="431"/>
      <c r="R270" s="431"/>
      <c r="S270" s="431"/>
      <c r="T270" s="431"/>
      <c r="U270" s="431"/>
      <c r="V270" s="431"/>
      <c r="W270" s="431"/>
      <c r="X270" s="431"/>
      <c r="Y270" s="431"/>
      <c r="AA270" s="432"/>
      <c r="AC270" s="432"/>
      <c r="AD270" s="432"/>
      <c r="AE270" s="432"/>
    </row>
    <row r="271" spans="1:33" s="423" customFormat="1">
      <c r="A271" s="423" t="s">
        <v>640</v>
      </c>
      <c r="C271" s="423" t="s">
        <v>543</v>
      </c>
      <c r="D271" s="434"/>
      <c r="E271" s="435">
        <v>0</v>
      </c>
      <c r="F271" s="435"/>
      <c r="G271" s="435"/>
      <c r="H271" s="435">
        <f t="shared" ref="H271:H285" si="226">SUM(E271:G271)</f>
        <v>0</v>
      </c>
      <c r="I271" s="435">
        <v>0</v>
      </c>
      <c r="J271" s="435">
        <v>0</v>
      </c>
      <c r="K271" s="435"/>
      <c r="L271" s="435">
        <f t="shared" ref="L271:L278" si="227">SUM(I271:K271)</f>
        <v>0</v>
      </c>
      <c r="M271" s="435">
        <v>0</v>
      </c>
      <c r="N271" s="435"/>
      <c r="O271" s="435">
        <f t="shared" ref="O271:O278" si="228">SUM(M271:N271)</f>
        <v>0</v>
      </c>
      <c r="P271" s="435">
        <v>0</v>
      </c>
      <c r="Q271" s="435">
        <v>0</v>
      </c>
      <c r="R271" s="435"/>
      <c r="S271" s="435">
        <f t="shared" ref="S271:S278" si="229">SUM(P271:R271)</f>
        <v>0</v>
      </c>
      <c r="T271" s="435">
        <v>0</v>
      </c>
      <c r="U271" s="435">
        <v>0</v>
      </c>
      <c r="V271" s="435">
        <f>SUM(T271:U271)</f>
        <v>0</v>
      </c>
      <c r="W271" s="435">
        <v>0</v>
      </c>
      <c r="X271" s="435"/>
      <c r="Y271" s="435">
        <f t="shared" ref="Y271:Y285" si="230">SUM(W271:X271)</f>
        <v>0</v>
      </c>
      <c r="AA271" s="435"/>
      <c r="AC271" s="435">
        <f t="shared" ref="AC271:AC278" si="231">SUM(H271,L271,O271,S271,V271,Y271)</f>
        <v>0</v>
      </c>
      <c r="AD271" s="435">
        <f>-AC271</f>
        <v>0</v>
      </c>
      <c r="AE271" s="435">
        <f>SUM(AC271:AD271)</f>
        <v>0</v>
      </c>
    </row>
    <row r="272" spans="1:33" s="423" customFormat="1">
      <c r="A272" s="423" t="s">
        <v>688</v>
      </c>
      <c r="D272" s="423" t="s">
        <v>546</v>
      </c>
      <c r="E272" s="435">
        <v>890601889328.54993</v>
      </c>
      <c r="F272" s="435">
        <f>-E272</f>
        <v>-890601889328.54993</v>
      </c>
      <c r="G272" s="435"/>
      <c r="H272" s="435">
        <f t="shared" si="226"/>
        <v>0</v>
      </c>
      <c r="I272" s="435">
        <v>0</v>
      </c>
      <c r="J272" s="435">
        <v>0</v>
      </c>
      <c r="K272" s="435"/>
      <c r="L272" s="435">
        <f t="shared" si="227"/>
        <v>0</v>
      </c>
      <c r="M272" s="435">
        <v>0</v>
      </c>
      <c r="N272" s="435"/>
      <c r="O272" s="435">
        <f t="shared" si="228"/>
        <v>0</v>
      </c>
      <c r="P272" s="435">
        <v>0</v>
      </c>
      <c r="Q272" s="435">
        <v>0</v>
      </c>
      <c r="R272" s="435"/>
      <c r="S272" s="435">
        <f t="shared" si="229"/>
        <v>0</v>
      </c>
      <c r="T272" s="435">
        <v>0</v>
      </c>
      <c r="U272" s="435">
        <v>0</v>
      </c>
      <c r="V272" s="435">
        <f t="shared" ref="V272:V278" si="232">SUM(T272:U272)</f>
        <v>0</v>
      </c>
      <c r="W272" s="435">
        <v>0</v>
      </c>
      <c r="X272" s="435"/>
      <c r="Y272" s="435">
        <f t="shared" si="230"/>
        <v>0</v>
      </c>
      <c r="AA272" s="435"/>
      <c r="AC272" s="435">
        <f t="shared" si="231"/>
        <v>0</v>
      </c>
      <c r="AD272" s="435">
        <f>-AC272</f>
        <v>0</v>
      </c>
      <c r="AE272" s="435">
        <f t="shared" ref="AE272:AE285" si="233">SUM(AC272:AD272)</f>
        <v>0</v>
      </c>
    </row>
    <row r="273" spans="1:31" s="423" customFormat="1">
      <c r="A273" s="423" t="s">
        <v>802</v>
      </c>
      <c r="D273" s="423" t="s">
        <v>552</v>
      </c>
      <c r="E273" s="435">
        <v>13253447670.75</v>
      </c>
      <c r="F273" s="435">
        <f t="shared" ref="F273:F275" si="234">-E273</f>
        <v>-13253447670.75</v>
      </c>
      <c r="G273" s="435"/>
      <c r="H273" s="435">
        <f t="shared" si="226"/>
        <v>0</v>
      </c>
      <c r="I273" s="435">
        <v>1687537889.0999999</v>
      </c>
      <c r="J273" s="435">
        <v>-1687537889.0999999</v>
      </c>
      <c r="K273" s="435">
        <f>'Adjustment Consol'!H105</f>
        <v>0</v>
      </c>
      <c r="L273" s="435">
        <f t="shared" si="227"/>
        <v>0</v>
      </c>
      <c r="M273" s="435">
        <v>0</v>
      </c>
      <c r="N273" s="435"/>
      <c r="O273" s="435">
        <f t="shared" si="228"/>
        <v>0</v>
      </c>
      <c r="P273" s="435">
        <v>0</v>
      </c>
      <c r="Q273" s="435">
        <v>0</v>
      </c>
      <c r="R273" s="435"/>
      <c r="S273" s="435">
        <f t="shared" si="229"/>
        <v>0</v>
      </c>
      <c r="T273" s="435">
        <v>0</v>
      </c>
      <c r="U273" s="435">
        <v>0</v>
      </c>
      <c r="V273" s="435">
        <f t="shared" si="232"/>
        <v>0</v>
      </c>
      <c r="W273" s="435">
        <v>0</v>
      </c>
      <c r="X273" s="435"/>
      <c r="Y273" s="435">
        <f t="shared" si="230"/>
        <v>0</v>
      </c>
      <c r="AA273" s="435"/>
      <c r="AC273" s="435">
        <f t="shared" si="231"/>
        <v>0</v>
      </c>
      <c r="AD273" s="435">
        <f>-AC273</f>
        <v>0</v>
      </c>
      <c r="AE273" s="435">
        <f t="shared" si="233"/>
        <v>0</v>
      </c>
    </row>
    <row r="274" spans="1:31" s="423" customFormat="1">
      <c r="A274" s="423" t="s">
        <v>740</v>
      </c>
      <c r="D274" s="423" t="s">
        <v>547</v>
      </c>
      <c r="E274" s="435">
        <v>-41581575000</v>
      </c>
      <c r="F274" s="435">
        <f t="shared" si="234"/>
        <v>41581575000</v>
      </c>
      <c r="G274" s="435"/>
      <c r="H274" s="435">
        <f t="shared" si="226"/>
        <v>0</v>
      </c>
      <c r="I274" s="435">
        <v>0</v>
      </c>
      <c r="J274" s="435">
        <v>0</v>
      </c>
      <c r="K274" s="435"/>
      <c r="L274" s="435">
        <f t="shared" si="227"/>
        <v>0</v>
      </c>
      <c r="M274" s="435">
        <v>0</v>
      </c>
      <c r="N274" s="435"/>
      <c r="O274" s="435">
        <f t="shared" si="228"/>
        <v>0</v>
      </c>
      <c r="P274" s="435">
        <v>0</v>
      </c>
      <c r="Q274" s="435">
        <v>0</v>
      </c>
      <c r="R274" s="435"/>
      <c r="S274" s="435">
        <f t="shared" si="229"/>
        <v>0</v>
      </c>
      <c r="T274" s="435">
        <v>0</v>
      </c>
      <c r="U274" s="435">
        <v>0</v>
      </c>
      <c r="V274" s="435">
        <f t="shared" si="232"/>
        <v>0</v>
      </c>
      <c r="W274" s="435">
        <v>0</v>
      </c>
      <c r="X274" s="435"/>
      <c r="Y274" s="435">
        <f t="shared" si="230"/>
        <v>0</v>
      </c>
      <c r="AA274" s="435"/>
      <c r="AC274" s="435">
        <f t="shared" si="231"/>
        <v>0</v>
      </c>
      <c r="AD274" s="435">
        <f t="shared" ref="AD274" si="235">-AC274</f>
        <v>0</v>
      </c>
      <c r="AE274" s="435">
        <f t="shared" si="233"/>
        <v>0</v>
      </c>
    </row>
    <row r="275" spans="1:31" s="423" customFormat="1">
      <c r="A275" s="423" t="s">
        <v>465</v>
      </c>
      <c r="D275" s="423" t="s">
        <v>548</v>
      </c>
      <c r="E275" s="435">
        <v>114090244632</v>
      </c>
      <c r="F275" s="435">
        <f t="shared" si="234"/>
        <v>-114090244632</v>
      </c>
      <c r="G275" s="435"/>
      <c r="H275" s="435">
        <f t="shared" si="226"/>
        <v>0</v>
      </c>
      <c r="I275" s="435">
        <v>0</v>
      </c>
      <c r="J275" s="435">
        <v>0</v>
      </c>
      <c r="K275" s="435"/>
      <c r="L275" s="435">
        <f t="shared" si="227"/>
        <v>0</v>
      </c>
      <c r="M275" s="435">
        <v>0</v>
      </c>
      <c r="N275" s="435"/>
      <c r="O275" s="435">
        <f t="shared" si="228"/>
        <v>0</v>
      </c>
      <c r="P275" s="435">
        <v>0</v>
      </c>
      <c r="Q275" s="435">
        <v>0</v>
      </c>
      <c r="R275" s="435"/>
      <c r="S275" s="435">
        <f t="shared" si="229"/>
        <v>0</v>
      </c>
      <c r="T275" s="435">
        <v>0</v>
      </c>
      <c r="U275" s="435">
        <v>0</v>
      </c>
      <c r="V275" s="435">
        <f t="shared" si="232"/>
        <v>0</v>
      </c>
      <c r="W275" s="435">
        <v>0</v>
      </c>
      <c r="X275" s="435"/>
      <c r="Y275" s="435">
        <f t="shared" si="230"/>
        <v>0</v>
      </c>
      <c r="AA275" s="435"/>
      <c r="AC275" s="435">
        <f t="shared" si="231"/>
        <v>0</v>
      </c>
      <c r="AD275" s="435">
        <f>-AC275</f>
        <v>0</v>
      </c>
      <c r="AE275" s="435">
        <f t="shared" si="233"/>
        <v>0</v>
      </c>
    </row>
    <row r="276" spans="1:31" s="423" customFormat="1">
      <c r="A276" s="423" t="s">
        <v>639</v>
      </c>
      <c r="D276" s="423" t="s">
        <v>545</v>
      </c>
      <c r="E276" s="435">
        <v>0</v>
      </c>
      <c r="F276" s="435"/>
      <c r="G276" s="435"/>
      <c r="H276" s="435">
        <f t="shared" si="226"/>
        <v>0</v>
      </c>
      <c r="I276" s="435">
        <v>0</v>
      </c>
      <c r="J276" s="435">
        <v>0</v>
      </c>
      <c r="K276" s="435"/>
      <c r="L276" s="435">
        <f t="shared" si="227"/>
        <v>0</v>
      </c>
      <c r="M276" s="435">
        <v>0</v>
      </c>
      <c r="N276" s="435"/>
      <c r="O276" s="435">
        <f t="shared" si="228"/>
        <v>0</v>
      </c>
      <c r="P276" s="435">
        <v>0</v>
      </c>
      <c r="Q276" s="435">
        <v>0</v>
      </c>
      <c r="R276" s="435"/>
      <c r="S276" s="435">
        <f t="shared" si="229"/>
        <v>0</v>
      </c>
      <c r="T276" s="435">
        <v>0</v>
      </c>
      <c r="U276" s="435">
        <v>0</v>
      </c>
      <c r="V276" s="435">
        <f t="shared" si="232"/>
        <v>0</v>
      </c>
      <c r="W276" s="435">
        <v>0</v>
      </c>
      <c r="X276" s="435"/>
      <c r="Y276" s="435">
        <f t="shared" si="230"/>
        <v>0</v>
      </c>
      <c r="AA276" s="435"/>
      <c r="AC276" s="435">
        <f t="shared" si="231"/>
        <v>0</v>
      </c>
      <c r="AD276" s="435"/>
      <c r="AE276" s="435">
        <f t="shared" si="233"/>
        <v>0</v>
      </c>
    </row>
    <row r="277" spans="1:31" s="423" customFormat="1">
      <c r="A277" s="423" t="s">
        <v>461</v>
      </c>
      <c r="D277" s="423" t="s">
        <v>549</v>
      </c>
      <c r="E277" s="435">
        <v>0</v>
      </c>
      <c r="F277" s="435"/>
      <c r="G277" s="435"/>
      <c r="H277" s="435">
        <f t="shared" si="226"/>
        <v>0</v>
      </c>
      <c r="I277" s="435">
        <v>0</v>
      </c>
      <c r="J277" s="435">
        <v>0</v>
      </c>
      <c r="K277" s="435"/>
      <c r="L277" s="435">
        <f t="shared" si="227"/>
        <v>0</v>
      </c>
      <c r="M277" s="435">
        <v>0</v>
      </c>
      <c r="N277" s="435"/>
      <c r="O277" s="435">
        <f t="shared" si="228"/>
        <v>0</v>
      </c>
      <c r="P277" s="435">
        <v>152775000</v>
      </c>
      <c r="Q277" s="435">
        <v>-152775000</v>
      </c>
      <c r="R277" s="435">
        <v>0</v>
      </c>
      <c r="S277" s="435">
        <f t="shared" si="229"/>
        <v>0</v>
      </c>
      <c r="T277" s="435">
        <v>0</v>
      </c>
      <c r="U277" s="435">
        <v>0</v>
      </c>
      <c r="V277" s="435">
        <f t="shared" si="232"/>
        <v>0</v>
      </c>
      <c r="W277" s="435">
        <v>0</v>
      </c>
      <c r="X277" s="435"/>
      <c r="Y277" s="435">
        <f t="shared" si="230"/>
        <v>0</v>
      </c>
      <c r="AA277" s="435"/>
      <c r="AC277" s="435">
        <f t="shared" si="231"/>
        <v>0</v>
      </c>
      <c r="AD277" s="435">
        <v>0</v>
      </c>
      <c r="AE277" s="435">
        <f t="shared" si="233"/>
        <v>0</v>
      </c>
    </row>
    <row r="278" spans="1:31" s="423" customFormat="1">
      <c r="A278" s="433" t="s">
        <v>609</v>
      </c>
      <c r="D278" s="434" t="s">
        <v>544</v>
      </c>
      <c r="E278" s="435">
        <v>0</v>
      </c>
      <c r="F278" s="435"/>
      <c r="G278" s="435"/>
      <c r="H278" s="435">
        <f t="shared" si="226"/>
        <v>0</v>
      </c>
      <c r="I278" s="435">
        <v>19091876265</v>
      </c>
      <c r="J278" s="435">
        <v>-19091876265</v>
      </c>
      <c r="K278" s="435">
        <f>'Adjustment Consol'!H108</f>
        <v>0</v>
      </c>
      <c r="L278" s="435">
        <f t="shared" si="227"/>
        <v>0</v>
      </c>
      <c r="M278" s="435">
        <v>0</v>
      </c>
      <c r="N278" s="435"/>
      <c r="O278" s="435">
        <f t="shared" si="228"/>
        <v>0</v>
      </c>
      <c r="P278" s="435">
        <v>22664430436.724998</v>
      </c>
      <c r="Q278" s="435">
        <v>-22664430436.724998</v>
      </c>
      <c r="R278" s="435">
        <v>0</v>
      </c>
      <c r="S278" s="435">
        <f t="shared" si="229"/>
        <v>0</v>
      </c>
      <c r="T278" s="435">
        <v>0</v>
      </c>
      <c r="U278" s="435">
        <v>0</v>
      </c>
      <c r="V278" s="435">
        <f t="shared" si="232"/>
        <v>0</v>
      </c>
      <c r="W278" s="435">
        <v>0</v>
      </c>
      <c r="X278" s="435"/>
      <c r="Y278" s="435">
        <f t="shared" si="230"/>
        <v>0</v>
      </c>
      <c r="AA278" s="435"/>
      <c r="AC278" s="435">
        <f t="shared" si="231"/>
        <v>0</v>
      </c>
      <c r="AD278" s="435">
        <v>0</v>
      </c>
      <c r="AE278" s="435">
        <f t="shared" si="233"/>
        <v>0</v>
      </c>
    </row>
    <row r="279" spans="1:31" s="423" customFormat="1">
      <c r="A279" s="433"/>
      <c r="D279" s="434"/>
      <c r="E279" s="435"/>
      <c r="F279" s="435"/>
      <c r="G279" s="435"/>
      <c r="H279" s="435"/>
      <c r="I279" s="435"/>
      <c r="J279" s="435"/>
      <c r="K279" s="435"/>
      <c r="L279" s="435"/>
      <c r="M279" s="435"/>
      <c r="N279" s="435"/>
      <c r="O279" s="435"/>
      <c r="P279" s="435"/>
      <c r="Q279" s="435"/>
      <c r="R279" s="435"/>
      <c r="S279" s="435"/>
      <c r="T279" s="435"/>
      <c r="U279" s="435"/>
      <c r="V279" s="435"/>
      <c r="W279" s="435"/>
      <c r="X279" s="435"/>
      <c r="Y279" s="435"/>
      <c r="AA279" s="435"/>
      <c r="AC279" s="435"/>
      <c r="AD279" s="435"/>
      <c r="AE279" s="435"/>
    </row>
    <row r="280" spans="1:31" s="423" customFormat="1">
      <c r="A280" s="433"/>
      <c r="C280" s="438" t="s">
        <v>661</v>
      </c>
      <c r="D280" s="439"/>
      <c r="E280" s="435"/>
      <c r="F280" s="435"/>
      <c r="G280" s="435"/>
      <c r="H280" s="435"/>
      <c r="I280" s="435"/>
      <c r="J280" s="435"/>
      <c r="K280" s="435"/>
      <c r="L280" s="435"/>
      <c r="M280" s="435"/>
      <c r="N280" s="435"/>
      <c r="O280" s="435"/>
      <c r="P280" s="435"/>
      <c r="Q280" s="435"/>
      <c r="R280" s="435"/>
      <c r="S280" s="435"/>
      <c r="T280" s="435"/>
      <c r="U280" s="435"/>
      <c r="V280" s="435"/>
      <c r="W280" s="435"/>
      <c r="X280" s="435"/>
      <c r="Y280" s="435"/>
      <c r="AA280" s="435"/>
      <c r="AC280" s="457"/>
      <c r="AD280" s="435"/>
      <c r="AE280" s="435"/>
    </row>
    <row r="281" spans="1:31" s="423" customFormat="1">
      <c r="A281" s="433"/>
      <c r="D281" s="423" t="s">
        <v>550</v>
      </c>
      <c r="E281" s="435">
        <v>0</v>
      </c>
      <c r="F281" s="435"/>
      <c r="G281" s="435"/>
      <c r="H281" s="435">
        <f t="shared" si="226"/>
        <v>0</v>
      </c>
      <c r="I281" s="435">
        <v>0</v>
      </c>
      <c r="J281" s="435">
        <v>0</v>
      </c>
      <c r="K281" s="435"/>
      <c r="L281" s="435">
        <f t="shared" ref="L281:L285" si="236">SUM(I281:K281)</f>
        <v>0</v>
      </c>
      <c r="M281" s="435">
        <v>0</v>
      </c>
      <c r="N281" s="435"/>
      <c r="O281" s="435">
        <f t="shared" ref="O281:O285" si="237">SUM(M281:N281)</f>
        <v>0</v>
      </c>
      <c r="P281" s="435">
        <v>0</v>
      </c>
      <c r="Q281" s="435">
        <v>0</v>
      </c>
      <c r="R281" s="435"/>
      <c r="S281" s="435">
        <f>SUM(P281:R281)</f>
        <v>0</v>
      </c>
      <c r="T281" s="435">
        <v>0</v>
      </c>
      <c r="U281" s="435"/>
      <c r="V281" s="435">
        <f t="shared" ref="V281:V285" si="238">SUM(T281:U281)</f>
        <v>0</v>
      </c>
      <c r="W281" s="435">
        <v>0</v>
      </c>
      <c r="X281" s="435"/>
      <c r="Y281" s="435">
        <f t="shared" si="230"/>
        <v>0</v>
      </c>
      <c r="AA281" s="435"/>
      <c r="AC281" s="435">
        <f t="shared" ref="AC281:AC285" si="239">SUM(H281,L281,O281,S281,V281,Y281)</f>
        <v>0</v>
      </c>
      <c r="AD281" s="435"/>
      <c r="AE281" s="435">
        <f t="shared" si="233"/>
        <v>0</v>
      </c>
    </row>
    <row r="282" spans="1:31" s="423" customFormat="1">
      <c r="A282" s="433"/>
      <c r="D282" s="423" t="s">
        <v>551</v>
      </c>
      <c r="E282" s="435">
        <v>0</v>
      </c>
      <c r="F282" s="435"/>
      <c r="G282" s="435"/>
      <c r="H282" s="435">
        <f t="shared" si="226"/>
        <v>0</v>
      </c>
      <c r="I282" s="435">
        <v>0</v>
      </c>
      <c r="J282" s="435">
        <v>0</v>
      </c>
      <c r="K282" s="435"/>
      <c r="L282" s="435">
        <f t="shared" si="236"/>
        <v>0</v>
      </c>
      <c r="M282" s="435">
        <v>0</v>
      </c>
      <c r="N282" s="435"/>
      <c r="O282" s="435">
        <f t="shared" si="237"/>
        <v>0</v>
      </c>
      <c r="P282" s="435">
        <v>0</v>
      </c>
      <c r="Q282" s="435">
        <v>0</v>
      </c>
      <c r="R282" s="435"/>
      <c r="S282" s="435">
        <f>SUM(P282:R282)</f>
        <v>0</v>
      </c>
      <c r="T282" s="435">
        <v>0</v>
      </c>
      <c r="U282" s="435"/>
      <c r="V282" s="435">
        <f t="shared" si="238"/>
        <v>0</v>
      </c>
      <c r="W282" s="435">
        <v>0</v>
      </c>
      <c r="X282" s="435"/>
      <c r="Y282" s="435">
        <f t="shared" si="230"/>
        <v>0</v>
      </c>
      <c r="AA282" s="435"/>
      <c r="AC282" s="435">
        <f t="shared" si="239"/>
        <v>0</v>
      </c>
      <c r="AD282" s="435"/>
      <c r="AE282" s="435">
        <f t="shared" si="233"/>
        <v>0</v>
      </c>
    </row>
    <row r="283" spans="1:31" s="423" customFormat="1">
      <c r="A283" s="433"/>
      <c r="D283" s="423" t="s">
        <v>556</v>
      </c>
      <c r="E283" s="435">
        <v>0</v>
      </c>
      <c r="F283" s="435"/>
      <c r="G283" s="435"/>
      <c r="H283" s="435">
        <f t="shared" si="226"/>
        <v>0</v>
      </c>
      <c r="I283" s="435">
        <v>0</v>
      </c>
      <c r="J283" s="435">
        <v>0</v>
      </c>
      <c r="K283" s="435"/>
      <c r="L283" s="435">
        <f t="shared" si="236"/>
        <v>0</v>
      </c>
      <c r="M283" s="435">
        <v>0</v>
      </c>
      <c r="N283" s="435"/>
      <c r="O283" s="435">
        <f t="shared" si="237"/>
        <v>0</v>
      </c>
      <c r="P283" s="435">
        <v>0</v>
      </c>
      <c r="Q283" s="435">
        <v>0</v>
      </c>
      <c r="R283" s="435"/>
      <c r="S283" s="435">
        <f>SUM(P283:R283)</f>
        <v>0</v>
      </c>
      <c r="T283" s="435">
        <v>0</v>
      </c>
      <c r="U283" s="435"/>
      <c r="V283" s="435">
        <f t="shared" si="238"/>
        <v>0</v>
      </c>
      <c r="W283" s="435">
        <v>0</v>
      </c>
      <c r="X283" s="435"/>
      <c r="Y283" s="435">
        <f t="shared" si="230"/>
        <v>0</v>
      </c>
      <c r="AA283" s="435"/>
      <c r="AC283" s="435">
        <f t="shared" si="239"/>
        <v>0</v>
      </c>
      <c r="AD283" s="435"/>
      <c r="AE283" s="435">
        <f t="shared" si="233"/>
        <v>0</v>
      </c>
    </row>
    <row r="284" spans="1:31" s="423" customFormat="1">
      <c r="A284" s="423" t="s">
        <v>815</v>
      </c>
      <c r="D284" s="423" t="s">
        <v>554</v>
      </c>
      <c r="E284" s="435">
        <v>0</v>
      </c>
      <c r="F284" s="435"/>
      <c r="G284" s="435"/>
      <c r="H284" s="435">
        <f>SUM(E284:G284)</f>
        <v>0</v>
      </c>
      <c r="I284" s="435">
        <v>0</v>
      </c>
      <c r="J284" s="435">
        <v>0</v>
      </c>
      <c r="K284" s="435"/>
      <c r="L284" s="435">
        <f>SUM(I284:K284)</f>
        <v>0</v>
      </c>
      <c r="M284" s="435">
        <v>0</v>
      </c>
      <c r="N284" s="435"/>
      <c r="O284" s="435">
        <f>SUM(M284:N284)</f>
        <v>0</v>
      </c>
      <c r="P284" s="435">
        <v>69300000</v>
      </c>
      <c r="Q284" s="435">
        <f>-81348750.2750015--12048750.2750015</f>
        <v>-69300000</v>
      </c>
      <c r="R284" s="435">
        <v>0</v>
      </c>
      <c r="S284" s="435">
        <v>0</v>
      </c>
      <c r="T284" s="435">
        <v>0</v>
      </c>
      <c r="U284" s="435"/>
      <c r="V284" s="435">
        <f>SUM(T284:U284)</f>
        <v>0</v>
      </c>
      <c r="W284" s="435">
        <v>0</v>
      </c>
      <c r="X284" s="435"/>
      <c r="Y284" s="435">
        <f>SUM(W284:X284)</f>
        <v>0</v>
      </c>
      <c r="AA284" s="435"/>
      <c r="AC284" s="435">
        <f t="shared" si="239"/>
        <v>0</v>
      </c>
      <c r="AD284" s="435">
        <v>0</v>
      </c>
      <c r="AE284" s="435">
        <f>SUM(AC284:AD284)</f>
        <v>0</v>
      </c>
    </row>
    <row r="285" spans="1:31" s="423" customFormat="1">
      <c r="A285" s="433" t="s">
        <v>811</v>
      </c>
      <c r="D285" s="423" t="s">
        <v>553</v>
      </c>
      <c r="E285" s="435">
        <v>0</v>
      </c>
      <c r="F285" s="435"/>
      <c r="G285" s="435"/>
      <c r="H285" s="435">
        <f t="shared" si="226"/>
        <v>0</v>
      </c>
      <c r="I285" s="435">
        <v>0</v>
      </c>
      <c r="J285" s="435">
        <v>0</v>
      </c>
      <c r="K285" s="435"/>
      <c r="L285" s="435">
        <f t="shared" si="236"/>
        <v>0</v>
      </c>
      <c r="M285" s="435">
        <v>0</v>
      </c>
      <c r="N285" s="435"/>
      <c r="O285" s="435">
        <f t="shared" si="237"/>
        <v>0</v>
      </c>
      <c r="P285" s="435">
        <v>27893250000</v>
      </c>
      <c r="Q285" s="435">
        <v>-27893250000</v>
      </c>
      <c r="R285" s="435">
        <v>0</v>
      </c>
      <c r="S285" s="435">
        <f>SUM(P285:R285)</f>
        <v>0</v>
      </c>
      <c r="T285" s="435">
        <v>0</v>
      </c>
      <c r="U285" s="435"/>
      <c r="V285" s="435">
        <f t="shared" si="238"/>
        <v>0</v>
      </c>
      <c r="W285" s="435">
        <v>0</v>
      </c>
      <c r="X285" s="435"/>
      <c r="Y285" s="435">
        <f t="shared" si="230"/>
        <v>0</v>
      </c>
      <c r="AA285" s="435"/>
      <c r="AC285" s="435">
        <f t="shared" si="239"/>
        <v>0</v>
      </c>
      <c r="AD285" s="435"/>
      <c r="AE285" s="435">
        <f t="shared" si="233"/>
        <v>0</v>
      </c>
    </row>
    <row r="286" spans="1:31" s="417" customFormat="1">
      <c r="E286" s="435"/>
      <c r="F286" s="435"/>
      <c r="G286" s="435"/>
      <c r="H286" s="435"/>
      <c r="I286" s="435"/>
      <c r="J286" s="435"/>
      <c r="K286" s="435"/>
      <c r="L286" s="435"/>
      <c r="M286" s="435"/>
      <c r="N286" s="435"/>
      <c r="O286" s="435"/>
      <c r="P286" s="435"/>
      <c r="Q286" s="435"/>
      <c r="R286" s="435"/>
      <c r="S286" s="435"/>
      <c r="T286" s="435"/>
      <c r="U286" s="435"/>
      <c r="V286" s="435"/>
      <c r="W286" s="435"/>
      <c r="X286" s="435"/>
      <c r="Y286" s="435"/>
    </row>
    <row r="287" spans="1:31" s="417" customFormat="1" ht="13.5" thickBot="1">
      <c r="E287" s="458">
        <f>SUM(E271:E285)</f>
        <v>976364006631.29993</v>
      </c>
      <c r="F287" s="458"/>
      <c r="G287" s="458"/>
      <c r="H287" s="458">
        <f t="shared" ref="H287:L287" si="240">SUM(H271:H285)</f>
        <v>0</v>
      </c>
      <c r="I287" s="458">
        <f t="shared" si="240"/>
        <v>20779414154.099998</v>
      </c>
      <c r="J287" s="458">
        <f t="shared" si="240"/>
        <v>-20779414154.099998</v>
      </c>
      <c r="K287" s="458">
        <f t="shared" si="240"/>
        <v>0</v>
      </c>
      <c r="L287" s="458">
        <f t="shared" si="240"/>
        <v>0</v>
      </c>
      <c r="M287" s="458">
        <f>SUM(M271:M285)</f>
        <v>0</v>
      </c>
      <c r="N287" s="458"/>
      <c r="O287" s="458">
        <f t="shared" ref="O287:V287" si="241">SUM(O271:O285)</f>
        <v>0</v>
      </c>
      <c r="P287" s="458">
        <f t="shared" si="241"/>
        <v>50779755436.724998</v>
      </c>
      <c r="Q287" s="458">
        <f t="shared" si="241"/>
        <v>-50779755436.724998</v>
      </c>
      <c r="R287" s="458">
        <f t="shared" si="241"/>
        <v>0</v>
      </c>
      <c r="S287" s="458">
        <f t="shared" si="241"/>
        <v>0</v>
      </c>
      <c r="T287" s="458">
        <f t="shared" si="241"/>
        <v>0</v>
      </c>
      <c r="U287" s="458">
        <f t="shared" si="241"/>
        <v>0</v>
      </c>
      <c r="V287" s="458">
        <f t="shared" si="241"/>
        <v>0</v>
      </c>
      <c r="W287" s="458">
        <f>SUM(W271:W285)</f>
        <v>0</v>
      </c>
      <c r="X287" s="458"/>
      <c r="Y287" s="458">
        <f>SUM(Y271:Y285)</f>
        <v>0</v>
      </c>
      <c r="AA287" s="458">
        <f>SUM(AA271:AA285)</f>
        <v>0</v>
      </c>
      <c r="AC287" s="458">
        <f>SUM(AC271:AC285)</f>
        <v>0</v>
      </c>
      <c r="AD287" s="458">
        <f>SUM(AD271:AD285)</f>
        <v>0</v>
      </c>
      <c r="AE287" s="458">
        <f>SUM(AE271:AE285)</f>
        <v>0</v>
      </c>
    </row>
    <row r="288" spans="1:31" s="417" customFormat="1" ht="13.5" thickTop="1">
      <c r="D288" s="445"/>
      <c r="E288" s="443"/>
      <c r="F288" s="443"/>
      <c r="G288" s="443"/>
      <c r="H288" s="443"/>
      <c r="I288" s="443"/>
      <c r="J288" s="443"/>
      <c r="K288" s="443"/>
      <c r="L288" s="443"/>
      <c r="M288" s="443"/>
      <c r="N288" s="443"/>
      <c r="O288" s="443"/>
      <c r="P288" s="443"/>
      <c r="Q288" s="443"/>
      <c r="R288" s="443"/>
      <c r="S288" s="443"/>
      <c r="T288" s="443"/>
      <c r="U288" s="443"/>
      <c r="V288" s="443"/>
      <c r="W288" s="443"/>
      <c r="X288" s="443"/>
      <c r="Y288" s="443"/>
      <c r="AA288" s="443"/>
      <c r="AC288" s="443"/>
      <c r="AD288" s="443"/>
      <c r="AE288" s="443"/>
    </row>
    <row r="289" spans="1:33" s="417" customFormat="1" ht="13">
      <c r="D289" s="445" t="s">
        <v>435</v>
      </c>
      <c r="E289" s="446">
        <f>'Consol SoFP 24'!D41</f>
        <v>976364006631</v>
      </c>
      <c r="F289" s="446"/>
      <c r="G289" s="446">
        <f>'Consol SoFP 24'!F41</f>
        <v>0</v>
      </c>
      <c r="H289" s="446">
        <f>'Consol SoFP 24'!H41</f>
        <v>0</v>
      </c>
      <c r="I289" s="446">
        <f>'Consol SoFP 24'!I41</f>
        <v>20779414154</v>
      </c>
      <c r="J289" s="446">
        <f>'Consol SoFP 24'!J41</f>
        <v>-20779414154</v>
      </c>
      <c r="K289" s="446">
        <f>'Consol SoFP 24'!K41</f>
        <v>0</v>
      </c>
      <c r="L289" s="446">
        <f>'Consol SoFP 24'!L41</f>
        <v>0</v>
      </c>
      <c r="M289" s="446">
        <f>'Consol SoFP 24'!M41</f>
        <v>0</v>
      </c>
      <c r="N289" s="446">
        <f>'Consol SoFP 24'!N41</f>
        <v>0</v>
      </c>
      <c r="O289" s="446">
        <f>'Consol SoFP 24'!O41</f>
        <v>0</v>
      </c>
      <c r="P289" s="446">
        <f>'Consol SoFP 24'!P41</f>
        <v>50779755437</v>
      </c>
      <c r="Q289" s="446">
        <f>'Consol SoFP 24'!Q41</f>
        <v>-50779755436.724998</v>
      </c>
      <c r="R289" s="446">
        <f>'Consol SoFP 24'!R41</f>
        <v>0</v>
      </c>
      <c r="S289" s="446">
        <f>'Consol SoFP 24'!S41</f>
        <v>0.27500152587890625</v>
      </c>
      <c r="T289" s="446">
        <f>'Consol SoFP 24'!T41</f>
        <v>0</v>
      </c>
      <c r="U289" s="446">
        <f>'Consol SoFP 24'!U41</f>
        <v>0</v>
      </c>
      <c r="V289" s="446">
        <f>'Consol SoFP 24'!V41</f>
        <v>0</v>
      </c>
      <c r="W289" s="446">
        <f>'Consol SoFP 24'!W41</f>
        <v>0</v>
      </c>
      <c r="X289" s="446">
        <f>'Consol SoFP 24'!X41</f>
        <v>0</v>
      </c>
      <c r="Y289" s="446">
        <f>'Consol SoFP 24'!Y41</f>
        <v>0</v>
      </c>
      <c r="Z289" s="446">
        <f>'Consol SoFP 24'!Z41</f>
        <v>0</v>
      </c>
      <c r="AA289" s="446"/>
      <c r="AC289" s="446">
        <f>'Consol SoFP 24'!AE41</f>
        <v>0.27500152587890625</v>
      </c>
      <c r="AD289" s="446">
        <f>SUM('Consol SoFP 24'!AF41:AG41)</f>
        <v>0</v>
      </c>
      <c r="AE289" s="446">
        <f>'Consol SoFP 24'!AH41</f>
        <v>0.27500152587890625</v>
      </c>
      <c r="AG289" s="457"/>
    </row>
    <row r="290" spans="1:33" s="417" customFormat="1" ht="13">
      <c r="D290" s="445" t="s">
        <v>111</v>
      </c>
      <c r="E290" s="442">
        <f t="shared" ref="E290:Y290" si="242">E287-E289</f>
        <v>0.2999267578125</v>
      </c>
      <c r="F290" s="442"/>
      <c r="G290" s="442"/>
      <c r="H290" s="442">
        <f t="shared" si="242"/>
        <v>0</v>
      </c>
      <c r="I290" s="442">
        <f t="shared" si="242"/>
        <v>9.999847412109375E-2</v>
      </c>
      <c r="J290" s="442">
        <f t="shared" si="242"/>
        <v>-9.999847412109375E-2</v>
      </c>
      <c r="K290" s="442">
        <f t="shared" si="242"/>
        <v>0</v>
      </c>
      <c r="L290" s="442">
        <f t="shared" si="242"/>
        <v>0</v>
      </c>
      <c r="M290" s="442">
        <f t="shared" si="242"/>
        <v>0</v>
      </c>
      <c r="N290" s="442">
        <f t="shared" si="242"/>
        <v>0</v>
      </c>
      <c r="O290" s="442">
        <f t="shared" si="242"/>
        <v>0</v>
      </c>
      <c r="P290" s="442">
        <f t="shared" si="242"/>
        <v>-0.27500152587890625</v>
      </c>
      <c r="Q290" s="442">
        <f t="shared" si="242"/>
        <v>0</v>
      </c>
      <c r="R290" s="442">
        <f t="shared" si="242"/>
        <v>0</v>
      </c>
      <c r="S290" s="442">
        <f t="shared" si="242"/>
        <v>-0.27500152587890625</v>
      </c>
      <c r="T290" s="442">
        <f t="shared" si="242"/>
        <v>0</v>
      </c>
      <c r="U290" s="442">
        <f t="shared" si="242"/>
        <v>0</v>
      </c>
      <c r="V290" s="442">
        <f t="shared" si="242"/>
        <v>0</v>
      </c>
      <c r="W290" s="442">
        <f t="shared" si="242"/>
        <v>0</v>
      </c>
      <c r="X290" s="442">
        <f t="shared" si="242"/>
        <v>0</v>
      </c>
      <c r="Y290" s="442">
        <f t="shared" si="242"/>
        <v>0</v>
      </c>
      <c r="AA290" s="442">
        <f t="shared" ref="AA290" si="243">AA287-AA289</f>
        <v>0</v>
      </c>
      <c r="AC290" s="442">
        <f t="shared" ref="AC290:AE290" si="244">AC287-AC289</f>
        <v>-0.27500152587890625</v>
      </c>
      <c r="AD290" s="442">
        <f t="shared" si="244"/>
        <v>0</v>
      </c>
      <c r="AE290" s="442">
        <f t="shared" si="244"/>
        <v>-0.27500152587890625</v>
      </c>
    </row>
    <row r="291" spans="1:33" s="417" customFormat="1" ht="13">
      <c r="D291" s="445"/>
      <c r="E291" s="443"/>
      <c r="F291" s="443"/>
      <c r="G291" s="443"/>
      <c r="H291" s="443"/>
      <c r="I291" s="443"/>
      <c r="J291" s="443"/>
      <c r="K291" s="443"/>
      <c r="L291" s="443"/>
      <c r="M291" s="443"/>
      <c r="N291" s="443"/>
      <c r="O291" s="443"/>
      <c r="P291" s="443"/>
      <c r="Q291" s="443"/>
      <c r="R291" s="443"/>
      <c r="S291" s="443"/>
      <c r="T291" s="443"/>
      <c r="U291" s="443"/>
      <c r="V291" s="443"/>
      <c r="W291" s="443"/>
      <c r="X291" s="443"/>
      <c r="Y291" s="443"/>
      <c r="AA291" s="443"/>
      <c r="AC291" s="443"/>
      <c r="AD291" s="443"/>
      <c r="AE291" s="443"/>
    </row>
    <row r="292" spans="1:33" s="417" customFormat="1" ht="13" thickBot="1">
      <c r="A292" s="447"/>
      <c r="B292" s="447"/>
      <c r="C292" s="447"/>
      <c r="D292" s="447"/>
      <c r="E292" s="447"/>
      <c r="F292" s="447"/>
      <c r="G292" s="447"/>
      <c r="H292" s="447"/>
      <c r="I292" s="447"/>
      <c r="J292" s="447"/>
      <c r="K292" s="447"/>
      <c r="L292" s="447"/>
      <c r="M292" s="447"/>
      <c r="N292" s="447"/>
      <c r="O292" s="447"/>
      <c r="P292" s="447"/>
      <c r="Q292" s="447"/>
      <c r="R292" s="447"/>
      <c r="S292" s="447"/>
      <c r="T292" s="447"/>
      <c r="U292" s="447"/>
      <c r="V292" s="447"/>
      <c r="W292" s="447"/>
      <c r="X292" s="447"/>
      <c r="Y292" s="447"/>
      <c r="AA292" s="447"/>
      <c r="AC292" s="447"/>
      <c r="AD292" s="447"/>
      <c r="AE292" s="447"/>
    </row>
    <row r="293" spans="1:33" s="417" customFormat="1" ht="13">
      <c r="B293" s="414" t="s">
        <v>454</v>
      </c>
    </row>
    <row r="294" spans="1:33" s="417" customFormat="1" ht="13">
      <c r="A294" s="423"/>
      <c r="B294" s="423"/>
      <c r="C294" s="423"/>
      <c r="D294" s="423"/>
      <c r="E294" s="428" t="s">
        <v>426</v>
      </c>
      <c r="F294" s="428"/>
      <c r="G294" s="428" t="s">
        <v>334</v>
      </c>
      <c r="H294" s="428" t="s">
        <v>427</v>
      </c>
      <c r="I294" s="428" t="s">
        <v>426</v>
      </c>
      <c r="J294" s="428" t="s">
        <v>6</v>
      </c>
      <c r="K294" s="428" t="s">
        <v>334</v>
      </c>
      <c r="L294" s="428" t="s">
        <v>427</v>
      </c>
      <c r="M294" s="428" t="s">
        <v>426</v>
      </c>
      <c r="N294" s="428" t="s">
        <v>334</v>
      </c>
      <c r="O294" s="428" t="s">
        <v>427</v>
      </c>
      <c r="P294" s="428" t="s">
        <v>426</v>
      </c>
      <c r="Q294" s="428" t="s">
        <v>6</v>
      </c>
      <c r="R294" s="428" t="s">
        <v>334</v>
      </c>
      <c r="S294" s="428" t="s">
        <v>427</v>
      </c>
      <c r="T294" s="428" t="s">
        <v>426</v>
      </c>
      <c r="U294" s="428" t="s">
        <v>334</v>
      </c>
      <c r="V294" s="428" t="s">
        <v>427</v>
      </c>
      <c r="W294" s="428" t="s">
        <v>426</v>
      </c>
      <c r="X294" s="428" t="s">
        <v>334</v>
      </c>
      <c r="Y294" s="428" t="s">
        <v>427</v>
      </c>
      <c r="Z294" s="423"/>
      <c r="AA294" s="428" t="s">
        <v>428</v>
      </c>
      <c r="AB294" s="423"/>
      <c r="AC294" s="428" t="s">
        <v>11</v>
      </c>
      <c r="AD294" s="428" t="s">
        <v>429</v>
      </c>
      <c r="AE294" s="428" t="s">
        <v>13</v>
      </c>
    </row>
    <row r="295" spans="1:33" s="417" customFormat="1" ht="13">
      <c r="A295" s="423"/>
      <c r="B295" s="423"/>
      <c r="C295" s="423"/>
      <c r="D295" s="423"/>
      <c r="E295" s="429">
        <v>45657</v>
      </c>
      <c r="F295" s="429"/>
      <c r="G295" s="429"/>
      <c r="H295" s="429">
        <v>45657</v>
      </c>
      <c r="I295" s="429">
        <v>45657</v>
      </c>
      <c r="J295" s="429"/>
      <c r="K295" s="429"/>
      <c r="L295" s="429">
        <v>45657</v>
      </c>
      <c r="M295" s="429">
        <v>45657</v>
      </c>
      <c r="N295" s="429"/>
      <c r="O295" s="429">
        <v>45657</v>
      </c>
      <c r="P295" s="429">
        <v>45657</v>
      </c>
      <c r="Q295" s="429"/>
      <c r="R295" s="429"/>
      <c r="S295" s="429">
        <v>45657</v>
      </c>
      <c r="T295" s="429">
        <v>45657</v>
      </c>
      <c r="U295" s="429"/>
      <c r="V295" s="429">
        <v>45657</v>
      </c>
      <c r="W295" s="429">
        <v>45657</v>
      </c>
      <c r="X295" s="429"/>
      <c r="Y295" s="429">
        <v>45657</v>
      </c>
      <c r="Z295" s="423"/>
      <c r="AA295" s="429">
        <v>45657</v>
      </c>
      <c r="AB295" s="423"/>
      <c r="AC295" s="429" t="s">
        <v>455</v>
      </c>
      <c r="AD295" s="429">
        <v>45657</v>
      </c>
      <c r="AE295" s="429">
        <v>45657</v>
      </c>
    </row>
    <row r="296" spans="1:33" s="423" customFormat="1" ht="13" customHeight="1">
      <c r="C296" s="430"/>
      <c r="E296" s="431"/>
      <c r="F296" s="431"/>
      <c r="G296" s="431"/>
      <c r="H296" s="431"/>
      <c r="I296" s="431"/>
      <c r="J296" s="431"/>
      <c r="K296" s="431"/>
      <c r="L296" s="431"/>
      <c r="M296" s="431"/>
      <c r="N296" s="431"/>
      <c r="O296" s="431"/>
      <c r="P296" s="431"/>
      <c r="Q296" s="431"/>
      <c r="R296" s="431"/>
      <c r="S296" s="431"/>
      <c r="T296" s="431"/>
      <c r="U296" s="431"/>
      <c r="V296" s="431"/>
      <c r="W296" s="431"/>
      <c r="X296" s="431"/>
      <c r="Y296" s="431"/>
      <c r="AA296" s="432"/>
      <c r="AC296" s="432"/>
      <c r="AD296" s="432"/>
      <c r="AE296" s="432"/>
    </row>
    <row r="297" spans="1:33" s="423" customFormat="1">
      <c r="C297" s="423" t="s">
        <v>543</v>
      </c>
      <c r="D297" s="434"/>
      <c r="E297" s="435">
        <v>0</v>
      </c>
      <c r="F297" s="435">
        <f t="shared" ref="F297:F304" si="245">-E297</f>
        <v>0</v>
      </c>
      <c r="G297" s="435"/>
      <c r="H297" s="435">
        <f t="shared" ref="H297:H304" si="246">SUM(E297:G297)</f>
        <v>0</v>
      </c>
      <c r="I297" s="435">
        <v>-21504957075</v>
      </c>
      <c r="J297" s="435"/>
      <c r="K297" s="435"/>
      <c r="L297" s="435">
        <f t="shared" ref="L297" si="247">SUM(I297:K297)</f>
        <v>-21504957075</v>
      </c>
      <c r="M297" s="435">
        <v>-12048750</v>
      </c>
      <c r="N297" s="435"/>
      <c r="O297" s="435">
        <f t="shared" ref="O297" si="248">SUM(M297:N297)</f>
        <v>-12048750</v>
      </c>
      <c r="P297" s="435">
        <v>-2510156250</v>
      </c>
      <c r="Q297" s="435"/>
      <c r="R297" s="435"/>
      <c r="S297" s="435">
        <f t="shared" ref="S297:S304" si="249">SUM(P297:R297)</f>
        <v>-2510156250</v>
      </c>
      <c r="T297" s="435">
        <v>0</v>
      </c>
      <c r="U297" s="435"/>
      <c r="V297" s="435">
        <f t="shared" ref="V297:V304" si="250">SUM(T297:U297)</f>
        <v>0</v>
      </c>
      <c r="W297" s="435">
        <v>0</v>
      </c>
      <c r="X297" s="435"/>
      <c r="Y297" s="435">
        <f t="shared" ref="Y297:Y304" si="251">SUM(W297:X297)</f>
        <v>0</v>
      </c>
      <c r="AA297" s="435"/>
      <c r="AC297" s="435">
        <f t="shared" ref="AC297:AC304" si="252">SUM(H297,L297,O297,S297,V297,Y297)</f>
        <v>-24027162075</v>
      </c>
      <c r="AD297" s="435">
        <f>-SUM('Elimination 2024'!H7,'Elimination 2024'!H31,'Elimination 2024'!H44)</f>
        <v>24027162075</v>
      </c>
      <c r="AE297" s="435">
        <f>SUM(AC297:AD297)</f>
        <v>0</v>
      </c>
    </row>
    <row r="298" spans="1:33" s="423" customFormat="1">
      <c r="D298" s="423" t="s">
        <v>546</v>
      </c>
      <c r="E298" s="435">
        <v>0</v>
      </c>
      <c r="F298" s="435">
        <f t="shared" si="245"/>
        <v>0</v>
      </c>
      <c r="G298" s="435"/>
      <c r="H298" s="435">
        <f t="shared" si="246"/>
        <v>0</v>
      </c>
      <c r="I298" s="435">
        <v>0</v>
      </c>
      <c r="J298" s="435"/>
      <c r="K298" s="435"/>
      <c r="L298" s="435">
        <f t="shared" ref="L298:L304" si="253">SUM(I298:K298)</f>
        <v>0</v>
      </c>
      <c r="M298" s="435">
        <v>-11576250</v>
      </c>
      <c r="N298" s="435"/>
      <c r="O298" s="435">
        <f t="shared" ref="O298:O304" si="254">SUM(M298:N298)</f>
        <v>-11576250</v>
      </c>
      <c r="P298" s="435">
        <v>0</v>
      </c>
      <c r="Q298" s="435"/>
      <c r="R298" s="435"/>
      <c r="S298" s="435">
        <f t="shared" si="249"/>
        <v>0</v>
      </c>
      <c r="T298" s="435">
        <v>-231525000</v>
      </c>
      <c r="U298" s="435"/>
      <c r="V298" s="435">
        <f t="shared" si="250"/>
        <v>-231525000</v>
      </c>
      <c r="W298" s="435">
        <v>0</v>
      </c>
      <c r="X298" s="435"/>
      <c r="Y298" s="435">
        <f t="shared" si="251"/>
        <v>0</v>
      </c>
      <c r="AA298" s="435"/>
      <c r="AC298" s="435">
        <f t="shared" si="252"/>
        <v>-243101250</v>
      </c>
      <c r="AD298" s="435">
        <f>-AC298</f>
        <v>243101250</v>
      </c>
      <c r="AE298" s="435">
        <f t="shared" ref="AE298:AE304" si="255">SUM(AC298:AD298)</f>
        <v>0</v>
      </c>
    </row>
    <row r="299" spans="1:33" s="423" customFormat="1">
      <c r="D299" s="423" t="s">
        <v>552</v>
      </c>
      <c r="E299" s="435">
        <v>0</v>
      </c>
      <c r="F299" s="435">
        <f t="shared" si="245"/>
        <v>0</v>
      </c>
      <c r="G299" s="435"/>
      <c r="H299" s="435">
        <f t="shared" si="246"/>
        <v>0</v>
      </c>
      <c r="I299" s="435">
        <v>0</v>
      </c>
      <c r="J299" s="435"/>
      <c r="K299" s="435"/>
      <c r="L299" s="435">
        <f t="shared" si="253"/>
        <v>0</v>
      </c>
      <c r="M299" s="435">
        <v>0</v>
      </c>
      <c r="N299" s="435"/>
      <c r="O299" s="435">
        <f t="shared" si="254"/>
        <v>0</v>
      </c>
      <c r="P299" s="435">
        <v>0</v>
      </c>
      <c r="Q299" s="435"/>
      <c r="R299" s="435"/>
      <c r="S299" s="435">
        <f t="shared" si="249"/>
        <v>0</v>
      </c>
      <c r="T299" s="435">
        <v>0</v>
      </c>
      <c r="U299" s="435"/>
      <c r="V299" s="435">
        <f t="shared" si="250"/>
        <v>0</v>
      </c>
      <c r="W299" s="435">
        <v>0</v>
      </c>
      <c r="X299" s="435"/>
      <c r="Y299" s="435">
        <f t="shared" si="251"/>
        <v>0</v>
      </c>
      <c r="AA299" s="435"/>
      <c r="AC299" s="435">
        <f t="shared" si="252"/>
        <v>0</v>
      </c>
      <c r="AD299" s="435"/>
      <c r="AE299" s="435">
        <f t="shared" si="255"/>
        <v>0</v>
      </c>
    </row>
    <row r="300" spans="1:33" s="423" customFormat="1">
      <c r="D300" s="423" t="s">
        <v>547</v>
      </c>
      <c r="E300" s="435">
        <v>0</v>
      </c>
      <c r="F300" s="435">
        <f t="shared" si="245"/>
        <v>0</v>
      </c>
      <c r="G300" s="435"/>
      <c r="H300" s="435">
        <f t="shared" si="246"/>
        <v>0</v>
      </c>
      <c r="I300" s="435">
        <v>0</v>
      </c>
      <c r="J300" s="435"/>
      <c r="K300" s="435"/>
      <c r="L300" s="435">
        <f t="shared" si="253"/>
        <v>0</v>
      </c>
      <c r="M300" s="435">
        <v>0</v>
      </c>
      <c r="N300" s="435"/>
      <c r="O300" s="435">
        <f t="shared" si="254"/>
        <v>0</v>
      </c>
      <c r="P300" s="435">
        <v>0</v>
      </c>
      <c r="Q300" s="435"/>
      <c r="R300" s="435"/>
      <c r="S300" s="435">
        <f t="shared" si="249"/>
        <v>0</v>
      </c>
      <c r="T300" s="435">
        <v>0</v>
      </c>
      <c r="U300" s="435"/>
      <c r="V300" s="435">
        <f t="shared" si="250"/>
        <v>0</v>
      </c>
      <c r="W300" s="435">
        <v>0</v>
      </c>
      <c r="X300" s="435"/>
      <c r="Y300" s="435">
        <f t="shared" si="251"/>
        <v>0</v>
      </c>
      <c r="AA300" s="435"/>
      <c r="AC300" s="435">
        <f t="shared" si="252"/>
        <v>0</v>
      </c>
      <c r="AD300" s="435">
        <f t="shared" ref="AD300" si="256">-AC300</f>
        <v>0</v>
      </c>
      <c r="AE300" s="435">
        <f t="shared" si="255"/>
        <v>0</v>
      </c>
    </row>
    <row r="301" spans="1:33" s="423" customFormat="1">
      <c r="D301" s="423" t="s">
        <v>548</v>
      </c>
      <c r="E301" s="435">
        <v>0</v>
      </c>
      <c r="F301" s="435">
        <f t="shared" si="245"/>
        <v>0</v>
      </c>
      <c r="G301" s="435"/>
      <c r="H301" s="435">
        <f t="shared" si="246"/>
        <v>0</v>
      </c>
      <c r="I301" s="435">
        <v>0</v>
      </c>
      <c r="J301" s="435"/>
      <c r="K301" s="435"/>
      <c r="L301" s="435">
        <f t="shared" si="253"/>
        <v>0</v>
      </c>
      <c r="M301" s="435">
        <v>0</v>
      </c>
      <c r="N301" s="435"/>
      <c r="O301" s="435">
        <f t="shared" si="254"/>
        <v>0</v>
      </c>
      <c r="P301" s="435">
        <v>0</v>
      </c>
      <c r="Q301" s="435"/>
      <c r="R301" s="435"/>
      <c r="S301" s="435">
        <f t="shared" si="249"/>
        <v>0</v>
      </c>
      <c r="T301" s="435">
        <v>-240975000</v>
      </c>
      <c r="U301" s="435"/>
      <c r="V301" s="435">
        <f t="shared" si="250"/>
        <v>-240975000</v>
      </c>
      <c r="W301" s="435">
        <v>-9639000</v>
      </c>
      <c r="X301" s="435"/>
      <c r="Y301" s="435">
        <f t="shared" si="251"/>
        <v>-9639000</v>
      </c>
      <c r="AA301" s="435"/>
      <c r="AC301" s="435">
        <f t="shared" si="252"/>
        <v>-250614000</v>
      </c>
      <c r="AD301" s="435">
        <f>-AC301</f>
        <v>250614000</v>
      </c>
      <c r="AE301" s="435">
        <f t="shared" si="255"/>
        <v>0</v>
      </c>
    </row>
    <row r="302" spans="1:33" s="423" customFormat="1">
      <c r="D302" s="423" t="s">
        <v>545</v>
      </c>
      <c r="E302" s="435">
        <v>0</v>
      </c>
      <c r="F302" s="435">
        <f t="shared" si="245"/>
        <v>0</v>
      </c>
      <c r="G302" s="435"/>
      <c r="H302" s="435">
        <f t="shared" si="246"/>
        <v>0</v>
      </c>
      <c r="I302" s="435">
        <v>0</v>
      </c>
      <c r="J302" s="435"/>
      <c r="K302" s="435"/>
      <c r="L302" s="435">
        <f t="shared" si="253"/>
        <v>0</v>
      </c>
      <c r="M302" s="435">
        <v>0</v>
      </c>
      <c r="N302" s="435"/>
      <c r="O302" s="435">
        <f t="shared" si="254"/>
        <v>0</v>
      </c>
      <c r="P302" s="435">
        <v>0</v>
      </c>
      <c r="Q302" s="435"/>
      <c r="R302" s="435"/>
      <c r="S302" s="435">
        <f t="shared" si="249"/>
        <v>0</v>
      </c>
      <c r="T302" s="435">
        <v>0</v>
      </c>
      <c r="U302" s="435"/>
      <c r="V302" s="435">
        <f t="shared" si="250"/>
        <v>0</v>
      </c>
      <c r="W302" s="435">
        <v>0</v>
      </c>
      <c r="X302" s="435"/>
      <c r="Y302" s="435">
        <f t="shared" si="251"/>
        <v>0</v>
      </c>
      <c r="AA302" s="435"/>
      <c r="AC302" s="435">
        <f t="shared" si="252"/>
        <v>0</v>
      </c>
      <c r="AD302" s="435"/>
      <c r="AE302" s="435">
        <f t="shared" si="255"/>
        <v>0</v>
      </c>
    </row>
    <row r="303" spans="1:33" s="423" customFormat="1">
      <c r="D303" s="423" t="s">
        <v>549</v>
      </c>
      <c r="E303" s="435">
        <v>0</v>
      </c>
      <c r="F303" s="435">
        <f t="shared" si="245"/>
        <v>0</v>
      </c>
      <c r="G303" s="435"/>
      <c r="H303" s="435">
        <f t="shared" si="246"/>
        <v>0</v>
      </c>
      <c r="I303" s="435">
        <v>0</v>
      </c>
      <c r="J303" s="435"/>
      <c r="K303" s="435"/>
      <c r="L303" s="435">
        <f t="shared" si="253"/>
        <v>0</v>
      </c>
      <c r="M303" s="435">
        <v>0</v>
      </c>
      <c r="N303" s="435"/>
      <c r="O303" s="435">
        <f t="shared" si="254"/>
        <v>0</v>
      </c>
      <c r="P303" s="435">
        <v>0</v>
      </c>
      <c r="Q303" s="435"/>
      <c r="R303" s="435"/>
      <c r="S303" s="435">
        <f t="shared" si="249"/>
        <v>0</v>
      </c>
      <c r="T303" s="435">
        <v>0</v>
      </c>
      <c r="U303" s="435"/>
      <c r="V303" s="435">
        <f t="shared" si="250"/>
        <v>0</v>
      </c>
      <c r="W303" s="435">
        <v>0</v>
      </c>
      <c r="X303" s="435"/>
      <c r="Y303" s="435">
        <f t="shared" si="251"/>
        <v>0</v>
      </c>
      <c r="AA303" s="435"/>
      <c r="AC303" s="435">
        <f t="shared" si="252"/>
        <v>0</v>
      </c>
      <c r="AD303" s="435"/>
      <c r="AE303" s="435">
        <f t="shared" si="255"/>
        <v>0</v>
      </c>
    </row>
    <row r="304" spans="1:33" s="423" customFormat="1">
      <c r="A304" s="433"/>
      <c r="D304" s="434" t="s">
        <v>544</v>
      </c>
      <c r="E304" s="435">
        <v>0</v>
      </c>
      <c r="F304" s="435">
        <f t="shared" si="245"/>
        <v>0</v>
      </c>
      <c r="G304" s="435"/>
      <c r="H304" s="435">
        <f t="shared" si="246"/>
        <v>0</v>
      </c>
      <c r="I304" s="435">
        <v>0</v>
      </c>
      <c r="J304" s="435"/>
      <c r="K304" s="435"/>
      <c r="L304" s="435">
        <f t="shared" si="253"/>
        <v>0</v>
      </c>
      <c r="M304" s="435">
        <v>0</v>
      </c>
      <c r="N304" s="435"/>
      <c r="O304" s="435">
        <f t="shared" si="254"/>
        <v>0</v>
      </c>
      <c r="P304" s="435">
        <v>0</v>
      </c>
      <c r="Q304" s="435"/>
      <c r="R304" s="435"/>
      <c r="S304" s="435">
        <f t="shared" si="249"/>
        <v>0</v>
      </c>
      <c r="T304" s="435">
        <v>0</v>
      </c>
      <c r="U304" s="435"/>
      <c r="V304" s="435">
        <f t="shared" si="250"/>
        <v>0</v>
      </c>
      <c r="W304" s="435">
        <v>-10048500</v>
      </c>
      <c r="X304" s="435"/>
      <c r="Y304" s="435">
        <f t="shared" si="251"/>
        <v>-10048500</v>
      </c>
      <c r="AA304" s="435"/>
      <c r="AC304" s="435">
        <f t="shared" si="252"/>
        <v>-10048500</v>
      </c>
      <c r="AD304" s="435">
        <f>-AC304</f>
        <v>10048500</v>
      </c>
      <c r="AE304" s="435">
        <f t="shared" si="255"/>
        <v>0</v>
      </c>
    </row>
    <row r="305" spans="1:33" s="417" customFormat="1">
      <c r="A305" s="433"/>
      <c r="B305" s="423"/>
      <c r="C305" s="423"/>
      <c r="D305" s="423"/>
      <c r="E305" s="435"/>
      <c r="F305" s="435"/>
      <c r="G305" s="435"/>
      <c r="H305" s="435"/>
      <c r="I305" s="435"/>
      <c r="J305" s="435"/>
      <c r="K305" s="435"/>
      <c r="L305" s="435"/>
      <c r="M305" s="435"/>
      <c r="N305" s="435"/>
      <c r="O305" s="435"/>
      <c r="P305" s="435"/>
      <c r="Q305" s="435"/>
      <c r="R305" s="435"/>
      <c r="S305" s="435"/>
      <c r="T305" s="435"/>
      <c r="U305" s="435"/>
      <c r="V305" s="435"/>
      <c r="W305" s="435"/>
      <c r="X305" s="435"/>
      <c r="Y305" s="435"/>
    </row>
    <row r="306" spans="1:33" s="417" customFormat="1">
      <c r="B306" s="417" t="s">
        <v>451</v>
      </c>
      <c r="E306" s="435"/>
      <c r="F306" s="435"/>
      <c r="G306" s="435"/>
      <c r="H306" s="435"/>
      <c r="I306" s="435"/>
      <c r="J306" s="435"/>
      <c r="K306" s="435"/>
      <c r="L306" s="435"/>
      <c r="M306" s="435"/>
      <c r="N306" s="435"/>
      <c r="O306" s="435"/>
      <c r="P306" s="435"/>
      <c r="Q306" s="435"/>
      <c r="R306" s="435"/>
      <c r="S306" s="435"/>
      <c r="T306" s="435"/>
      <c r="U306" s="435"/>
      <c r="V306" s="435"/>
      <c r="W306" s="435"/>
      <c r="X306" s="435"/>
      <c r="Y306" s="435"/>
    </row>
    <row r="307" spans="1:33" s="417" customFormat="1">
      <c r="D307" s="417" t="s">
        <v>555</v>
      </c>
      <c r="E307" s="435">
        <v>0</v>
      </c>
      <c r="F307" s="435">
        <f t="shared" ref="F307:F312" si="257">-E307</f>
        <v>0</v>
      </c>
      <c r="G307" s="435"/>
      <c r="H307" s="435">
        <f t="shared" ref="H307:H313" si="258">SUM(E307:G307)</f>
        <v>0</v>
      </c>
      <c r="I307" s="435"/>
      <c r="J307" s="435"/>
      <c r="K307" s="435"/>
      <c r="L307" s="435"/>
      <c r="M307" s="435"/>
      <c r="N307" s="435"/>
      <c r="O307" s="435"/>
      <c r="P307" s="435">
        <v>0</v>
      </c>
      <c r="Q307" s="435"/>
      <c r="R307" s="435"/>
      <c r="S307" s="435">
        <f t="shared" ref="S307:S313" si="259">SUM(P307:R307)</f>
        <v>0</v>
      </c>
      <c r="T307" s="435"/>
      <c r="U307" s="435"/>
      <c r="V307" s="435"/>
      <c r="W307" s="435">
        <v>0</v>
      </c>
      <c r="X307" s="435"/>
      <c r="Y307" s="435">
        <f t="shared" ref="Y307:Y313" si="260">SUM(W307:X307)</f>
        <v>0</v>
      </c>
      <c r="AC307" s="435">
        <f t="shared" ref="AC307:AC313" si="261">SUM(H307,L307,O307,S307,V307,Y307)</f>
        <v>0</v>
      </c>
    </row>
    <row r="308" spans="1:33" s="417" customFormat="1">
      <c r="D308" s="417" t="s">
        <v>602</v>
      </c>
      <c r="E308" s="435">
        <v>0</v>
      </c>
      <c r="F308" s="435">
        <f t="shared" si="257"/>
        <v>0</v>
      </c>
      <c r="G308" s="435"/>
      <c r="H308" s="435">
        <f t="shared" si="258"/>
        <v>0</v>
      </c>
      <c r="I308" s="435"/>
      <c r="J308" s="435"/>
      <c r="K308" s="435"/>
      <c r="L308" s="435"/>
      <c r="M308" s="435"/>
      <c r="N308" s="435"/>
      <c r="O308" s="435"/>
      <c r="P308" s="435">
        <v>0</v>
      </c>
      <c r="Q308" s="435"/>
      <c r="R308" s="435"/>
      <c r="S308" s="435">
        <f t="shared" si="259"/>
        <v>0</v>
      </c>
      <c r="T308" s="435"/>
      <c r="U308" s="435"/>
      <c r="V308" s="435"/>
      <c r="W308" s="435">
        <v>0</v>
      </c>
      <c r="X308" s="435"/>
      <c r="Y308" s="435">
        <f t="shared" si="260"/>
        <v>0</v>
      </c>
      <c r="AC308" s="435">
        <f t="shared" si="261"/>
        <v>0</v>
      </c>
    </row>
    <row r="309" spans="1:33" s="417" customFormat="1">
      <c r="D309" s="417" t="s">
        <v>603</v>
      </c>
      <c r="E309" s="435">
        <v>0</v>
      </c>
      <c r="F309" s="435">
        <f t="shared" si="257"/>
        <v>0</v>
      </c>
      <c r="G309" s="435"/>
      <c r="H309" s="435">
        <f t="shared" si="258"/>
        <v>0</v>
      </c>
      <c r="I309" s="435"/>
      <c r="J309" s="435"/>
      <c r="K309" s="435"/>
      <c r="L309" s="435"/>
      <c r="M309" s="435"/>
      <c r="N309" s="435"/>
      <c r="O309" s="435"/>
      <c r="P309" s="435">
        <v>0</v>
      </c>
      <c r="Q309" s="435"/>
      <c r="R309" s="435"/>
      <c r="S309" s="435">
        <f t="shared" si="259"/>
        <v>0</v>
      </c>
      <c r="T309" s="435"/>
      <c r="U309" s="435"/>
      <c r="V309" s="435"/>
      <c r="W309" s="435">
        <v>0</v>
      </c>
      <c r="X309" s="435"/>
      <c r="Y309" s="435">
        <f t="shared" si="260"/>
        <v>0</v>
      </c>
      <c r="AC309" s="435">
        <f t="shared" si="261"/>
        <v>0</v>
      </c>
    </row>
    <row r="310" spans="1:33" s="417" customFormat="1">
      <c r="D310" s="417" t="s">
        <v>604</v>
      </c>
      <c r="E310" s="435">
        <v>0</v>
      </c>
      <c r="F310" s="435">
        <f t="shared" si="257"/>
        <v>0</v>
      </c>
      <c r="G310" s="435"/>
      <c r="H310" s="435">
        <f t="shared" si="258"/>
        <v>0</v>
      </c>
      <c r="I310" s="435"/>
      <c r="J310" s="435"/>
      <c r="K310" s="435"/>
      <c r="L310" s="435"/>
      <c r="M310" s="435"/>
      <c r="N310" s="435"/>
      <c r="O310" s="435"/>
      <c r="P310" s="435">
        <v>0</v>
      </c>
      <c r="Q310" s="435"/>
      <c r="R310" s="435"/>
      <c r="S310" s="435">
        <f t="shared" si="259"/>
        <v>0</v>
      </c>
      <c r="T310" s="435"/>
      <c r="U310" s="435"/>
      <c r="V310" s="435"/>
      <c r="W310" s="435">
        <v>0</v>
      </c>
      <c r="X310" s="435"/>
      <c r="Y310" s="435">
        <f t="shared" si="260"/>
        <v>0</v>
      </c>
      <c r="AC310" s="435">
        <f t="shared" si="261"/>
        <v>0</v>
      </c>
    </row>
    <row r="311" spans="1:33" s="417" customFormat="1">
      <c r="D311" s="417" t="s">
        <v>605</v>
      </c>
      <c r="E311" s="435">
        <v>-142411500000</v>
      </c>
      <c r="F311" s="435">
        <v>0</v>
      </c>
      <c r="G311" s="435">
        <f>'Consol SoFP 24'!E93</f>
        <v>-344280825000</v>
      </c>
      <c r="H311" s="435">
        <f t="shared" si="258"/>
        <v>-486692325000</v>
      </c>
      <c r="I311" s="435">
        <v>-1064542438575</v>
      </c>
      <c r="J311" s="435">
        <v>434382050025</v>
      </c>
      <c r="K311" s="435">
        <f>'Consol SoFP 24'!K93</f>
        <v>0</v>
      </c>
      <c r="L311" s="435">
        <f t="shared" ref="L311:L312" si="262">SUM(I311:K311)</f>
        <v>-630160388550</v>
      </c>
      <c r="M311" s="435">
        <v>0</v>
      </c>
      <c r="N311" s="435"/>
      <c r="O311" s="435">
        <f t="shared" ref="O311:O312" si="263">SUM(M311:N311)</f>
        <v>0</v>
      </c>
      <c r="P311" s="435">
        <v>-2411718750</v>
      </c>
      <c r="Q311" s="435"/>
      <c r="R311" s="435"/>
      <c r="S311" s="435">
        <f t="shared" si="259"/>
        <v>-2411718750</v>
      </c>
      <c r="T311" s="435">
        <v>0</v>
      </c>
      <c r="U311" s="435"/>
      <c r="V311" s="435">
        <f t="shared" ref="V311:V312" si="264">SUM(T311:U311)</f>
        <v>0</v>
      </c>
      <c r="W311" s="435">
        <v>0</v>
      </c>
      <c r="X311" s="435"/>
      <c r="Y311" s="435">
        <f t="shared" si="260"/>
        <v>0</v>
      </c>
      <c r="AC311" s="435">
        <f t="shared" si="261"/>
        <v>-1119264432300</v>
      </c>
      <c r="AD311" s="457">
        <f>-SUM('Elimination 2024'!H8,'Elimination 2024'!H45)</f>
        <v>632572107300</v>
      </c>
      <c r="AE311" s="435">
        <f t="shared" ref="AE311:AE313" si="265">SUM(AC311:AD311)</f>
        <v>-486692325000</v>
      </c>
    </row>
    <row r="312" spans="1:33" s="417" customFormat="1">
      <c r="D312" s="417" t="s">
        <v>606</v>
      </c>
      <c r="E312" s="435">
        <v>0</v>
      </c>
      <c r="F312" s="435">
        <f t="shared" si="257"/>
        <v>0</v>
      </c>
      <c r="G312" s="435"/>
      <c r="H312" s="435">
        <f t="shared" si="258"/>
        <v>0</v>
      </c>
      <c r="I312" s="435">
        <v>0</v>
      </c>
      <c r="J312" s="435"/>
      <c r="K312" s="435"/>
      <c r="L312" s="435">
        <f t="shared" si="262"/>
        <v>0</v>
      </c>
      <c r="M312" s="435">
        <v>0</v>
      </c>
      <c r="N312" s="435"/>
      <c r="O312" s="435">
        <f t="shared" si="263"/>
        <v>0</v>
      </c>
      <c r="P312" s="435">
        <v>0</v>
      </c>
      <c r="Q312" s="435"/>
      <c r="R312" s="435"/>
      <c r="S312" s="435">
        <f t="shared" si="259"/>
        <v>0</v>
      </c>
      <c r="T312" s="435">
        <v>0</v>
      </c>
      <c r="U312" s="435"/>
      <c r="V312" s="435">
        <f t="shared" si="264"/>
        <v>0</v>
      </c>
      <c r="W312" s="435">
        <v>0</v>
      </c>
      <c r="X312" s="435"/>
      <c r="Y312" s="435">
        <f t="shared" si="260"/>
        <v>0</v>
      </c>
      <c r="AC312" s="435">
        <f t="shared" si="261"/>
        <v>0</v>
      </c>
      <c r="AD312" s="457">
        <f>-AC312</f>
        <v>0</v>
      </c>
      <c r="AE312" s="435">
        <f t="shared" si="265"/>
        <v>0</v>
      </c>
    </row>
    <row r="313" spans="1:33" s="417" customFormat="1">
      <c r="D313" s="417" t="s">
        <v>456</v>
      </c>
      <c r="E313" s="435">
        <v>-15750000</v>
      </c>
      <c r="F313" s="435">
        <v>0</v>
      </c>
      <c r="G313" s="435"/>
      <c r="H313" s="435">
        <f t="shared" si="258"/>
        <v>-15750000</v>
      </c>
      <c r="I313" s="435">
        <v>0</v>
      </c>
      <c r="J313" s="435"/>
      <c r="K313" s="435"/>
      <c r="L313" s="435"/>
      <c r="M313" s="435"/>
      <c r="N313" s="435"/>
      <c r="O313" s="435"/>
      <c r="P313" s="435">
        <v>0</v>
      </c>
      <c r="Q313" s="435"/>
      <c r="R313" s="435"/>
      <c r="S313" s="435">
        <f t="shared" si="259"/>
        <v>0</v>
      </c>
      <c r="T313" s="435"/>
      <c r="U313" s="435"/>
      <c r="V313" s="435"/>
      <c r="W313" s="435">
        <v>0</v>
      </c>
      <c r="X313" s="435"/>
      <c r="Y313" s="435">
        <f t="shared" si="260"/>
        <v>0</v>
      </c>
      <c r="AC313" s="435">
        <f t="shared" si="261"/>
        <v>-15750000</v>
      </c>
      <c r="AE313" s="435">
        <f t="shared" si="265"/>
        <v>-15750000</v>
      </c>
    </row>
    <row r="314" spans="1:33" s="417" customFormat="1">
      <c r="E314" s="435"/>
      <c r="F314" s="435"/>
      <c r="G314" s="435"/>
      <c r="H314" s="435"/>
      <c r="I314" s="435"/>
      <c r="J314" s="435"/>
      <c r="K314" s="435"/>
      <c r="L314" s="435"/>
      <c r="M314" s="435"/>
      <c r="N314" s="435"/>
      <c r="O314" s="435"/>
      <c r="P314" s="435"/>
      <c r="Q314" s="435"/>
      <c r="R314" s="435"/>
      <c r="S314" s="435"/>
      <c r="T314" s="435"/>
      <c r="U314" s="435"/>
      <c r="V314" s="435"/>
      <c r="W314" s="435"/>
      <c r="X314" s="435"/>
      <c r="Y314" s="435"/>
    </row>
    <row r="315" spans="1:33" s="417" customFormat="1" ht="13.5" thickBot="1">
      <c r="E315" s="458">
        <f>SUM(E297:E313)</f>
        <v>-142427250000</v>
      </c>
      <c r="F315" s="458"/>
      <c r="G315" s="458"/>
      <c r="H315" s="458">
        <f>SUM(H297:H313)</f>
        <v>-486708075000</v>
      </c>
      <c r="I315" s="458">
        <f>SUM(I297:I313)</f>
        <v>-1086047395650</v>
      </c>
      <c r="J315" s="458"/>
      <c r="K315" s="458">
        <f>SUM(K297:K313)</f>
        <v>0</v>
      </c>
      <c r="L315" s="458">
        <f>SUM(L297:L313)</f>
        <v>-651665345625</v>
      </c>
      <c r="M315" s="458">
        <f>SUM(M297:M313)</f>
        <v>-23625000</v>
      </c>
      <c r="N315" s="458"/>
      <c r="O315" s="458">
        <f>SUM(O297:O313)</f>
        <v>-23625000</v>
      </c>
      <c r="P315" s="458">
        <f>SUM(P297:P313)</f>
        <v>-4921875000</v>
      </c>
      <c r="Q315" s="458"/>
      <c r="R315" s="458"/>
      <c r="S315" s="458">
        <f>SUM(S297:S313)</f>
        <v>-4921875000</v>
      </c>
      <c r="T315" s="458">
        <f>SUM(T297:T313)</f>
        <v>-472500000</v>
      </c>
      <c r="U315" s="458"/>
      <c r="V315" s="458">
        <f>SUM(V297:V313)</f>
        <v>-472500000</v>
      </c>
      <c r="W315" s="458">
        <f>SUM(W297:W313)</f>
        <v>-19687500</v>
      </c>
      <c r="X315" s="458"/>
      <c r="Y315" s="458">
        <f>SUM(Y297:Y313)</f>
        <v>-19687500</v>
      </c>
      <c r="AA315" s="458">
        <f>SUM(AA297:AA313)</f>
        <v>0</v>
      </c>
      <c r="AC315" s="458">
        <f>SUM(AC297:AC313)</f>
        <v>-1143811108125</v>
      </c>
      <c r="AD315" s="458">
        <f>SUM(AD297:AD313)</f>
        <v>657103033125</v>
      </c>
      <c r="AE315" s="458">
        <f>SUM(AE297:AE313)</f>
        <v>-486708075000</v>
      </c>
    </row>
    <row r="316" spans="1:33" s="417" customFormat="1" ht="13.5" thickTop="1">
      <c r="D316" s="445"/>
      <c r="E316" s="443"/>
      <c r="F316" s="443"/>
      <c r="G316" s="443"/>
      <c r="H316" s="443"/>
      <c r="I316" s="443"/>
      <c r="J316" s="443"/>
      <c r="K316" s="443"/>
      <c r="L316" s="443"/>
      <c r="M316" s="443"/>
      <c r="N316" s="443"/>
      <c r="O316" s="443"/>
      <c r="P316" s="443"/>
      <c r="Q316" s="443"/>
      <c r="R316" s="443"/>
      <c r="S316" s="443"/>
      <c r="T316" s="443"/>
      <c r="U316" s="443"/>
      <c r="V316" s="443"/>
      <c r="W316" s="443"/>
      <c r="X316" s="443"/>
      <c r="Y316" s="443"/>
      <c r="AA316" s="443"/>
      <c r="AC316" s="443"/>
      <c r="AD316" s="443"/>
      <c r="AE316" s="443"/>
    </row>
    <row r="317" spans="1:33" s="417" customFormat="1" ht="13">
      <c r="D317" s="445" t="s">
        <v>435</v>
      </c>
      <c r="E317" s="446">
        <f>'Consol SoFP 24'!D93</f>
        <v>-142427250000</v>
      </c>
      <c r="F317" s="446"/>
      <c r="G317" s="446"/>
      <c r="H317" s="446">
        <f>'Consol SoFP 24'!H93</f>
        <v>-486708075000</v>
      </c>
      <c r="I317" s="446">
        <f>'Consol SoFP 24'!I93</f>
        <v>-1086047395650</v>
      </c>
      <c r="J317" s="446"/>
      <c r="K317" s="446">
        <f>'Consol SoFP 24'!K93</f>
        <v>0</v>
      </c>
      <c r="L317" s="446">
        <f>'Consol SoFP 24'!L93</f>
        <v>-651665345625</v>
      </c>
      <c r="M317" s="446">
        <f>'Consol SoFP 24'!M93</f>
        <v>-23625000</v>
      </c>
      <c r="N317" s="446">
        <f>'Consol SoFP 24'!N93</f>
        <v>0</v>
      </c>
      <c r="O317" s="446">
        <f>'Consol SoFP 24'!O93</f>
        <v>-23625000</v>
      </c>
      <c r="P317" s="446">
        <f>'Consol SoFP 24'!P93</f>
        <v>-4921875000</v>
      </c>
      <c r="Q317" s="446"/>
      <c r="R317" s="446">
        <f>'Consol SoFP 24'!R93</f>
        <v>0</v>
      </c>
      <c r="S317" s="446">
        <f>'Consol SoFP 24'!S93</f>
        <v>-4921875000</v>
      </c>
      <c r="T317" s="446">
        <f>'Consol SoFP 24'!T93</f>
        <v>-472500000</v>
      </c>
      <c r="U317" s="446">
        <f>'Consol SoFP 24'!U93</f>
        <v>0</v>
      </c>
      <c r="V317" s="446">
        <f>'Consol SoFP 24'!V93</f>
        <v>-472500000</v>
      </c>
      <c r="W317" s="446">
        <f>'Consol SoFP 24'!W93</f>
        <v>-19687500</v>
      </c>
      <c r="X317" s="446">
        <f>'Consol SoFP 24'!X93</f>
        <v>0</v>
      </c>
      <c r="Y317" s="446">
        <f>'Consol SoFP 24'!Y93</f>
        <v>-19687500</v>
      </c>
      <c r="AA317" s="446">
        <v>0</v>
      </c>
      <c r="AC317" s="446">
        <f>'Consol SoFP 24'!AE93</f>
        <v>-1143811108125</v>
      </c>
      <c r="AD317" s="446"/>
      <c r="AE317" s="446">
        <f>'Consol SoFP 24'!AH93</f>
        <v>-486708075000</v>
      </c>
      <c r="AG317" s="457"/>
    </row>
    <row r="318" spans="1:33" s="417" customFormat="1" ht="13">
      <c r="D318" s="445" t="s">
        <v>111</v>
      </c>
      <c r="E318" s="442">
        <f>E315-E317</f>
        <v>0</v>
      </c>
      <c r="F318" s="442"/>
      <c r="G318" s="442"/>
      <c r="H318" s="442">
        <f>H315-H317</f>
        <v>0</v>
      </c>
      <c r="I318" s="442">
        <f t="shared" ref="I318:Y318" si="266">I315-I317</f>
        <v>0</v>
      </c>
      <c r="J318" s="442"/>
      <c r="K318" s="442">
        <f t="shared" si="266"/>
        <v>0</v>
      </c>
      <c r="L318" s="442">
        <f t="shared" si="266"/>
        <v>0</v>
      </c>
      <c r="M318" s="442">
        <f t="shared" si="266"/>
        <v>0</v>
      </c>
      <c r="N318" s="442">
        <f t="shared" si="266"/>
        <v>0</v>
      </c>
      <c r="O318" s="442">
        <f t="shared" si="266"/>
        <v>0</v>
      </c>
      <c r="P318" s="442">
        <f t="shared" si="266"/>
        <v>0</v>
      </c>
      <c r="Q318" s="442"/>
      <c r="R318" s="442">
        <f t="shared" si="266"/>
        <v>0</v>
      </c>
      <c r="S318" s="442">
        <f t="shared" si="266"/>
        <v>0</v>
      </c>
      <c r="T318" s="442">
        <f t="shared" si="266"/>
        <v>0</v>
      </c>
      <c r="U318" s="442">
        <f t="shared" si="266"/>
        <v>0</v>
      </c>
      <c r="V318" s="442">
        <f t="shared" si="266"/>
        <v>0</v>
      </c>
      <c r="W318" s="442">
        <f t="shared" si="266"/>
        <v>0</v>
      </c>
      <c r="X318" s="442">
        <f t="shared" si="266"/>
        <v>0</v>
      </c>
      <c r="Y318" s="442">
        <f t="shared" si="266"/>
        <v>0</v>
      </c>
      <c r="AA318" s="442">
        <f t="shared" ref="AA318" si="267">AA315-AA317</f>
        <v>0</v>
      </c>
      <c r="AC318" s="442">
        <f t="shared" ref="AC318:AE318" si="268">AC315-AC317</f>
        <v>0</v>
      </c>
      <c r="AD318" s="442">
        <f t="shared" si="268"/>
        <v>657103033125</v>
      </c>
      <c r="AE318" s="442">
        <f t="shared" si="268"/>
        <v>0</v>
      </c>
    </row>
    <row r="319" spans="1:33" s="417" customFormat="1" ht="13">
      <c r="D319" s="445"/>
      <c r="E319" s="443"/>
      <c r="F319" s="443"/>
      <c r="G319" s="443"/>
      <c r="H319" s="443"/>
      <c r="I319" s="443"/>
      <c r="J319" s="443"/>
      <c r="K319" s="443"/>
      <c r="L319" s="443"/>
      <c r="M319" s="443"/>
      <c r="N319" s="443"/>
      <c r="O319" s="443"/>
      <c r="P319" s="443"/>
      <c r="Q319" s="443"/>
      <c r="R319" s="443"/>
      <c r="S319" s="443"/>
      <c r="T319" s="443"/>
      <c r="U319" s="443"/>
      <c r="V319" s="443"/>
      <c r="W319" s="443"/>
      <c r="X319" s="443"/>
      <c r="Y319" s="443"/>
      <c r="AA319" s="443"/>
      <c r="AC319" s="443"/>
      <c r="AD319" s="443"/>
      <c r="AE319" s="443"/>
    </row>
    <row r="320" spans="1:33" s="417" customFormat="1" ht="13" thickBot="1">
      <c r="A320" s="447"/>
      <c r="B320" s="447"/>
      <c r="C320" s="447"/>
      <c r="D320" s="447"/>
      <c r="E320" s="447"/>
      <c r="F320" s="447"/>
      <c r="G320" s="447"/>
      <c r="H320" s="447"/>
      <c r="I320" s="447"/>
      <c r="J320" s="447"/>
      <c r="K320" s="447"/>
      <c r="L320" s="447"/>
      <c r="M320" s="447"/>
      <c r="N320" s="447"/>
      <c r="O320" s="447"/>
      <c r="P320" s="447"/>
      <c r="Q320" s="447"/>
      <c r="R320" s="447"/>
      <c r="S320" s="447"/>
      <c r="T320" s="447"/>
      <c r="U320" s="447"/>
      <c r="V320" s="447"/>
      <c r="W320" s="447"/>
      <c r="X320" s="447"/>
      <c r="Y320" s="447"/>
      <c r="AA320" s="447"/>
      <c r="AC320" s="447"/>
      <c r="AD320" s="447"/>
      <c r="AE320" s="447"/>
    </row>
    <row r="321" spans="1:31" s="417" customFormat="1" ht="13">
      <c r="B321" s="414" t="s">
        <v>457</v>
      </c>
    </row>
    <row r="322" spans="1:31" s="417" customFormat="1" ht="13">
      <c r="A322" s="423"/>
      <c r="B322" s="423"/>
      <c r="C322" s="423"/>
      <c r="D322" s="423"/>
      <c r="E322" s="428" t="s">
        <v>426</v>
      </c>
      <c r="F322" s="428"/>
      <c r="G322" s="428" t="s">
        <v>334</v>
      </c>
      <c r="H322" s="428" t="s">
        <v>427</v>
      </c>
      <c r="I322" s="428" t="s">
        <v>426</v>
      </c>
      <c r="J322" s="428" t="s">
        <v>6</v>
      </c>
      <c r="K322" s="428" t="s">
        <v>334</v>
      </c>
      <c r="L322" s="428" t="s">
        <v>427</v>
      </c>
      <c r="M322" s="428" t="s">
        <v>426</v>
      </c>
      <c r="N322" s="428" t="s">
        <v>334</v>
      </c>
      <c r="O322" s="428" t="s">
        <v>427</v>
      </c>
      <c r="P322" s="428" t="s">
        <v>426</v>
      </c>
      <c r="Q322" s="428" t="s">
        <v>6</v>
      </c>
      <c r="R322" s="428" t="s">
        <v>334</v>
      </c>
      <c r="S322" s="428" t="s">
        <v>427</v>
      </c>
      <c r="T322" s="428" t="s">
        <v>426</v>
      </c>
      <c r="U322" s="428" t="s">
        <v>334</v>
      </c>
      <c r="V322" s="428" t="s">
        <v>427</v>
      </c>
      <c r="W322" s="428" t="s">
        <v>426</v>
      </c>
      <c r="X322" s="428" t="s">
        <v>334</v>
      </c>
      <c r="Y322" s="428" t="s">
        <v>427</v>
      </c>
      <c r="Z322" s="423"/>
      <c r="AA322" s="428" t="s">
        <v>428</v>
      </c>
      <c r="AB322" s="423"/>
      <c r="AC322" s="428" t="s">
        <v>11</v>
      </c>
      <c r="AD322" s="428" t="s">
        <v>429</v>
      </c>
      <c r="AE322" s="428" t="s">
        <v>13</v>
      </c>
    </row>
    <row r="323" spans="1:31" s="417" customFormat="1" ht="13">
      <c r="A323" s="423"/>
      <c r="B323" s="423"/>
      <c r="C323" s="423"/>
      <c r="D323" s="423"/>
      <c r="E323" s="429">
        <v>45657</v>
      </c>
      <c r="F323" s="429"/>
      <c r="G323" s="429"/>
      <c r="H323" s="429">
        <v>45657</v>
      </c>
      <c r="I323" s="429">
        <v>45657</v>
      </c>
      <c r="J323" s="429"/>
      <c r="K323" s="429"/>
      <c r="L323" s="429">
        <v>45657</v>
      </c>
      <c r="M323" s="429">
        <v>45657</v>
      </c>
      <c r="N323" s="429"/>
      <c r="O323" s="429">
        <v>45657</v>
      </c>
      <c r="P323" s="429">
        <v>45657</v>
      </c>
      <c r="Q323" s="429"/>
      <c r="R323" s="429"/>
      <c r="S323" s="429">
        <v>45657</v>
      </c>
      <c r="T323" s="429">
        <v>45657</v>
      </c>
      <c r="U323" s="429"/>
      <c r="V323" s="429">
        <v>45657</v>
      </c>
      <c r="W323" s="429">
        <v>45657</v>
      </c>
      <c r="X323" s="429"/>
      <c r="Y323" s="429">
        <v>45657</v>
      </c>
      <c r="Z323" s="423"/>
      <c r="AA323" s="429">
        <v>45657</v>
      </c>
      <c r="AB323" s="423"/>
      <c r="AC323" s="429" t="s">
        <v>455</v>
      </c>
      <c r="AD323" s="429">
        <v>45657</v>
      </c>
      <c r="AE323" s="429">
        <v>45657</v>
      </c>
    </row>
    <row r="324" spans="1:31" s="423" customFormat="1" ht="13" customHeight="1">
      <c r="C324" s="430"/>
      <c r="E324" s="431"/>
      <c r="F324" s="431"/>
      <c r="G324" s="431"/>
      <c r="H324" s="431"/>
      <c r="I324" s="431"/>
      <c r="J324" s="431"/>
      <c r="K324" s="431"/>
      <c r="L324" s="431"/>
      <c r="M324" s="431"/>
      <c r="N324" s="431"/>
      <c r="O324" s="431"/>
      <c r="P324" s="431"/>
      <c r="Q324" s="431"/>
      <c r="R324" s="431"/>
      <c r="S324" s="431"/>
      <c r="T324" s="431"/>
      <c r="U324" s="431"/>
      <c r="V324" s="431"/>
      <c r="W324" s="431"/>
      <c r="X324" s="431"/>
      <c r="Y324" s="431"/>
      <c r="AA324" s="432"/>
      <c r="AC324" s="432"/>
      <c r="AD324" s="432"/>
      <c r="AE324" s="432"/>
    </row>
    <row r="325" spans="1:31" s="423" customFormat="1">
      <c r="C325" s="423" t="s">
        <v>543</v>
      </c>
      <c r="D325" s="434"/>
      <c r="E325" s="435">
        <v>0</v>
      </c>
      <c r="F325" s="435"/>
      <c r="G325" s="435"/>
      <c r="H325" s="435">
        <f t="shared" ref="H325:H332" si="269">SUM(E325:G325)</f>
        <v>0</v>
      </c>
      <c r="I325" s="435">
        <v>-456219839303.54999</v>
      </c>
      <c r="J325" s="435">
        <f>-I325</f>
        <v>456219839303.54999</v>
      </c>
      <c r="K325" s="435"/>
      <c r="L325" s="435">
        <f t="shared" ref="L325" si="270">SUM(I325:K325)</f>
        <v>0</v>
      </c>
      <c r="M325" s="435">
        <v>0</v>
      </c>
      <c r="N325" s="435">
        <f>-M325</f>
        <v>0</v>
      </c>
      <c r="O325" s="435">
        <f t="shared" ref="O325" si="271">SUM(M325:N325)</f>
        <v>0</v>
      </c>
      <c r="P325" s="457">
        <v>-114090244632</v>
      </c>
      <c r="Q325" s="457">
        <f>-P325</f>
        <v>114090244632</v>
      </c>
      <c r="R325" s="435"/>
      <c r="S325" s="435">
        <f t="shared" ref="S325:S332" si="272">SUM(P325:R325)</f>
        <v>0</v>
      </c>
      <c r="T325" s="435">
        <v>0</v>
      </c>
      <c r="U325" s="435">
        <v>0</v>
      </c>
      <c r="V325" s="435">
        <f t="shared" ref="V325:V332" si="273">SUM(T325:U325)</f>
        <v>0</v>
      </c>
      <c r="W325" s="457">
        <v>0</v>
      </c>
      <c r="X325" s="435">
        <f>'Adjustment Consol'!H177</f>
        <v>0</v>
      </c>
      <c r="Y325" s="435">
        <f t="shared" ref="Y325:Y332" si="274">SUM(W325:X325)</f>
        <v>0</v>
      </c>
      <c r="AA325" s="457"/>
      <c r="AC325" s="435">
        <f t="shared" ref="AC325:AC332" si="275">SUM(H325,L325,O325,S325,V325,Y325)</f>
        <v>0</v>
      </c>
      <c r="AD325" s="457">
        <f>-AC325</f>
        <v>0</v>
      </c>
      <c r="AE325" s="457">
        <f>SUM(AC325:AD325)</f>
        <v>0</v>
      </c>
    </row>
    <row r="326" spans="1:31" s="423" customFormat="1">
      <c r="D326" s="423" t="s">
        <v>546</v>
      </c>
      <c r="E326" s="435">
        <v>0</v>
      </c>
      <c r="F326" s="435"/>
      <c r="G326" s="435"/>
      <c r="H326" s="435">
        <f t="shared" si="269"/>
        <v>0</v>
      </c>
      <c r="I326" s="435"/>
      <c r="J326" s="435"/>
      <c r="K326" s="435"/>
      <c r="L326" s="435">
        <f t="shared" ref="L326:L332" si="276">SUM(I326:K326)</f>
        <v>0</v>
      </c>
      <c r="M326" s="435">
        <v>0</v>
      </c>
      <c r="N326" s="435"/>
      <c r="O326" s="435">
        <f t="shared" ref="O326:O332" si="277">SUM(M326:N326)</f>
        <v>0</v>
      </c>
      <c r="P326" s="457">
        <v>0</v>
      </c>
      <c r="Q326" s="457"/>
      <c r="R326" s="435"/>
      <c r="S326" s="435">
        <f t="shared" si="272"/>
        <v>0</v>
      </c>
      <c r="T326" s="435">
        <v>0</v>
      </c>
      <c r="U326" s="435">
        <f>'Adjustment Consol'!G143</f>
        <v>0</v>
      </c>
      <c r="V326" s="435">
        <f t="shared" si="273"/>
        <v>0</v>
      </c>
      <c r="W326" s="457">
        <v>0</v>
      </c>
      <c r="X326" s="435"/>
      <c r="Y326" s="435">
        <f t="shared" si="274"/>
        <v>0</v>
      </c>
      <c r="AA326" s="457"/>
      <c r="AC326" s="435">
        <f t="shared" si="275"/>
        <v>0</v>
      </c>
      <c r="AD326" s="457"/>
      <c r="AE326" s="457">
        <f t="shared" ref="AE326:AE338" si="278">SUM(AC326:AD326)</f>
        <v>0</v>
      </c>
    </row>
    <row r="327" spans="1:31" s="423" customFormat="1">
      <c r="D327" s="423" t="s">
        <v>552</v>
      </c>
      <c r="E327" s="435">
        <v>0</v>
      </c>
      <c r="F327" s="435"/>
      <c r="G327" s="435"/>
      <c r="H327" s="435">
        <f t="shared" si="269"/>
        <v>0</v>
      </c>
      <c r="I327" s="435">
        <v>0</v>
      </c>
      <c r="J327" s="435"/>
      <c r="K327" s="435"/>
      <c r="L327" s="435">
        <f t="shared" si="276"/>
        <v>0</v>
      </c>
      <c r="M327" s="435">
        <v>0</v>
      </c>
      <c r="N327" s="435"/>
      <c r="O327" s="435">
        <f t="shared" si="277"/>
        <v>0</v>
      </c>
      <c r="P327" s="457">
        <v>0</v>
      </c>
      <c r="Q327" s="457"/>
      <c r="R327" s="435"/>
      <c r="S327" s="435">
        <f t="shared" si="272"/>
        <v>0</v>
      </c>
      <c r="T327" s="435">
        <v>0</v>
      </c>
      <c r="U327" s="435"/>
      <c r="V327" s="435">
        <f t="shared" si="273"/>
        <v>0</v>
      </c>
      <c r="W327" s="457">
        <v>0</v>
      </c>
      <c r="X327" s="435"/>
      <c r="Y327" s="435">
        <f t="shared" si="274"/>
        <v>0</v>
      </c>
      <c r="AA327" s="457"/>
      <c r="AC327" s="435">
        <f t="shared" si="275"/>
        <v>0</v>
      </c>
      <c r="AD327" s="457">
        <f t="shared" ref="AD327" si="279">-AC327</f>
        <v>0</v>
      </c>
      <c r="AE327" s="457">
        <f t="shared" si="278"/>
        <v>0</v>
      </c>
    </row>
    <row r="328" spans="1:31" s="417" customFormat="1">
      <c r="A328" s="423"/>
      <c r="B328" s="423"/>
      <c r="C328" s="423"/>
      <c r="D328" s="423" t="s">
        <v>547</v>
      </c>
      <c r="E328" s="435">
        <v>0</v>
      </c>
      <c r="F328" s="435"/>
      <c r="G328" s="435"/>
      <c r="H328" s="435">
        <f t="shared" si="269"/>
        <v>0</v>
      </c>
      <c r="I328" s="435">
        <v>0</v>
      </c>
      <c r="J328" s="435"/>
      <c r="K328" s="435"/>
      <c r="L328" s="435">
        <f t="shared" si="276"/>
        <v>0</v>
      </c>
      <c r="M328" s="435">
        <v>0</v>
      </c>
      <c r="N328" s="435"/>
      <c r="O328" s="435">
        <f t="shared" si="277"/>
        <v>0</v>
      </c>
      <c r="P328" s="457">
        <v>0</v>
      </c>
      <c r="Q328" s="457"/>
      <c r="R328" s="435"/>
      <c r="S328" s="435">
        <f t="shared" si="272"/>
        <v>0</v>
      </c>
      <c r="T328" s="435">
        <v>0</v>
      </c>
      <c r="U328" s="435"/>
      <c r="V328" s="435">
        <f t="shared" si="273"/>
        <v>0</v>
      </c>
      <c r="W328" s="457">
        <v>0</v>
      </c>
      <c r="X328" s="435"/>
      <c r="Y328" s="435">
        <f t="shared" si="274"/>
        <v>0</v>
      </c>
      <c r="AC328" s="435">
        <f t="shared" si="275"/>
        <v>0</v>
      </c>
      <c r="AE328" s="457">
        <f t="shared" si="278"/>
        <v>0</v>
      </c>
    </row>
    <row r="329" spans="1:31" s="417" customFormat="1">
      <c r="A329" s="423"/>
      <c r="B329" s="423"/>
      <c r="C329" s="423"/>
      <c r="D329" s="423" t="s">
        <v>548</v>
      </c>
      <c r="E329" s="435">
        <v>0</v>
      </c>
      <c r="F329" s="435"/>
      <c r="G329" s="435"/>
      <c r="H329" s="435">
        <f t="shared" si="269"/>
        <v>0</v>
      </c>
      <c r="I329" s="435">
        <v>0</v>
      </c>
      <c r="J329" s="435"/>
      <c r="K329" s="435"/>
      <c r="L329" s="435">
        <f t="shared" si="276"/>
        <v>0</v>
      </c>
      <c r="M329" s="435">
        <v>0</v>
      </c>
      <c r="N329" s="435"/>
      <c r="O329" s="435">
        <f t="shared" si="277"/>
        <v>0</v>
      </c>
      <c r="P329" s="457">
        <v>0</v>
      </c>
      <c r="Q329" s="457"/>
      <c r="R329" s="435"/>
      <c r="S329" s="435">
        <f t="shared" si="272"/>
        <v>0</v>
      </c>
      <c r="T329" s="435">
        <v>0</v>
      </c>
      <c r="U329" s="435">
        <f>'Adjustment Consol'!G140</f>
        <v>0</v>
      </c>
      <c r="V329" s="435">
        <f t="shared" si="273"/>
        <v>0</v>
      </c>
      <c r="W329" s="457">
        <f>-97000000*1.575</f>
        <v>-152775000</v>
      </c>
      <c r="X329" s="435">
        <f>-W329</f>
        <v>152775000</v>
      </c>
      <c r="Y329" s="435">
        <f t="shared" si="274"/>
        <v>0</v>
      </c>
      <c r="AC329" s="435">
        <f t="shared" si="275"/>
        <v>0</v>
      </c>
      <c r="AE329" s="457">
        <f t="shared" si="278"/>
        <v>0</v>
      </c>
    </row>
    <row r="330" spans="1:31" s="417" customFormat="1">
      <c r="A330" s="423"/>
      <c r="B330" s="423"/>
      <c r="C330" s="423"/>
      <c r="D330" s="423" t="s">
        <v>545</v>
      </c>
      <c r="E330" s="435">
        <v>0</v>
      </c>
      <c r="F330" s="435"/>
      <c r="G330" s="435"/>
      <c r="H330" s="435">
        <f t="shared" si="269"/>
        <v>0</v>
      </c>
      <c r="I330" s="435">
        <v>0</v>
      </c>
      <c r="J330" s="435"/>
      <c r="K330" s="435"/>
      <c r="L330" s="435">
        <f t="shared" si="276"/>
        <v>0</v>
      </c>
      <c r="M330" s="435">
        <v>0</v>
      </c>
      <c r="N330" s="435"/>
      <c r="O330" s="435">
        <f t="shared" si="277"/>
        <v>0</v>
      </c>
      <c r="P330" s="457">
        <v>0</v>
      </c>
      <c r="Q330" s="457"/>
      <c r="R330" s="435"/>
      <c r="S330" s="435">
        <f t="shared" si="272"/>
        <v>0</v>
      </c>
      <c r="T330" s="435">
        <v>0</v>
      </c>
      <c r="U330" s="435"/>
      <c r="V330" s="435">
        <f t="shared" si="273"/>
        <v>0</v>
      </c>
      <c r="W330" s="457">
        <v>0</v>
      </c>
      <c r="X330" s="435"/>
      <c r="Y330" s="435">
        <f t="shared" si="274"/>
        <v>0</v>
      </c>
      <c r="AC330" s="435">
        <f t="shared" si="275"/>
        <v>0</v>
      </c>
      <c r="AE330" s="457">
        <f t="shared" si="278"/>
        <v>0</v>
      </c>
    </row>
    <row r="331" spans="1:31" s="417" customFormat="1">
      <c r="A331" s="423"/>
      <c r="B331" s="423"/>
      <c r="C331" s="423"/>
      <c r="D331" s="423" t="s">
        <v>549</v>
      </c>
      <c r="E331" s="435">
        <v>0</v>
      </c>
      <c r="F331" s="435"/>
      <c r="G331" s="435"/>
      <c r="H331" s="435">
        <f t="shared" si="269"/>
        <v>0</v>
      </c>
      <c r="I331" s="435">
        <v>0</v>
      </c>
      <c r="J331" s="435"/>
      <c r="K331" s="435"/>
      <c r="L331" s="435">
        <f t="shared" si="276"/>
        <v>0</v>
      </c>
      <c r="M331" s="435">
        <v>0</v>
      </c>
      <c r="N331" s="435"/>
      <c r="O331" s="435">
        <f t="shared" si="277"/>
        <v>0</v>
      </c>
      <c r="P331" s="457">
        <v>0</v>
      </c>
      <c r="Q331" s="457"/>
      <c r="R331" s="435"/>
      <c r="S331" s="435">
        <f t="shared" si="272"/>
        <v>0</v>
      </c>
      <c r="T331" s="435">
        <v>0</v>
      </c>
      <c r="U331" s="435"/>
      <c r="V331" s="435">
        <f t="shared" si="273"/>
        <v>0</v>
      </c>
      <c r="W331" s="457">
        <v>0</v>
      </c>
      <c r="X331" s="435"/>
      <c r="Y331" s="435">
        <f t="shared" si="274"/>
        <v>0</v>
      </c>
      <c r="AC331" s="435">
        <f t="shared" si="275"/>
        <v>0</v>
      </c>
      <c r="AE331" s="457">
        <f t="shared" si="278"/>
        <v>0</v>
      </c>
    </row>
    <row r="332" spans="1:31" s="417" customFormat="1">
      <c r="A332" s="433"/>
      <c r="B332" s="423"/>
      <c r="C332" s="423"/>
      <c r="D332" s="434" t="s">
        <v>544</v>
      </c>
      <c r="E332" s="435">
        <v>0</v>
      </c>
      <c r="F332" s="435"/>
      <c r="G332" s="435"/>
      <c r="H332" s="435">
        <f t="shared" si="269"/>
        <v>0</v>
      </c>
      <c r="I332" s="435">
        <v>0</v>
      </c>
      <c r="J332" s="435"/>
      <c r="K332" s="435"/>
      <c r="L332" s="435">
        <f t="shared" si="276"/>
        <v>0</v>
      </c>
      <c r="M332" s="435">
        <v>0</v>
      </c>
      <c r="N332" s="435"/>
      <c r="O332" s="435">
        <f t="shared" si="277"/>
        <v>0</v>
      </c>
      <c r="P332" s="457">
        <v>0</v>
      </c>
      <c r="Q332" s="457"/>
      <c r="R332" s="435"/>
      <c r="S332" s="435">
        <f t="shared" si="272"/>
        <v>0</v>
      </c>
      <c r="T332" s="435">
        <v>0</v>
      </c>
      <c r="U332" s="435"/>
      <c r="V332" s="435">
        <f t="shared" si="273"/>
        <v>0</v>
      </c>
      <c r="W332" s="457">
        <v>-86625000</v>
      </c>
      <c r="X332" s="435">
        <f>-W332</f>
        <v>86625000</v>
      </c>
      <c r="Y332" s="435">
        <f t="shared" si="274"/>
        <v>0</v>
      </c>
      <c r="AC332" s="435">
        <f t="shared" si="275"/>
        <v>0</v>
      </c>
      <c r="AD332" s="204">
        <v>0</v>
      </c>
      <c r="AE332" s="457">
        <f t="shared" si="278"/>
        <v>0</v>
      </c>
    </row>
    <row r="333" spans="1:31" s="417" customFormat="1">
      <c r="A333" s="433"/>
      <c r="B333" s="423"/>
      <c r="C333" s="423"/>
      <c r="D333" s="434"/>
      <c r="E333" s="435"/>
      <c r="F333" s="435"/>
      <c r="G333" s="435"/>
      <c r="H333" s="435"/>
      <c r="I333" s="435"/>
      <c r="J333" s="435"/>
      <c r="K333" s="435"/>
      <c r="L333" s="435"/>
      <c r="M333" s="435"/>
      <c r="N333" s="435"/>
      <c r="O333" s="435"/>
      <c r="P333" s="457"/>
      <c r="Q333" s="457"/>
      <c r="R333" s="435"/>
      <c r="S333" s="435"/>
      <c r="T333" s="435"/>
      <c r="U333" s="435"/>
      <c r="V333" s="435"/>
      <c r="W333" s="457"/>
      <c r="X333" s="435"/>
      <c r="Y333" s="435"/>
      <c r="AC333" s="457"/>
      <c r="AE333" s="457"/>
    </row>
    <row r="334" spans="1:31" s="417" customFormat="1">
      <c r="E334" s="435"/>
      <c r="F334" s="435"/>
      <c r="G334" s="435"/>
      <c r="H334" s="435"/>
      <c r="I334" s="435"/>
      <c r="J334" s="435"/>
      <c r="K334" s="435"/>
      <c r="L334" s="435"/>
      <c r="M334" s="435"/>
      <c r="N334" s="435"/>
      <c r="O334" s="435"/>
      <c r="P334" s="457"/>
      <c r="Q334" s="457"/>
      <c r="R334" s="435"/>
      <c r="S334" s="435"/>
      <c r="T334" s="435"/>
      <c r="U334" s="435"/>
      <c r="V334" s="435"/>
      <c r="W334" s="457"/>
      <c r="X334" s="435"/>
      <c r="Y334" s="435"/>
      <c r="AC334" s="457">
        <f>SUM(H334,V334,Y334)</f>
        <v>0</v>
      </c>
      <c r="AE334" s="457">
        <f t="shared" si="278"/>
        <v>0</v>
      </c>
    </row>
    <row r="335" spans="1:31" s="417" customFormat="1">
      <c r="B335" s="416" t="s">
        <v>451</v>
      </c>
      <c r="E335" s="435"/>
      <c r="F335" s="435"/>
      <c r="G335" s="435"/>
      <c r="H335" s="435"/>
      <c r="I335" s="435"/>
      <c r="J335" s="435"/>
      <c r="K335" s="435"/>
      <c r="L335" s="435"/>
      <c r="M335" s="435"/>
      <c r="N335" s="435"/>
      <c r="O335" s="435"/>
      <c r="P335" s="457"/>
      <c r="Q335" s="457"/>
      <c r="R335" s="435"/>
      <c r="S335" s="435"/>
      <c r="T335" s="435"/>
      <c r="U335" s="435"/>
      <c r="V335" s="435"/>
      <c r="W335" s="457"/>
      <c r="X335" s="435"/>
      <c r="Y335" s="435"/>
      <c r="AC335" s="457">
        <f>SUM(H335,V335,Y335)</f>
        <v>0</v>
      </c>
      <c r="AE335" s="457">
        <f t="shared" si="278"/>
        <v>0</v>
      </c>
    </row>
    <row r="336" spans="1:31" s="417" customFormat="1">
      <c r="D336" s="417" t="s">
        <v>555</v>
      </c>
      <c r="E336" s="435"/>
      <c r="F336" s="435"/>
      <c r="G336" s="435"/>
      <c r="H336" s="435"/>
      <c r="I336" s="435"/>
      <c r="J336" s="435"/>
      <c r="K336" s="435"/>
      <c r="L336" s="435"/>
      <c r="M336" s="435"/>
      <c r="N336" s="435"/>
      <c r="O336" s="435"/>
      <c r="P336" s="457">
        <v>0</v>
      </c>
      <c r="Q336" s="457"/>
      <c r="R336" s="435"/>
      <c r="S336" s="435">
        <f>SUM(P336:R336)</f>
        <v>0</v>
      </c>
      <c r="T336" s="435"/>
      <c r="U336" s="435"/>
      <c r="V336" s="435"/>
      <c r="W336" s="457">
        <v>0</v>
      </c>
      <c r="X336" s="435"/>
      <c r="Y336" s="435">
        <f t="shared" ref="Y336:Y338" si="280">SUM(W336:X336)</f>
        <v>0</v>
      </c>
      <c r="AC336" s="457">
        <f>SUM(H336,V336,Y336)</f>
        <v>0</v>
      </c>
      <c r="AE336" s="457">
        <f t="shared" si="278"/>
        <v>0</v>
      </c>
    </row>
    <row r="337" spans="1:33" s="417" customFormat="1">
      <c r="D337" s="417" t="s">
        <v>602</v>
      </c>
      <c r="E337" s="435"/>
      <c r="F337" s="435"/>
      <c r="G337" s="435"/>
      <c r="H337" s="435"/>
      <c r="I337" s="435"/>
      <c r="J337" s="435"/>
      <c r="K337" s="435"/>
      <c r="L337" s="435"/>
      <c r="M337" s="435"/>
      <c r="N337" s="435"/>
      <c r="O337" s="435"/>
      <c r="P337" s="457">
        <v>0</v>
      </c>
      <c r="Q337" s="457"/>
      <c r="R337" s="435"/>
      <c r="S337" s="435">
        <f>SUM(P337:R337)</f>
        <v>0</v>
      </c>
      <c r="T337" s="435"/>
      <c r="U337" s="435"/>
      <c r="V337" s="435"/>
      <c r="W337" s="457">
        <v>0</v>
      </c>
      <c r="X337" s="435"/>
      <c r="Y337" s="435">
        <f t="shared" si="280"/>
        <v>0</v>
      </c>
      <c r="AC337" s="457">
        <f>SUM(H337,V337,Y337)</f>
        <v>0</v>
      </c>
      <c r="AE337" s="457">
        <f t="shared" si="278"/>
        <v>0</v>
      </c>
    </row>
    <row r="338" spans="1:33" s="417" customFormat="1">
      <c r="D338" s="417" t="s">
        <v>599</v>
      </c>
      <c r="E338" s="435">
        <f>'Consol SoFP 24'!D94</f>
        <v>-1952527023282.1499</v>
      </c>
      <c r="F338" s="435"/>
      <c r="G338" s="435">
        <f>-G311</f>
        <v>344280825000</v>
      </c>
      <c r="H338" s="435">
        <f t="shared" ref="H338" si="281">SUM(E338:G338)</f>
        <v>-1608246198282.1499</v>
      </c>
      <c r="I338" s="435"/>
      <c r="J338" s="435"/>
      <c r="K338" s="435"/>
      <c r="L338" s="435"/>
      <c r="M338" s="435"/>
      <c r="N338" s="435"/>
      <c r="O338" s="435"/>
      <c r="P338" s="457">
        <v>0</v>
      </c>
      <c r="Q338" s="457"/>
      <c r="R338" s="435"/>
      <c r="S338" s="435">
        <f>SUM(P338:R338)</f>
        <v>0</v>
      </c>
      <c r="T338" s="435"/>
      <c r="U338" s="435"/>
      <c r="V338" s="435"/>
      <c r="W338" s="457">
        <v>0</v>
      </c>
      <c r="X338" s="435"/>
      <c r="Y338" s="435">
        <f t="shared" si="280"/>
        <v>0</v>
      </c>
      <c r="AC338" s="457">
        <f>SUM(H338,V338,Y338)</f>
        <v>-1608246198282.1499</v>
      </c>
      <c r="AE338" s="457">
        <f t="shared" si="278"/>
        <v>-1608246198282.1499</v>
      </c>
    </row>
    <row r="339" spans="1:33" s="417" customFormat="1">
      <c r="E339" s="435"/>
      <c r="F339" s="435"/>
      <c r="G339" s="435"/>
      <c r="H339" s="435"/>
      <c r="I339" s="435"/>
      <c r="J339" s="435"/>
      <c r="K339" s="435"/>
      <c r="L339" s="435"/>
      <c r="M339" s="435"/>
      <c r="N339" s="435"/>
      <c r="O339" s="435"/>
      <c r="P339" s="435"/>
      <c r="Q339" s="435"/>
      <c r="R339" s="435"/>
      <c r="S339" s="435"/>
      <c r="T339" s="435"/>
      <c r="U339" s="435"/>
      <c r="V339" s="435"/>
      <c r="W339" s="435"/>
      <c r="X339" s="435"/>
      <c r="Y339" s="435"/>
    </row>
    <row r="340" spans="1:33" s="417" customFormat="1" ht="13.5" thickBot="1">
      <c r="E340" s="458">
        <f>SUM(E325:E338)</f>
        <v>-1952527023282.1499</v>
      </c>
      <c r="F340" s="458"/>
      <c r="G340" s="458"/>
      <c r="H340" s="458">
        <f t="shared" ref="H340:L340" si="282">SUM(H325:H338)</f>
        <v>-1608246198282.1499</v>
      </c>
      <c r="I340" s="458">
        <f t="shared" si="282"/>
        <v>-456219839303.54999</v>
      </c>
      <c r="J340" s="458">
        <f t="shared" si="282"/>
        <v>456219839303.54999</v>
      </c>
      <c r="K340" s="458">
        <f t="shared" si="282"/>
        <v>0</v>
      </c>
      <c r="L340" s="458">
        <f t="shared" si="282"/>
        <v>0</v>
      </c>
      <c r="M340" s="458">
        <f>SUM(M325:M338)</f>
        <v>0</v>
      </c>
      <c r="N340" s="458"/>
      <c r="O340" s="458">
        <f>SUM(O325:O338)</f>
        <v>0</v>
      </c>
      <c r="P340" s="458">
        <f>SUM(P325:P338)</f>
        <v>-114090244632</v>
      </c>
      <c r="Q340" s="458">
        <f>SUM(Q325:Q338)</f>
        <v>114090244632</v>
      </c>
      <c r="R340" s="458"/>
      <c r="S340" s="458">
        <f t="shared" ref="S340:Y340" si="283">SUM(S325:S338)</f>
        <v>0</v>
      </c>
      <c r="T340" s="458">
        <f t="shared" si="283"/>
        <v>0</v>
      </c>
      <c r="U340" s="458">
        <f t="shared" si="283"/>
        <v>0</v>
      </c>
      <c r="V340" s="458">
        <f t="shared" si="283"/>
        <v>0</v>
      </c>
      <c r="W340" s="458">
        <f t="shared" si="283"/>
        <v>-239400000</v>
      </c>
      <c r="X340" s="458">
        <f t="shared" si="283"/>
        <v>239400000</v>
      </c>
      <c r="Y340" s="458">
        <f t="shared" si="283"/>
        <v>0</v>
      </c>
      <c r="AA340" s="458">
        <f>SUM(AA325:AA338)</f>
        <v>0</v>
      </c>
      <c r="AC340" s="458">
        <f>SUM(AC325:AC338)</f>
        <v>-1608246198282.1499</v>
      </c>
      <c r="AD340" s="458">
        <f>SUM(AD325:AD338)</f>
        <v>0</v>
      </c>
      <c r="AE340" s="458">
        <f>SUM(AE325:AE338)</f>
        <v>-1608246198282.1499</v>
      </c>
    </row>
    <row r="341" spans="1:33" s="417" customFormat="1" ht="13.5" thickTop="1">
      <c r="D341" s="445"/>
      <c r="E341" s="443"/>
      <c r="F341" s="443"/>
      <c r="G341" s="443"/>
      <c r="H341" s="443"/>
      <c r="I341" s="443"/>
      <c r="J341" s="443"/>
      <c r="K341" s="443"/>
      <c r="L341" s="443"/>
      <c r="M341" s="443"/>
      <c r="N341" s="443"/>
      <c r="O341" s="443"/>
      <c r="P341" s="443"/>
      <c r="Q341" s="443"/>
      <c r="R341" s="443"/>
      <c r="S341" s="443"/>
      <c r="T341" s="443"/>
      <c r="U341" s="443"/>
      <c r="V341" s="443"/>
      <c r="W341" s="443"/>
      <c r="X341" s="443"/>
      <c r="Y341" s="443"/>
      <c r="AA341" s="443"/>
      <c r="AC341" s="443"/>
      <c r="AD341" s="443"/>
      <c r="AE341" s="443"/>
    </row>
    <row r="342" spans="1:33" s="417" customFormat="1" ht="13">
      <c r="D342" s="445" t="s">
        <v>435</v>
      </c>
      <c r="E342" s="446">
        <f>'Consol SoFP 24'!D94</f>
        <v>-1952527023282.1499</v>
      </c>
      <c r="F342" s="446"/>
      <c r="G342" s="446"/>
      <c r="H342" s="446">
        <f>'Consol SoFP 24'!H94</f>
        <v>-1608246198282.1499</v>
      </c>
      <c r="I342" s="446">
        <f>'Consol SoFP 24'!I94</f>
        <v>-456219839303.54999</v>
      </c>
      <c r="J342" s="446">
        <f>'Consol SoFP 24'!J94</f>
        <v>456219839303.54999</v>
      </c>
      <c r="K342" s="446">
        <f>'Consol SoFP 24'!K94</f>
        <v>0</v>
      </c>
      <c r="L342" s="446">
        <f>'Consol SoFP 24'!L94</f>
        <v>0</v>
      </c>
      <c r="M342" s="446">
        <f>'Consol SoFP 24'!M94</f>
        <v>0</v>
      </c>
      <c r="N342" s="446">
        <f>'Consol SoFP 24'!N94</f>
        <v>0</v>
      </c>
      <c r="O342" s="446">
        <f>'Consol SoFP 24'!O94</f>
        <v>0</v>
      </c>
      <c r="P342" s="446">
        <f>'Consol SoFP 24'!P94</f>
        <v>-114090244632</v>
      </c>
      <c r="Q342" s="446">
        <f>'Consol SoFP 24'!Q94</f>
        <v>114090244632</v>
      </c>
      <c r="R342" s="446">
        <f>'Consol SoFP 24'!R94</f>
        <v>0</v>
      </c>
      <c r="S342" s="446">
        <f>'Consol SoFP 24'!S94</f>
        <v>0</v>
      </c>
      <c r="T342" s="446">
        <f>'Consol SoFP 24'!T94</f>
        <v>0</v>
      </c>
      <c r="U342" s="446">
        <f>'Consol SoFP 24'!U94</f>
        <v>0</v>
      </c>
      <c r="V342" s="446">
        <f>'Consol SoFP 24'!V94</f>
        <v>0</v>
      </c>
      <c r="W342" s="446">
        <f>'Consol SoFP 24'!W94</f>
        <v>-239400000</v>
      </c>
      <c r="X342" s="446">
        <f>'Consol SoFP 24'!X94</f>
        <v>239400000</v>
      </c>
      <c r="Y342" s="446">
        <f>'Consol SoFP 24'!Y94</f>
        <v>0</v>
      </c>
      <c r="AA342" s="446">
        <v>0</v>
      </c>
      <c r="AC342" s="446">
        <f>'Consol SoFP 24'!AE94</f>
        <v>-1608246198282.1499</v>
      </c>
      <c r="AD342" s="446">
        <f>'Consol SoFP 24'!AF94</f>
        <v>0</v>
      </c>
      <c r="AE342" s="446">
        <f>'Consol SoFP 24'!AH94</f>
        <v>-1608246198282</v>
      </c>
      <c r="AG342" s="457"/>
    </row>
    <row r="343" spans="1:33" s="417" customFormat="1" ht="13">
      <c r="D343" s="445" t="s">
        <v>111</v>
      </c>
      <c r="E343" s="442">
        <f>E340-E342</f>
        <v>0</v>
      </c>
      <c r="F343" s="442"/>
      <c r="G343" s="442"/>
      <c r="H343" s="442">
        <f>H340-H342</f>
        <v>0</v>
      </c>
      <c r="I343" s="442">
        <f t="shared" ref="I343:Y343" si="284">I340-I342</f>
        <v>0</v>
      </c>
      <c r="J343" s="442"/>
      <c r="K343" s="442">
        <f t="shared" si="284"/>
        <v>0</v>
      </c>
      <c r="L343" s="442">
        <f t="shared" si="284"/>
        <v>0</v>
      </c>
      <c r="M343" s="442">
        <f t="shared" si="284"/>
        <v>0</v>
      </c>
      <c r="N343" s="442">
        <f t="shared" si="284"/>
        <v>0</v>
      </c>
      <c r="O343" s="442">
        <f t="shared" si="284"/>
        <v>0</v>
      </c>
      <c r="P343" s="442">
        <f t="shared" si="284"/>
        <v>0</v>
      </c>
      <c r="Q343" s="442"/>
      <c r="R343" s="442">
        <f t="shared" si="284"/>
        <v>0</v>
      </c>
      <c r="S343" s="442">
        <f t="shared" si="284"/>
        <v>0</v>
      </c>
      <c r="T343" s="442">
        <f t="shared" si="284"/>
        <v>0</v>
      </c>
      <c r="U343" s="442">
        <f t="shared" si="284"/>
        <v>0</v>
      </c>
      <c r="V343" s="442">
        <f t="shared" si="284"/>
        <v>0</v>
      </c>
      <c r="W343" s="442">
        <f t="shared" si="284"/>
        <v>0</v>
      </c>
      <c r="X343" s="442">
        <f t="shared" si="284"/>
        <v>0</v>
      </c>
      <c r="Y343" s="442">
        <f t="shared" si="284"/>
        <v>0</v>
      </c>
      <c r="AA343" s="442">
        <f t="shared" ref="AA343" si="285">AA340-AA342</f>
        <v>0</v>
      </c>
      <c r="AC343" s="442">
        <f t="shared" ref="AC343:AE343" si="286">AC340-AC342</f>
        <v>0</v>
      </c>
      <c r="AD343" s="442">
        <f t="shared" si="286"/>
        <v>0</v>
      </c>
      <c r="AE343" s="442">
        <f t="shared" si="286"/>
        <v>-0.14990234375</v>
      </c>
    </row>
    <row r="344" spans="1:33" s="447" customFormat="1" ht="13" thickBot="1">
      <c r="E344" s="456"/>
      <c r="F344" s="456"/>
    </row>
    <row r="345" spans="1:33" s="417" customFormat="1"/>
    <row r="346" spans="1:33" s="417" customFormat="1"/>
    <row r="347" spans="1:33" s="417" customFormat="1"/>
    <row r="348" spans="1:33" s="463" customFormat="1" ht="13">
      <c r="A348" s="460"/>
      <c r="B348" s="461"/>
      <c r="C348" s="462"/>
    </row>
  </sheetData>
  <conditionalFormatting sqref="D15:D23 D25:D28">
    <cfRule type="duplicateValues" dxfId="315" priority="129"/>
  </conditionalFormatting>
  <conditionalFormatting sqref="D24">
    <cfRule type="duplicateValues" dxfId="314" priority="33"/>
  </conditionalFormatting>
  <conditionalFormatting sqref="D42:D49">
    <cfRule type="duplicateValues" dxfId="313" priority="113"/>
  </conditionalFormatting>
  <conditionalFormatting sqref="D50">
    <cfRule type="duplicateValues" dxfId="312" priority="4"/>
  </conditionalFormatting>
  <conditionalFormatting sqref="D64:D72 D74:D81">
    <cfRule type="duplicateValues" dxfId="311" priority="114"/>
  </conditionalFormatting>
  <conditionalFormatting sqref="D73">
    <cfRule type="duplicateValues" dxfId="310" priority="32"/>
  </conditionalFormatting>
  <conditionalFormatting sqref="D82">
    <cfRule type="duplicateValues" dxfId="309" priority="111"/>
    <cfRule type="duplicateValues" dxfId="308" priority="100"/>
  </conditionalFormatting>
  <conditionalFormatting sqref="D109">
    <cfRule type="duplicateValues" dxfId="307" priority="31"/>
  </conditionalFormatting>
  <conditionalFormatting sqref="D110:D112 D95:D108">
    <cfRule type="duplicateValues" dxfId="306" priority="115"/>
  </conditionalFormatting>
  <conditionalFormatting sqref="D113:D115">
    <cfRule type="duplicateValues" dxfId="305" priority="187"/>
  </conditionalFormatting>
  <conditionalFormatting sqref="D116">
    <cfRule type="duplicateValues" dxfId="304" priority="60"/>
    <cfRule type="duplicateValues" dxfId="303" priority="56"/>
  </conditionalFormatting>
  <conditionalFormatting sqref="D128:D136">
    <cfRule type="duplicateValues" dxfId="302" priority="116"/>
  </conditionalFormatting>
  <conditionalFormatting sqref="D137:D140">
    <cfRule type="duplicateValues" dxfId="301" priority="30"/>
  </conditionalFormatting>
  <conditionalFormatting sqref="D141">
    <cfRule type="duplicateValues" dxfId="300" priority="25"/>
    <cfRule type="duplicateValues" dxfId="299" priority="29"/>
  </conditionalFormatting>
  <conditionalFormatting sqref="D154:D162 D164:D165">
    <cfRule type="duplicateValues" dxfId="298" priority="117"/>
  </conditionalFormatting>
  <conditionalFormatting sqref="D163">
    <cfRule type="duplicateValues" dxfId="297" priority="18"/>
  </conditionalFormatting>
  <conditionalFormatting sqref="D166">
    <cfRule type="duplicateValues" dxfId="296" priority="110"/>
  </conditionalFormatting>
  <conditionalFormatting sqref="D177:D184 D186:D187">
    <cfRule type="duplicateValues" dxfId="295" priority="118"/>
  </conditionalFormatting>
  <conditionalFormatting sqref="D185">
    <cfRule type="duplicateValues" dxfId="294" priority="17"/>
  </conditionalFormatting>
  <conditionalFormatting sqref="D188">
    <cfRule type="duplicateValues" dxfId="293" priority="93"/>
  </conditionalFormatting>
  <conditionalFormatting sqref="D199:D208 D210:D214">
    <cfRule type="duplicateValues" dxfId="292" priority="119"/>
  </conditionalFormatting>
  <conditionalFormatting sqref="D209">
    <cfRule type="duplicateValues" dxfId="291" priority="16"/>
  </conditionalFormatting>
  <conditionalFormatting sqref="D215">
    <cfRule type="duplicateValues" dxfId="290" priority="37"/>
  </conditionalFormatting>
  <conditionalFormatting sqref="D227:D234">
    <cfRule type="duplicateValues" dxfId="289" priority="128"/>
  </conditionalFormatting>
  <conditionalFormatting sqref="D236:D238">
    <cfRule type="duplicateValues" dxfId="288" priority="120"/>
  </conditionalFormatting>
  <conditionalFormatting sqref="D239:D240 D235">
    <cfRule type="duplicateValues" dxfId="287" priority="14"/>
  </conditionalFormatting>
  <conditionalFormatting sqref="D252:D259">
    <cfRule type="duplicateValues" dxfId="286" priority="186"/>
  </conditionalFormatting>
  <conditionalFormatting sqref="D260">
    <cfRule type="duplicateValues" dxfId="285" priority="123"/>
  </conditionalFormatting>
  <conditionalFormatting sqref="D271:D279 D281:D285">
    <cfRule type="duplicateValues" dxfId="284" priority="124"/>
  </conditionalFormatting>
  <conditionalFormatting sqref="D280">
    <cfRule type="duplicateValues" dxfId="283" priority="15"/>
  </conditionalFormatting>
  <conditionalFormatting sqref="D286">
    <cfRule type="duplicateValues" dxfId="282" priority="80"/>
  </conditionalFormatting>
  <conditionalFormatting sqref="D297:D305">
    <cfRule type="duplicateValues" dxfId="281" priority="125"/>
  </conditionalFormatting>
  <conditionalFormatting sqref="D306:D314">
    <cfRule type="duplicateValues" dxfId="280" priority="73"/>
  </conditionalFormatting>
  <conditionalFormatting sqref="D325:D333">
    <cfRule type="duplicateValues" dxfId="279" priority="126"/>
  </conditionalFormatting>
  <conditionalFormatting sqref="D334:D339">
    <cfRule type="duplicateValues" dxfId="278" priority="127"/>
  </conditionalFormatting>
  <conditionalFormatting sqref="E36:Y36 AA36 E58:Y58 E88:Y88 E122:Y122 E147:Y147 E170:Y170 E192:Y192 E219:Y219 E244:Y244 E264:Y264 E290:Y290 E318:Y318 E343:Y343">
    <cfRule type="cellIs" dxfId="277" priority="109" operator="equal">
      <formula>0</formula>
    </cfRule>
    <cfRule type="cellIs" dxfId="276" priority="108" operator="greaterThan">
      <formula>0</formula>
    </cfRule>
    <cfRule type="cellIs" dxfId="275" priority="107" operator="lessThan">
      <formula>0</formula>
    </cfRule>
  </conditionalFormatting>
  <conditionalFormatting sqref="G236:G238">
    <cfRule type="duplicateValues" dxfId="274" priority="121"/>
  </conditionalFormatting>
  <conditionalFormatting sqref="AA58">
    <cfRule type="cellIs" dxfId="273" priority="95" operator="greaterThan">
      <formula>0</formula>
    </cfRule>
    <cfRule type="cellIs" dxfId="272" priority="96" operator="equal">
      <formula>0</formula>
    </cfRule>
    <cfRule type="cellIs" dxfId="271" priority="94" operator="lessThan">
      <formula>0</formula>
    </cfRule>
  </conditionalFormatting>
  <conditionalFormatting sqref="AA88">
    <cfRule type="cellIs" dxfId="270" priority="97" operator="lessThan">
      <formula>0</formula>
    </cfRule>
    <cfRule type="cellIs" dxfId="269" priority="99" operator="equal">
      <formula>0</formula>
    </cfRule>
    <cfRule type="cellIs" dxfId="268" priority="98" operator="greaterThan">
      <formula>0</formula>
    </cfRule>
  </conditionalFormatting>
  <conditionalFormatting sqref="AA122">
    <cfRule type="cellIs" dxfId="267" priority="54" operator="greaterThan">
      <formula>0</formula>
    </cfRule>
    <cfRule type="cellIs" dxfId="266" priority="53" operator="lessThan">
      <formula>0</formula>
    </cfRule>
    <cfRule type="cellIs" dxfId="265" priority="55" operator="equal">
      <formula>0</formula>
    </cfRule>
  </conditionalFormatting>
  <conditionalFormatting sqref="AA147">
    <cfRule type="cellIs" dxfId="264" priority="22" operator="lessThan">
      <formula>0</formula>
    </cfRule>
    <cfRule type="cellIs" dxfId="263" priority="23" operator="greaterThan">
      <formula>0</formula>
    </cfRule>
    <cfRule type="cellIs" dxfId="262" priority="24" operator="equal">
      <formula>0</formula>
    </cfRule>
  </conditionalFormatting>
  <conditionalFormatting sqref="AA170">
    <cfRule type="cellIs" dxfId="261" priority="104" operator="lessThan">
      <formula>0</formula>
    </cfRule>
    <cfRule type="cellIs" dxfId="260" priority="105" operator="greaterThan">
      <formula>0</formula>
    </cfRule>
    <cfRule type="cellIs" dxfId="259" priority="106" operator="equal">
      <formula>0</formula>
    </cfRule>
  </conditionalFormatting>
  <conditionalFormatting sqref="AA192">
    <cfRule type="cellIs" dxfId="258" priority="92" operator="equal">
      <formula>0</formula>
    </cfRule>
    <cfRule type="cellIs" dxfId="257" priority="91" operator="greaterThan">
      <formula>0</formula>
    </cfRule>
    <cfRule type="cellIs" dxfId="256" priority="90" operator="lessThan">
      <formula>0</formula>
    </cfRule>
  </conditionalFormatting>
  <conditionalFormatting sqref="AA219">
    <cfRule type="cellIs" dxfId="255" priority="36" operator="equal">
      <formula>0</formula>
    </cfRule>
    <cfRule type="cellIs" dxfId="254" priority="35" operator="greaterThan">
      <formula>0</formula>
    </cfRule>
    <cfRule type="cellIs" dxfId="253" priority="34" operator="lessThan">
      <formula>0</formula>
    </cfRule>
  </conditionalFormatting>
  <conditionalFormatting sqref="AA244">
    <cfRule type="cellIs" dxfId="252" priority="8" operator="lessThan">
      <formula>0</formula>
    </cfRule>
    <cfRule type="cellIs" dxfId="251" priority="9" operator="greaterThan">
      <formula>0</formula>
    </cfRule>
    <cfRule type="cellIs" dxfId="250" priority="10" operator="equal">
      <formula>0</formula>
    </cfRule>
  </conditionalFormatting>
  <conditionalFormatting sqref="AA264">
    <cfRule type="cellIs" dxfId="249" priority="103" operator="equal">
      <formula>0</formula>
    </cfRule>
    <cfRule type="cellIs" dxfId="248" priority="101" operator="lessThan">
      <formula>0</formula>
    </cfRule>
    <cfRule type="cellIs" dxfId="247" priority="102" operator="greaterThan">
      <formula>0</formula>
    </cfRule>
  </conditionalFormatting>
  <conditionalFormatting sqref="AA290">
    <cfRule type="cellIs" dxfId="246" priority="77" operator="lessThan">
      <formula>0</formula>
    </cfRule>
    <cfRule type="cellIs" dxfId="245" priority="78" operator="greaterThan">
      <formula>0</formula>
    </cfRule>
    <cfRule type="cellIs" dxfId="244" priority="79" operator="equal">
      <formula>0</formula>
    </cfRule>
  </conditionalFormatting>
  <conditionalFormatting sqref="AA318">
    <cfRule type="cellIs" dxfId="243" priority="70" operator="lessThan">
      <formula>0</formula>
    </cfRule>
    <cfRule type="cellIs" dxfId="242" priority="72" operator="equal">
      <formula>0</formula>
    </cfRule>
    <cfRule type="cellIs" dxfId="241" priority="71" operator="greaterThan">
      <formula>0</formula>
    </cfRule>
  </conditionalFormatting>
  <conditionalFormatting sqref="AA343">
    <cfRule type="cellIs" dxfId="240" priority="66" operator="equal">
      <formula>0</formula>
    </cfRule>
    <cfRule type="cellIs" dxfId="239" priority="65" operator="greaterThan">
      <formula>0</formula>
    </cfRule>
    <cfRule type="cellIs" dxfId="238" priority="64" operator="lessThan">
      <formula>0</formula>
    </cfRule>
  </conditionalFormatting>
  <conditionalFormatting sqref="AC36:AE36">
    <cfRule type="cellIs" dxfId="237" priority="47" operator="lessThan">
      <formula>0</formula>
    </cfRule>
    <cfRule type="cellIs" dxfId="236" priority="48" operator="greaterThan">
      <formula>0</formula>
    </cfRule>
    <cfRule type="cellIs" dxfId="235" priority="49" operator="equal">
      <formula>0</formula>
    </cfRule>
  </conditionalFormatting>
  <conditionalFormatting sqref="AC58:AE58">
    <cfRule type="cellIs" dxfId="234" priority="46" operator="equal">
      <formula>0</formula>
    </cfRule>
    <cfRule type="cellIs" dxfId="233" priority="44" operator="lessThan">
      <formula>0</formula>
    </cfRule>
    <cfRule type="cellIs" dxfId="232" priority="45" operator="greaterThan">
      <formula>0</formula>
    </cfRule>
  </conditionalFormatting>
  <conditionalFormatting sqref="AC88:AE88">
    <cfRule type="cellIs" dxfId="231" priority="43" operator="equal">
      <formula>0</formula>
    </cfRule>
    <cfRule type="cellIs" dxfId="230" priority="42" operator="greaterThan">
      <formula>0</formula>
    </cfRule>
    <cfRule type="cellIs" dxfId="229" priority="41" operator="lessThan">
      <formula>0</formula>
    </cfRule>
  </conditionalFormatting>
  <conditionalFormatting sqref="AC122:AE122">
    <cfRule type="cellIs" dxfId="228" priority="52" operator="equal">
      <formula>0</formula>
    </cfRule>
    <cfRule type="cellIs" dxfId="227" priority="50" operator="lessThan">
      <formula>0</formula>
    </cfRule>
    <cfRule type="cellIs" dxfId="226" priority="51" operator="greaterThan">
      <formula>0</formula>
    </cfRule>
  </conditionalFormatting>
  <conditionalFormatting sqref="AC147:AE147">
    <cfRule type="cellIs" dxfId="225" priority="21" operator="equal">
      <formula>0</formula>
    </cfRule>
    <cfRule type="cellIs" dxfId="224" priority="20" operator="greaterThan">
      <formula>0</formula>
    </cfRule>
    <cfRule type="cellIs" dxfId="223" priority="19" operator="lessThan">
      <formula>0</formula>
    </cfRule>
  </conditionalFormatting>
  <conditionalFormatting sqref="AC170:AE170">
    <cfRule type="cellIs" dxfId="222" priority="88" operator="greaterThan">
      <formula>0</formula>
    </cfRule>
    <cfRule type="cellIs" dxfId="221" priority="89" operator="equal">
      <formula>0</formula>
    </cfRule>
    <cfRule type="cellIs" dxfId="220" priority="87" operator="lessThan">
      <formula>0</formula>
    </cfRule>
  </conditionalFormatting>
  <conditionalFormatting sqref="AC192:AE192">
    <cfRule type="cellIs" dxfId="219" priority="81" operator="lessThan">
      <formula>0</formula>
    </cfRule>
    <cfRule type="cellIs" dxfId="218" priority="83" operator="equal">
      <formula>0</formula>
    </cfRule>
    <cfRule type="cellIs" dxfId="217" priority="82" operator="greaterThan">
      <formula>0</formula>
    </cfRule>
  </conditionalFormatting>
  <conditionalFormatting sqref="AC219:AE219">
    <cfRule type="cellIs" dxfId="216" priority="1" operator="lessThan">
      <formula>0</formula>
    </cfRule>
    <cfRule type="cellIs" dxfId="215" priority="2" operator="greaterThan">
      <formula>0</formula>
    </cfRule>
    <cfRule type="cellIs" dxfId="214" priority="3" operator="equal">
      <formula>0</formula>
    </cfRule>
  </conditionalFormatting>
  <conditionalFormatting sqref="AC244:AE244">
    <cfRule type="cellIs" dxfId="213" priority="7" operator="equal">
      <formula>0</formula>
    </cfRule>
    <cfRule type="cellIs" dxfId="212" priority="6" operator="greaterThan">
      <formula>0</formula>
    </cfRule>
    <cfRule type="cellIs" dxfId="211" priority="5" operator="lessThan">
      <formula>0</formula>
    </cfRule>
  </conditionalFormatting>
  <conditionalFormatting sqref="AC264:AE264">
    <cfRule type="cellIs" dxfId="210" priority="84" operator="lessThan">
      <formula>0</formula>
    </cfRule>
    <cfRule type="cellIs" dxfId="209" priority="85" operator="greaterThan">
      <formula>0</formula>
    </cfRule>
    <cfRule type="cellIs" dxfId="208" priority="86" operator="equal">
      <formula>0</formula>
    </cfRule>
  </conditionalFormatting>
  <conditionalFormatting sqref="AC290:AE290">
    <cfRule type="cellIs" dxfId="207" priority="76" operator="equal">
      <formula>0</formula>
    </cfRule>
    <cfRule type="cellIs" dxfId="206" priority="74" operator="lessThan">
      <formula>0</formula>
    </cfRule>
    <cfRule type="cellIs" dxfId="205" priority="75" operator="greaterThan">
      <formula>0</formula>
    </cfRule>
  </conditionalFormatting>
  <conditionalFormatting sqref="AC318:AE318">
    <cfRule type="cellIs" dxfId="204" priority="69" operator="equal">
      <formula>0</formula>
    </cfRule>
    <cfRule type="cellIs" dxfId="203" priority="67" operator="lessThan">
      <formula>0</formula>
    </cfRule>
    <cfRule type="cellIs" dxfId="202" priority="68" operator="greaterThan">
      <formula>0</formula>
    </cfRule>
  </conditionalFormatting>
  <conditionalFormatting sqref="AC343:AE343">
    <cfRule type="cellIs" dxfId="201" priority="62" operator="greaterThan">
      <formula>0</formula>
    </cfRule>
    <cfRule type="cellIs" dxfId="200" priority="63" operator="equal">
      <formula>0</formula>
    </cfRule>
    <cfRule type="cellIs" dxfId="199" priority="6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DF08-2622-4F32-A2FC-B5685A9AB710}">
  <sheetPr>
    <tabColor rgb="FF002060"/>
  </sheetPr>
  <dimension ref="A1:AB399"/>
  <sheetViews>
    <sheetView workbookViewId="0"/>
  </sheetViews>
  <sheetFormatPr defaultColWidth="9.1796875" defaultRowHeight="12.5" outlineLevelCol="1"/>
  <cols>
    <col min="1" max="1" width="5.1796875" style="206" customWidth="1"/>
    <col min="2" max="2" width="2.453125" style="206" customWidth="1"/>
    <col min="3" max="3" width="1.81640625" style="206" customWidth="1"/>
    <col min="4" max="4" width="37" style="206" customWidth="1"/>
    <col min="5" max="6" width="21" style="206" customWidth="1" outlineLevel="1"/>
    <col min="7" max="7" width="21" style="206" customWidth="1"/>
    <col min="8" max="9" width="21" style="206" customWidth="1" outlineLevel="1"/>
    <col min="10" max="10" width="21" style="206" customWidth="1"/>
    <col min="11" max="12" width="21" style="206" customWidth="1" outlineLevel="1"/>
    <col min="13" max="13" width="21" style="206" customWidth="1"/>
    <col min="14" max="15" width="21" style="206" customWidth="1" outlineLevel="1"/>
    <col min="16" max="16" width="21" style="206" customWidth="1"/>
    <col min="17" max="18" width="21" style="206" hidden="1" customWidth="1" outlineLevel="1"/>
    <col min="19" max="19" width="21" style="206" customWidth="1" collapsed="1"/>
    <col min="20" max="21" width="21" style="206" hidden="1" customWidth="1" outlineLevel="1"/>
    <col min="22" max="22" width="21" style="206" customWidth="1" collapsed="1"/>
    <col min="23" max="23" width="1.54296875" style="206" customWidth="1"/>
    <col min="24" max="24" width="21" style="206" customWidth="1"/>
    <col min="25" max="25" width="1.54296875" style="206" customWidth="1"/>
    <col min="26" max="28" width="21" style="206" customWidth="1"/>
    <col min="29" max="29" width="9.1796875" style="206"/>
    <col min="30" max="30" width="15" style="206" bestFit="1" customWidth="1"/>
    <col min="31" max="16384" width="9.1796875" style="206"/>
  </cols>
  <sheetData>
    <row r="1" spans="1:28" s="417" customFormat="1" ht="13">
      <c r="A1" s="414" t="s">
        <v>542</v>
      </c>
      <c r="B1" s="415"/>
      <c r="C1" s="416"/>
    </row>
    <row r="2" spans="1:28" s="417" customFormat="1" ht="13">
      <c r="A2" s="414" t="s">
        <v>421</v>
      </c>
      <c r="B2" s="415"/>
      <c r="C2" s="416"/>
    </row>
    <row r="3" spans="1:28" s="417" customFormat="1" ht="13">
      <c r="A3" s="418" t="s">
        <v>817</v>
      </c>
      <c r="B3" s="415"/>
      <c r="C3" s="416"/>
    </row>
    <row r="4" spans="1:28" s="417" customFormat="1" ht="13">
      <c r="B4" s="415"/>
      <c r="C4" s="416"/>
    </row>
    <row r="5" spans="1:28" s="417" customFormat="1"/>
    <row r="6" spans="1:28" s="422" customFormat="1" ht="13">
      <c r="A6" s="419" t="s">
        <v>423</v>
      </c>
      <c r="B6" s="420"/>
      <c r="C6" s="421"/>
    </row>
    <row r="7" spans="1:28" s="423" customFormat="1">
      <c r="H7" s="424"/>
      <c r="K7" s="424"/>
      <c r="N7" s="424"/>
      <c r="Q7" s="424"/>
      <c r="T7" s="424"/>
    </row>
    <row r="8" spans="1:28" s="423" customFormat="1">
      <c r="G8" s="425" t="s">
        <v>530</v>
      </c>
      <c r="H8" s="424"/>
      <c r="K8" s="424"/>
      <c r="N8" s="424"/>
      <c r="Q8" s="424"/>
      <c r="T8" s="424"/>
    </row>
    <row r="9" spans="1:28" s="423" customFormat="1" ht="13">
      <c r="E9" s="426"/>
      <c r="F9" s="426"/>
      <c r="G9" s="426" t="s">
        <v>462</v>
      </c>
      <c r="H9" s="426"/>
      <c r="I9" s="426"/>
      <c r="J9" s="426" t="s">
        <v>463</v>
      </c>
      <c r="K9" s="426"/>
      <c r="L9" s="426"/>
      <c r="M9" s="426" t="s">
        <v>464</v>
      </c>
      <c r="N9" s="426"/>
      <c r="O9" s="426"/>
      <c r="P9" s="426" t="s">
        <v>465</v>
      </c>
      <c r="Q9" s="426"/>
      <c r="R9" s="426"/>
      <c r="S9" s="426" t="s">
        <v>531</v>
      </c>
      <c r="T9" s="426"/>
      <c r="U9" s="426"/>
      <c r="V9" s="426" t="s">
        <v>461</v>
      </c>
    </row>
    <row r="10" spans="1:28" s="423" customFormat="1"/>
    <row r="11" spans="1:28" s="423" customFormat="1" ht="13">
      <c r="B11" s="427" t="s">
        <v>424</v>
      </c>
      <c r="C11" s="427" t="s">
        <v>425</v>
      </c>
      <c r="E11" s="423">
        <v>1</v>
      </c>
      <c r="H11" s="423">
        <v>1</v>
      </c>
      <c r="K11" s="423">
        <v>1</v>
      </c>
      <c r="N11" s="423">
        <v>1</v>
      </c>
      <c r="Q11" s="423">
        <v>1</v>
      </c>
      <c r="T11" s="423">
        <v>1</v>
      </c>
    </row>
    <row r="12" spans="1:28" s="423" customFormat="1" ht="13">
      <c r="E12" s="428" t="s">
        <v>426</v>
      </c>
      <c r="F12" s="428" t="s">
        <v>334</v>
      </c>
      <c r="G12" s="428" t="s">
        <v>427</v>
      </c>
      <c r="H12" s="428" t="s">
        <v>426</v>
      </c>
      <c r="I12" s="428" t="s">
        <v>334</v>
      </c>
      <c r="J12" s="428" t="s">
        <v>427</v>
      </c>
      <c r="K12" s="428" t="s">
        <v>426</v>
      </c>
      <c r="L12" s="428" t="s">
        <v>334</v>
      </c>
      <c r="M12" s="428" t="s">
        <v>427</v>
      </c>
      <c r="N12" s="428" t="s">
        <v>426</v>
      </c>
      <c r="O12" s="428" t="s">
        <v>334</v>
      </c>
      <c r="P12" s="428" t="s">
        <v>427</v>
      </c>
      <c r="Q12" s="428" t="s">
        <v>426</v>
      </c>
      <c r="R12" s="428" t="s">
        <v>334</v>
      </c>
      <c r="S12" s="428" t="s">
        <v>427</v>
      </c>
      <c r="T12" s="428" t="s">
        <v>426</v>
      </c>
      <c r="U12" s="428" t="s">
        <v>334</v>
      </c>
      <c r="V12" s="428" t="s">
        <v>427</v>
      </c>
      <c r="X12" s="428" t="s">
        <v>428</v>
      </c>
      <c r="Z12" s="428" t="s">
        <v>11</v>
      </c>
      <c r="AA12" s="428" t="s">
        <v>429</v>
      </c>
      <c r="AB12" s="428" t="s">
        <v>13</v>
      </c>
    </row>
    <row r="13" spans="1:28" s="423" customFormat="1" ht="13">
      <c r="E13" s="429">
        <v>45291</v>
      </c>
      <c r="F13" s="429"/>
      <c r="G13" s="429">
        <v>45291</v>
      </c>
      <c r="H13" s="429">
        <v>45291</v>
      </c>
      <c r="I13" s="429"/>
      <c r="J13" s="429">
        <v>45291</v>
      </c>
      <c r="K13" s="429">
        <v>45291</v>
      </c>
      <c r="L13" s="429"/>
      <c r="M13" s="429">
        <v>45291</v>
      </c>
      <c r="N13" s="429">
        <v>45291</v>
      </c>
      <c r="O13" s="429"/>
      <c r="P13" s="429">
        <v>45291</v>
      </c>
      <c r="Q13" s="429">
        <v>45291</v>
      </c>
      <c r="R13" s="429"/>
      <c r="S13" s="429">
        <v>45291</v>
      </c>
      <c r="T13" s="429">
        <v>45291</v>
      </c>
      <c r="U13" s="429"/>
      <c r="V13" s="429">
        <v>45291</v>
      </c>
      <c r="X13" s="429">
        <v>45291</v>
      </c>
      <c r="Z13" s="429">
        <v>45291</v>
      </c>
      <c r="AA13" s="429">
        <v>45291</v>
      </c>
      <c r="AB13" s="429">
        <v>45291</v>
      </c>
    </row>
    <row r="14" spans="1:28" s="423" customFormat="1" ht="13" customHeight="1">
      <c r="C14" s="430"/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431"/>
      <c r="U14" s="431"/>
      <c r="V14" s="431"/>
      <c r="X14" s="432"/>
      <c r="Z14" s="432"/>
      <c r="AA14" s="432"/>
      <c r="AB14" s="432"/>
    </row>
    <row r="15" spans="1:28" s="423" customFormat="1">
      <c r="A15" s="433"/>
      <c r="C15" s="423" t="s">
        <v>543</v>
      </c>
      <c r="D15" s="434"/>
      <c r="E15" s="435">
        <v>0</v>
      </c>
      <c r="F15" s="435"/>
      <c r="G15" s="435">
        <f>SUM(E15:F15)</f>
        <v>0</v>
      </c>
      <c r="H15" s="435">
        <v>3513008908.4499998</v>
      </c>
      <c r="I15" s="435"/>
      <c r="J15" s="435">
        <f>SUM(H15:I15)</f>
        <v>3513008908.4499998</v>
      </c>
      <c r="K15" s="435">
        <v>0</v>
      </c>
      <c r="L15" s="435"/>
      <c r="M15" s="435">
        <f>SUM(K15:L15)</f>
        <v>0</v>
      </c>
      <c r="N15" s="435">
        <v>0</v>
      </c>
      <c r="O15" s="435"/>
      <c r="P15" s="435">
        <f>SUM(N15:O15)</f>
        <v>0</v>
      </c>
      <c r="Q15" s="435">
        <v>1130613.75</v>
      </c>
      <c r="R15" s="435"/>
      <c r="S15" s="435">
        <f>SUM(Q15:R15)</f>
        <v>1130613.75</v>
      </c>
      <c r="T15" s="435">
        <v>0</v>
      </c>
      <c r="U15" s="435"/>
      <c r="V15" s="435">
        <f>SUM(T15:U15)</f>
        <v>0</v>
      </c>
      <c r="X15" s="435">
        <v>0</v>
      </c>
      <c r="Z15" s="435">
        <f>SUM(G15,J15,M15,P15,S15,V15)</f>
        <v>3514139522.1999998</v>
      </c>
      <c r="AA15" s="435">
        <f>'Elimination 23'!H72+'Elimination 23'!H64</f>
        <v>-3514139521.1999998</v>
      </c>
      <c r="AB15" s="435">
        <f>SUM(Z15:AA15)</f>
        <v>1</v>
      </c>
    </row>
    <row r="16" spans="1:28" s="423" customFormat="1">
      <c r="D16" s="423" t="s">
        <v>546</v>
      </c>
      <c r="E16" s="435">
        <v>0</v>
      </c>
      <c r="F16" s="435"/>
      <c r="G16" s="435">
        <f>SUM(E16:F16)</f>
        <v>0</v>
      </c>
      <c r="H16" s="435">
        <v>0</v>
      </c>
      <c r="I16" s="435"/>
      <c r="J16" s="435">
        <f>SUM(H16:I16)</f>
        <v>0</v>
      </c>
      <c r="K16" s="435">
        <v>0</v>
      </c>
      <c r="L16" s="435"/>
      <c r="M16" s="435">
        <f>SUM(K16:L16)</f>
        <v>0</v>
      </c>
      <c r="N16" s="435">
        <v>0</v>
      </c>
      <c r="O16" s="435"/>
      <c r="P16" s="435">
        <f>SUM(N16:O16)</f>
        <v>0</v>
      </c>
      <c r="Q16" s="435">
        <v>0</v>
      </c>
      <c r="R16" s="435"/>
      <c r="S16" s="435">
        <f>SUM(Q16:R16)</f>
        <v>0</v>
      </c>
      <c r="T16" s="435">
        <v>0</v>
      </c>
      <c r="U16" s="435"/>
      <c r="V16" s="435">
        <f>SUM(T16:U16)</f>
        <v>0</v>
      </c>
      <c r="X16" s="435">
        <v>0</v>
      </c>
      <c r="Z16" s="435">
        <f t="shared" ref="Z16:Z22" si="0">SUM(G16,J16,M16,P16,S16,V16)</f>
        <v>0</v>
      </c>
      <c r="AA16" s="435"/>
      <c r="AB16" s="435">
        <f>SUM(Z16:AA16)</f>
        <v>0</v>
      </c>
    </row>
    <row r="17" spans="3:28" s="423" customFormat="1">
      <c r="D17" s="423" t="s">
        <v>552</v>
      </c>
      <c r="E17" s="435">
        <v>0</v>
      </c>
      <c r="F17" s="435"/>
      <c r="G17" s="435">
        <f>SUM(E17:F17)</f>
        <v>0</v>
      </c>
      <c r="H17" s="435">
        <v>0</v>
      </c>
      <c r="I17" s="435"/>
      <c r="J17" s="435">
        <f>SUM(H17:I17)</f>
        <v>0</v>
      </c>
      <c r="K17" s="435">
        <v>0</v>
      </c>
      <c r="L17" s="435"/>
      <c r="M17" s="435">
        <f>SUM(K17:L17)</f>
        <v>0</v>
      </c>
      <c r="N17" s="435">
        <v>0</v>
      </c>
      <c r="O17" s="435"/>
      <c r="P17" s="435">
        <f>SUM(N17:O17)</f>
        <v>0</v>
      </c>
      <c r="Q17" s="435">
        <v>0</v>
      </c>
      <c r="R17" s="435"/>
      <c r="S17" s="435">
        <f>SUM(Q17:R17)</f>
        <v>0</v>
      </c>
      <c r="T17" s="435">
        <v>0</v>
      </c>
      <c r="U17" s="435"/>
      <c r="V17" s="435">
        <f>SUM(T17:U17)</f>
        <v>0</v>
      </c>
      <c r="X17" s="435">
        <v>0</v>
      </c>
      <c r="Z17" s="435">
        <f t="shared" si="0"/>
        <v>0</v>
      </c>
      <c r="AA17" s="435"/>
      <c r="AB17" s="435">
        <f>SUM(Z17:AA17)</f>
        <v>0</v>
      </c>
    </row>
    <row r="18" spans="3:28" s="423" customFormat="1">
      <c r="D18" s="423" t="s">
        <v>547</v>
      </c>
      <c r="E18" s="435">
        <v>0</v>
      </c>
      <c r="F18" s="435"/>
      <c r="G18" s="435">
        <f>SUM(E18:F18)</f>
        <v>0</v>
      </c>
      <c r="H18" s="435">
        <v>0</v>
      </c>
      <c r="I18" s="435"/>
      <c r="J18" s="435">
        <f>SUM(H18:I18)</f>
        <v>0</v>
      </c>
      <c r="K18" s="435">
        <v>0</v>
      </c>
      <c r="L18" s="435"/>
      <c r="M18" s="435">
        <f>SUM(K18:L18)</f>
        <v>0</v>
      </c>
      <c r="N18" s="435">
        <v>0</v>
      </c>
      <c r="O18" s="435"/>
      <c r="P18" s="435">
        <f>SUM(N18:O18)</f>
        <v>0</v>
      </c>
      <c r="Q18" s="435">
        <v>0</v>
      </c>
      <c r="R18" s="435"/>
      <c r="S18" s="435">
        <f>SUM(Q18:R18)</f>
        <v>0</v>
      </c>
      <c r="T18" s="435">
        <v>0</v>
      </c>
      <c r="U18" s="435"/>
      <c r="V18" s="435">
        <f>SUM(T18:U18)</f>
        <v>0</v>
      </c>
      <c r="X18" s="435">
        <v>0</v>
      </c>
      <c r="Z18" s="435">
        <f t="shared" si="0"/>
        <v>0</v>
      </c>
      <c r="AA18" s="435"/>
      <c r="AB18" s="435">
        <f>SUM(Z18:AA18)</f>
        <v>0</v>
      </c>
    </row>
    <row r="19" spans="3:28" s="423" customFormat="1">
      <c r="D19" s="423" t="s">
        <v>548</v>
      </c>
      <c r="E19" s="435">
        <v>0</v>
      </c>
      <c r="F19" s="435"/>
      <c r="G19" s="435">
        <f t="shared" ref="G19:G21" si="1">SUM(E19:F19)</f>
        <v>0</v>
      </c>
      <c r="H19" s="435">
        <v>0</v>
      </c>
      <c r="I19" s="435"/>
      <c r="J19" s="435">
        <f t="shared" ref="J19:J21" si="2">SUM(H19:I19)</f>
        <v>0</v>
      </c>
      <c r="K19" s="435">
        <v>0</v>
      </c>
      <c r="L19" s="435"/>
      <c r="M19" s="435">
        <f t="shared" ref="M19:M21" si="3">SUM(K19:L19)</f>
        <v>0</v>
      </c>
      <c r="N19" s="435">
        <v>0</v>
      </c>
      <c r="O19" s="435"/>
      <c r="P19" s="435">
        <f t="shared" ref="P19:P21" si="4">SUM(N19:O19)</f>
        <v>0</v>
      </c>
      <c r="Q19" s="435">
        <v>0</v>
      </c>
      <c r="R19" s="435"/>
      <c r="S19" s="435">
        <f t="shared" ref="S19:S21" si="5">SUM(Q19:R19)</f>
        <v>0</v>
      </c>
      <c r="T19" s="435">
        <v>0</v>
      </c>
      <c r="U19" s="435"/>
      <c r="V19" s="435">
        <f t="shared" ref="V19:V21" si="6">SUM(T19:U19)</f>
        <v>0</v>
      </c>
      <c r="X19" s="435">
        <v>0</v>
      </c>
      <c r="Z19" s="435">
        <f t="shared" si="0"/>
        <v>0</v>
      </c>
      <c r="AA19" s="435"/>
      <c r="AB19" s="435">
        <f t="shared" ref="AB19:AB22" si="7">SUM(Z19:AA19)</f>
        <v>0</v>
      </c>
    </row>
    <row r="20" spans="3:28" s="423" customFormat="1">
      <c r="D20" s="423" t="s">
        <v>545</v>
      </c>
      <c r="E20" s="435">
        <v>0</v>
      </c>
      <c r="F20" s="435"/>
      <c r="G20" s="435">
        <f t="shared" si="1"/>
        <v>0</v>
      </c>
      <c r="H20" s="435">
        <v>0</v>
      </c>
      <c r="I20" s="435"/>
      <c r="J20" s="435">
        <f t="shared" si="2"/>
        <v>0</v>
      </c>
      <c r="K20" s="435">
        <v>0</v>
      </c>
      <c r="L20" s="435"/>
      <c r="M20" s="435">
        <f t="shared" si="3"/>
        <v>0</v>
      </c>
      <c r="N20" s="435">
        <v>0</v>
      </c>
      <c r="O20" s="435"/>
      <c r="P20" s="435">
        <f t="shared" si="4"/>
        <v>0</v>
      </c>
      <c r="Q20" s="435">
        <v>0</v>
      </c>
      <c r="R20" s="435"/>
      <c r="S20" s="435">
        <f t="shared" si="5"/>
        <v>0</v>
      </c>
      <c r="T20" s="435">
        <v>0</v>
      </c>
      <c r="U20" s="435"/>
      <c r="V20" s="435">
        <f t="shared" si="6"/>
        <v>0</v>
      </c>
      <c r="X20" s="435">
        <v>0</v>
      </c>
      <c r="Z20" s="435">
        <f t="shared" si="0"/>
        <v>0</v>
      </c>
      <c r="AA20" s="435"/>
      <c r="AB20" s="435">
        <f t="shared" si="7"/>
        <v>0</v>
      </c>
    </row>
    <row r="21" spans="3:28" s="423" customFormat="1">
      <c r="D21" s="434" t="s">
        <v>549</v>
      </c>
      <c r="E21" s="435">
        <v>0</v>
      </c>
      <c r="F21" s="435"/>
      <c r="G21" s="435">
        <f t="shared" si="1"/>
        <v>0</v>
      </c>
      <c r="H21" s="435">
        <v>0</v>
      </c>
      <c r="I21" s="435"/>
      <c r="J21" s="435">
        <f t="shared" si="2"/>
        <v>0</v>
      </c>
      <c r="K21" s="435">
        <v>0</v>
      </c>
      <c r="L21" s="435"/>
      <c r="M21" s="435">
        <f t="shared" si="3"/>
        <v>0</v>
      </c>
      <c r="N21" s="435">
        <v>0</v>
      </c>
      <c r="O21" s="435"/>
      <c r="P21" s="435">
        <f t="shared" si="4"/>
        <v>0</v>
      </c>
      <c r="Q21" s="435">
        <v>0</v>
      </c>
      <c r="R21" s="435"/>
      <c r="S21" s="435">
        <f t="shared" si="5"/>
        <v>0</v>
      </c>
      <c r="T21" s="435">
        <v>0</v>
      </c>
      <c r="U21" s="435"/>
      <c r="V21" s="435">
        <f t="shared" si="6"/>
        <v>0</v>
      </c>
      <c r="X21" s="435">
        <v>0</v>
      </c>
      <c r="Z21" s="435">
        <f t="shared" si="0"/>
        <v>0</v>
      </c>
      <c r="AA21" s="435"/>
      <c r="AB21" s="435">
        <f t="shared" si="7"/>
        <v>0</v>
      </c>
    </row>
    <row r="22" spans="3:28" s="423" customFormat="1" ht="12" customHeight="1">
      <c r="D22" s="434" t="s">
        <v>544</v>
      </c>
      <c r="E22" s="435">
        <v>0</v>
      </c>
      <c r="F22" s="435"/>
      <c r="G22" s="435"/>
      <c r="H22" s="435"/>
      <c r="I22" s="435"/>
      <c r="J22" s="435"/>
      <c r="K22" s="435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X22" s="435">
        <v>0</v>
      </c>
      <c r="Z22" s="435">
        <f t="shared" si="0"/>
        <v>0</v>
      </c>
      <c r="AA22" s="435"/>
      <c r="AB22" s="435">
        <f t="shared" si="7"/>
        <v>0</v>
      </c>
    </row>
    <row r="23" spans="3:28" s="423" customFormat="1" ht="12" customHeight="1">
      <c r="D23" s="434"/>
      <c r="E23" s="435"/>
      <c r="F23" s="435"/>
      <c r="G23" s="435"/>
      <c r="H23" s="435"/>
      <c r="I23" s="435"/>
      <c r="J23" s="435"/>
      <c r="K23" s="435"/>
      <c r="L23" s="435"/>
      <c r="M23" s="435"/>
      <c r="N23" s="435"/>
      <c r="O23" s="435"/>
      <c r="P23" s="435"/>
      <c r="Q23" s="435"/>
      <c r="R23" s="435"/>
      <c r="S23" s="435"/>
      <c r="T23" s="435"/>
      <c r="U23" s="435"/>
      <c r="V23" s="435"/>
      <c r="X23" s="435"/>
      <c r="Z23" s="435"/>
      <c r="AA23" s="435"/>
      <c r="AB23" s="435"/>
    </row>
    <row r="24" spans="3:28" s="423" customFormat="1">
      <c r="C24" s="423" t="s">
        <v>532</v>
      </c>
      <c r="D24" s="434"/>
      <c r="E24" s="435"/>
      <c r="F24" s="435"/>
      <c r="G24" s="435"/>
      <c r="H24" s="435"/>
      <c r="I24" s="435"/>
      <c r="J24" s="435"/>
      <c r="K24" s="435"/>
      <c r="L24" s="435"/>
      <c r="M24" s="435"/>
      <c r="N24" s="435">
        <v>0</v>
      </c>
      <c r="O24" s="435"/>
      <c r="P24" s="435"/>
      <c r="Q24" s="435"/>
      <c r="R24" s="435"/>
      <c r="S24" s="435"/>
      <c r="T24" s="435">
        <v>0</v>
      </c>
      <c r="U24" s="435"/>
      <c r="V24" s="435"/>
      <c r="X24" s="435"/>
      <c r="Z24" s="435"/>
      <c r="AA24" s="435"/>
      <c r="AB24" s="435"/>
    </row>
    <row r="25" spans="3:28" s="423" customFormat="1">
      <c r="D25" s="423" t="s">
        <v>550</v>
      </c>
      <c r="E25" s="435">
        <v>7997573244.1499996</v>
      </c>
      <c r="F25" s="435"/>
      <c r="G25" s="435">
        <f t="shared" ref="G25:G27" si="8">SUM(E25:F25)</f>
        <v>7997573244.1499996</v>
      </c>
      <c r="H25" s="435">
        <v>0</v>
      </c>
      <c r="I25" s="435"/>
      <c r="J25" s="435">
        <f t="shared" ref="J25:J27" si="9">SUM(H25:I25)</f>
        <v>0</v>
      </c>
      <c r="K25" s="435">
        <v>0</v>
      </c>
      <c r="L25" s="435"/>
      <c r="M25" s="435">
        <f t="shared" ref="M25:M27" si="10">SUM(K25:L25)</f>
        <v>0</v>
      </c>
      <c r="N25" s="435">
        <v>0</v>
      </c>
      <c r="O25" s="435"/>
      <c r="P25" s="435">
        <f t="shared" ref="P25:P27" si="11">SUM(N25:O25)</f>
        <v>0</v>
      </c>
      <c r="Q25" s="435">
        <v>18819510725.924999</v>
      </c>
      <c r="R25" s="435"/>
      <c r="S25" s="435">
        <f t="shared" ref="S25:S27" si="12">SUM(Q25:R25)</f>
        <v>18819510725.924999</v>
      </c>
      <c r="T25" s="435">
        <v>0</v>
      </c>
      <c r="U25" s="435"/>
      <c r="V25" s="435">
        <f t="shared" ref="V25:V27" si="13">SUM(T25:U25)</f>
        <v>0</v>
      </c>
      <c r="X25" s="435">
        <v>0</v>
      </c>
      <c r="Z25" s="435">
        <f t="shared" ref="Z25:Z27" si="14">SUM(G25,J25,M25,P25,S25,V25)</f>
        <v>26817083970.074997</v>
      </c>
      <c r="AA25" s="435"/>
      <c r="AB25" s="435">
        <f t="shared" ref="AB25:AB27" si="15">SUM(Z25:AA25)</f>
        <v>26817083970.074997</v>
      </c>
    </row>
    <row r="26" spans="3:28" s="423" customFormat="1">
      <c r="D26" s="423" t="s">
        <v>551</v>
      </c>
      <c r="E26" s="435">
        <v>760802691.60000002</v>
      </c>
      <c r="F26" s="435"/>
      <c r="G26" s="435">
        <f t="shared" si="8"/>
        <v>760802691.60000002</v>
      </c>
      <c r="H26" s="435">
        <v>0</v>
      </c>
      <c r="I26" s="435"/>
      <c r="J26" s="435">
        <f t="shared" si="9"/>
        <v>0</v>
      </c>
      <c r="K26" s="435">
        <v>0</v>
      </c>
      <c r="L26" s="435"/>
      <c r="M26" s="435">
        <f t="shared" si="10"/>
        <v>0</v>
      </c>
      <c r="N26" s="435">
        <v>0</v>
      </c>
      <c r="O26" s="435"/>
      <c r="P26" s="435">
        <f t="shared" si="11"/>
        <v>0</v>
      </c>
      <c r="Q26" s="435">
        <v>0</v>
      </c>
      <c r="R26" s="435"/>
      <c r="S26" s="435">
        <f t="shared" si="12"/>
        <v>0</v>
      </c>
      <c r="T26" s="435">
        <v>0</v>
      </c>
      <c r="U26" s="435"/>
      <c r="V26" s="435">
        <f t="shared" si="13"/>
        <v>0</v>
      </c>
      <c r="X26" s="435">
        <v>0</v>
      </c>
      <c r="Z26" s="435">
        <f t="shared" si="14"/>
        <v>760802691.60000002</v>
      </c>
      <c r="AA26" s="435"/>
      <c r="AB26" s="435">
        <f t="shared" si="15"/>
        <v>760802691.60000002</v>
      </c>
    </row>
    <row r="27" spans="3:28" s="423" customFormat="1" ht="12" customHeight="1">
      <c r="D27" s="423" t="s">
        <v>553</v>
      </c>
      <c r="E27" s="435">
        <v>21784457481.625</v>
      </c>
      <c r="F27" s="435"/>
      <c r="G27" s="435">
        <f t="shared" si="8"/>
        <v>21784457481.625</v>
      </c>
      <c r="H27" s="435">
        <v>0</v>
      </c>
      <c r="I27" s="435"/>
      <c r="J27" s="435">
        <f t="shared" si="9"/>
        <v>0</v>
      </c>
      <c r="K27" s="435">
        <v>0</v>
      </c>
      <c r="L27" s="435"/>
      <c r="M27" s="435">
        <f t="shared" si="10"/>
        <v>0</v>
      </c>
      <c r="N27" s="435">
        <v>0</v>
      </c>
      <c r="O27" s="435"/>
      <c r="P27" s="435">
        <f t="shared" si="11"/>
        <v>0</v>
      </c>
      <c r="Q27" s="435">
        <v>0</v>
      </c>
      <c r="R27" s="435"/>
      <c r="S27" s="435">
        <f t="shared" si="12"/>
        <v>0</v>
      </c>
      <c r="T27" s="435">
        <v>0</v>
      </c>
      <c r="U27" s="435"/>
      <c r="V27" s="435">
        <f t="shared" si="13"/>
        <v>0</v>
      </c>
      <c r="X27" s="435">
        <v>0</v>
      </c>
      <c r="Z27" s="435">
        <f t="shared" si="14"/>
        <v>21784457481.625</v>
      </c>
      <c r="AA27" s="435"/>
      <c r="AB27" s="435">
        <f t="shared" si="15"/>
        <v>21784457481.625</v>
      </c>
    </row>
    <row r="28" spans="3:28" s="423" customFormat="1"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X28" s="441"/>
      <c r="Z28" s="441"/>
      <c r="AA28" s="441"/>
      <c r="AB28" s="441"/>
    </row>
    <row r="29" spans="3:28" s="427" customFormat="1" ht="13">
      <c r="C29" s="427" t="s">
        <v>178</v>
      </c>
      <c r="E29" s="442">
        <f t="shared" ref="E29:V29" si="16">SUM(E25:E27,E19:E22,E16:E18,E15)</f>
        <v>30542833417.375</v>
      </c>
      <c r="F29" s="442">
        <f t="shared" si="16"/>
        <v>0</v>
      </c>
      <c r="G29" s="442">
        <f t="shared" si="16"/>
        <v>30542833417.375</v>
      </c>
      <c r="H29" s="442">
        <f t="shared" si="16"/>
        <v>3513008908.4499998</v>
      </c>
      <c r="I29" s="442">
        <f t="shared" si="16"/>
        <v>0</v>
      </c>
      <c r="J29" s="442">
        <f t="shared" si="16"/>
        <v>3513008908.4499998</v>
      </c>
      <c r="K29" s="442">
        <f t="shared" si="16"/>
        <v>0</v>
      </c>
      <c r="L29" s="442">
        <f t="shared" si="16"/>
        <v>0</v>
      </c>
      <c r="M29" s="442">
        <f t="shared" si="16"/>
        <v>0</v>
      </c>
      <c r="N29" s="442">
        <f t="shared" si="16"/>
        <v>0</v>
      </c>
      <c r="O29" s="442">
        <f t="shared" si="16"/>
        <v>0</v>
      </c>
      <c r="P29" s="442">
        <f t="shared" si="16"/>
        <v>0</v>
      </c>
      <c r="Q29" s="442">
        <f t="shared" si="16"/>
        <v>18820641339.674999</v>
      </c>
      <c r="R29" s="442">
        <f t="shared" si="16"/>
        <v>0</v>
      </c>
      <c r="S29" s="442">
        <f t="shared" si="16"/>
        <v>18820641339.674999</v>
      </c>
      <c r="T29" s="442">
        <f t="shared" si="16"/>
        <v>0</v>
      </c>
      <c r="U29" s="442">
        <f t="shared" si="16"/>
        <v>0</v>
      </c>
      <c r="V29" s="442">
        <f t="shared" si="16"/>
        <v>0</v>
      </c>
      <c r="X29" s="442">
        <f>SUM(X25:X27,X19:X22,X16:X18,X15)</f>
        <v>0</v>
      </c>
      <c r="Z29" s="442">
        <f>SUM(Z25:Z27,Z19:Z22,Z16:Z18,Z15)</f>
        <v>52876483665.499992</v>
      </c>
      <c r="AA29" s="442">
        <f>SUM(AA25:AA27,AA19:AA22,AA16:AA18,AA15)</f>
        <v>-3514139521.1999998</v>
      </c>
      <c r="AB29" s="442">
        <f>SUM(AB25:AB27,AB19:AB22,AB16:AB18,AB15)</f>
        <v>49362344144.299995</v>
      </c>
    </row>
    <row r="30" spans="3:28" s="427" customFormat="1" ht="13">
      <c r="E30" s="443"/>
      <c r="F30" s="443"/>
      <c r="G30" s="443"/>
      <c r="H30" s="443"/>
      <c r="I30" s="443"/>
      <c r="J30" s="443"/>
      <c r="K30" s="443"/>
      <c r="L30" s="443"/>
      <c r="M30" s="443"/>
      <c r="N30" s="443"/>
      <c r="O30" s="443"/>
      <c r="P30" s="443"/>
      <c r="Q30" s="443"/>
      <c r="R30" s="443"/>
      <c r="S30" s="443"/>
      <c r="T30" s="443"/>
      <c r="U30" s="443"/>
      <c r="V30" s="443"/>
      <c r="X30" s="443"/>
      <c r="Z30" s="443"/>
      <c r="AA30" s="443"/>
      <c r="AB30" s="443"/>
    </row>
    <row r="31" spans="3:28" s="423" customFormat="1">
      <c r="C31" s="423" t="s">
        <v>433</v>
      </c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X31" s="441"/>
      <c r="Z31" s="441"/>
      <c r="AA31" s="441"/>
      <c r="AB31" s="441"/>
    </row>
    <row r="32" spans="3:28" s="427" customFormat="1" ht="13">
      <c r="C32" s="427" t="s">
        <v>434</v>
      </c>
      <c r="E32" s="444">
        <f t="shared" ref="E32:Q32" si="17">SUM(E29:E31)</f>
        <v>30542833417.375</v>
      </c>
      <c r="F32" s="444"/>
      <c r="G32" s="444">
        <f t="shared" si="17"/>
        <v>30542833417.375</v>
      </c>
      <c r="H32" s="444">
        <f t="shared" si="17"/>
        <v>3513008908.4499998</v>
      </c>
      <c r="I32" s="444"/>
      <c r="J32" s="444">
        <f t="shared" ref="J32:K32" si="18">SUM(J29:J31)</f>
        <v>3513008908.4499998</v>
      </c>
      <c r="K32" s="444">
        <f t="shared" si="18"/>
        <v>0</v>
      </c>
      <c r="L32" s="444"/>
      <c r="M32" s="444">
        <f t="shared" ref="M32:N32" si="19">SUM(M29:M31)</f>
        <v>0</v>
      </c>
      <c r="N32" s="444">
        <f t="shared" si="19"/>
        <v>0</v>
      </c>
      <c r="O32" s="444"/>
      <c r="P32" s="444">
        <f t="shared" ref="P32" si="20">SUM(P29:P31)</f>
        <v>0</v>
      </c>
      <c r="Q32" s="444">
        <f t="shared" si="17"/>
        <v>18820641339.674999</v>
      </c>
      <c r="R32" s="444"/>
      <c r="S32" s="444">
        <f t="shared" ref="S32:T32" si="21">SUM(S29:S31)</f>
        <v>18820641339.674999</v>
      </c>
      <c r="T32" s="444">
        <f t="shared" si="21"/>
        <v>0</v>
      </c>
      <c r="U32" s="444"/>
      <c r="V32" s="444">
        <f t="shared" ref="V32" si="22">SUM(V29:V31)</f>
        <v>0</v>
      </c>
      <c r="X32" s="444">
        <f t="shared" ref="X32" si="23">SUM(X29:X31)</f>
        <v>0</v>
      </c>
      <c r="Z32" s="444">
        <f t="shared" ref="Z32:AB32" si="24">SUM(Z29:Z31)</f>
        <v>52876483665.499992</v>
      </c>
      <c r="AA32" s="444">
        <f t="shared" si="24"/>
        <v>-3514139521.1999998</v>
      </c>
      <c r="AB32" s="444">
        <f t="shared" si="24"/>
        <v>49362344144.299995</v>
      </c>
    </row>
    <row r="34" spans="2:28" s="427" customFormat="1" ht="13">
      <c r="D34" s="445" t="s">
        <v>435</v>
      </c>
      <c r="E34" s="446">
        <f>'Consol SoFP 23 &amp; 22'!E18</f>
        <v>30542833417</v>
      </c>
      <c r="F34" s="446">
        <f>'Consol SoFP 23 &amp; 22'!G18</f>
        <v>0</v>
      </c>
      <c r="G34" s="446">
        <f>'Consol SoFP 23 &amp; 22'!H18</f>
        <v>30542833417</v>
      </c>
      <c r="H34" s="446">
        <f>'Consol SoFP 23 &amp; 22'!I18</f>
        <v>3513008908</v>
      </c>
      <c r="I34" s="446">
        <f>'Consol SoFP 23 &amp; 22'!J18</f>
        <v>0</v>
      </c>
      <c r="J34" s="446">
        <f>'Consol SoFP 23 &amp; 22'!K18</f>
        <v>3513008908</v>
      </c>
      <c r="K34" s="446">
        <f>'Consol SoFP 23 &amp; 22'!L18</f>
        <v>0</v>
      </c>
      <c r="L34" s="446">
        <f>'Consol SoFP 23 &amp; 22'!M18</f>
        <v>0</v>
      </c>
      <c r="M34" s="446">
        <f>'Consol SoFP 23 &amp; 22'!N18</f>
        <v>0</v>
      </c>
      <c r="N34" s="446">
        <f>'Consol SoFP 23 &amp; 22'!O18</f>
        <v>0</v>
      </c>
      <c r="O34" s="446">
        <f>'Consol SoFP 23 &amp; 22'!P18</f>
        <v>0</v>
      </c>
      <c r="P34" s="446">
        <f>'Consol SoFP 23 &amp; 22'!Q18</f>
        <v>0</v>
      </c>
      <c r="Q34" s="446">
        <f>'Consol SoFP 23 &amp; 22'!R18</f>
        <v>18820641340</v>
      </c>
      <c r="R34" s="446">
        <f>'Consol SoFP 23 &amp; 22'!S18</f>
        <v>0</v>
      </c>
      <c r="S34" s="446">
        <f>'Consol SoFP 23 &amp; 22'!T18</f>
        <v>18820641340</v>
      </c>
      <c r="T34" s="446">
        <f>'Consol SoFP 23 &amp; 22'!U18</f>
        <v>0</v>
      </c>
      <c r="U34" s="446">
        <f>'Consol SoFP 23 &amp; 22'!V18</f>
        <v>0</v>
      </c>
      <c r="V34" s="446">
        <f>'Consol SoFP 23 &amp; 22'!W18</f>
        <v>0</v>
      </c>
      <c r="X34" s="446">
        <v>0</v>
      </c>
      <c r="Z34" s="446">
        <f>'Consol SoFP 23 &amp; 22'!AB18</f>
        <v>52876483665</v>
      </c>
      <c r="AA34" s="446">
        <f>SUM('Consol SoFP 23 &amp; 22'!AC18:AD18)</f>
        <v>-3514139521.1999998</v>
      </c>
      <c r="AB34" s="446">
        <f>'Consol SoFP 23 &amp; 22'!AE18</f>
        <v>49362344144</v>
      </c>
    </row>
    <row r="35" spans="2:28" s="423" customFormat="1" ht="13">
      <c r="B35" s="417"/>
      <c r="C35" s="417"/>
      <c r="D35" s="445" t="s">
        <v>111</v>
      </c>
      <c r="E35" s="442">
        <f>E32-E34</f>
        <v>0.375</v>
      </c>
      <c r="F35" s="442"/>
      <c r="G35" s="442">
        <f>ROUND(G32-G34,0)</f>
        <v>0</v>
      </c>
      <c r="H35" s="442">
        <f t="shared" ref="H35:V35" si="25">ROUND(H32-H34,0)</f>
        <v>0</v>
      </c>
      <c r="I35" s="442">
        <f t="shared" si="25"/>
        <v>0</v>
      </c>
      <c r="J35" s="442">
        <f t="shared" si="25"/>
        <v>0</v>
      </c>
      <c r="K35" s="442">
        <f t="shared" si="25"/>
        <v>0</v>
      </c>
      <c r="L35" s="442">
        <f t="shared" si="25"/>
        <v>0</v>
      </c>
      <c r="M35" s="442">
        <f t="shared" si="25"/>
        <v>0</v>
      </c>
      <c r="N35" s="442">
        <f t="shared" si="25"/>
        <v>0</v>
      </c>
      <c r="O35" s="442">
        <f t="shared" si="25"/>
        <v>0</v>
      </c>
      <c r="P35" s="442">
        <f t="shared" si="25"/>
        <v>0</v>
      </c>
      <c r="Q35" s="442">
        <f t="shared" si="25"/>
        <v>0</v>
      </c>
      <c r="R35" s="442">
        <f t="shared" si="25"/>
        <v>0</v>
      </c>
      <c r="S35" s="442">
        <f t="shared" si="25"/>
        <v>0</v>
      </c>
      <c r="T35" s="442">
        <f t="shared" si="25"/>
        <v>0</v>
      </c>
      <c r="U35" s="442">
        <f t="shared" si="25"/>
        <v>0</v>
      </c>
      <c r="V35" s="442">
        <f t="shared" si="25"/>
        <v>0</v>
      </c>
      <c r="X35" s="442">
        <f t="shared" ref="X35:AB35" si="26">ROUND(X32-X34,0)</f>
        <v>0</v>
      </c>
      <c r="Z35" s="442">
        <f t="shared" si="26"/>
        <v>0</v>
      </c>
      <c r="AA35" s="442">
        <f t="shared" si="26"/>
        <v>0</v>
      </c>
      <c r="AB35" s="442">
        <f t="shared" si="26"/>
        <v>0</v>
      </c>
    </row>
    <row r="36" spans="2:28" s="449" customFormat="1" ht="13.5" thickBot="1">
      <c r="B36" s="447"/>
      <c r="C36" s="447"/>
      <c r="D36" s="447"/>
      <c r="E36" s="448"/>
      <c r="F36" s="448"/>
      <c r="G36" s="448"/>
      <c r="H36" s="448"/>
      <c r="I36" s="448"/>
      <c r="J36" s="448"/>
      <c r="K36" s="448"/>
      <c r="L36" s="448"/>
      <c r="M36" s="448"/>
      <c r="N36" s="448"/>
      <c r="O36" s="448"/>
      <c r="P36" s="448"/>
      <c r="Q36" s="448"/>
      <c r="R36" s="448"/>
      <c r="S36" s="448"/>
      <c r="T36" s="448"/>
      <c r="U36" s="448"/>
      <c r="V36" s="448"/>
      <c r="X36" s="448"/>
      <c r="Z36" s="448"/>
      <c r="AA36" s="448"/>
      <c r="AB36" s="448"/>
    </row>
    <row r="37" spans="2:28" s="423" customFormat="1" ht="13">
      <c r="B37" s="427" t="s">
        <v>436</v>
      </c>
      <c r="C37" s="427" t="s">
        <v>437</v>
      </c>
    </row>
    <row r="38" spans="2:28" s="423" customFormat="1" ht="13">
      <c r="E38" s="428" t="s">
        <v>426</v>
      </c>
      <c r="F38" s="428" t="s">
        <v>334</v>
      </c>
      <c r="G38" s="428" t="s">
        <v>427</v>
      </c>
      <c r="H38" s="428" t="s">
        <v>426</v>
      </c>
      <c r="I38" s="428" t="s">
        <v>334</v>
      </c>
      <c r="J38" s="428" t="s">
        <v>427</v>
      </c>
      <c r="K38" s="428" t="s">
        <v>426</v>
      </c>
      <c r="L38" s="428" t="s">
        <v>334</v>
      </c>
      <c r="M38" s="428" t="s">
        <v>427</v>
      </c>
      <c r="N38" s="428" t="s">
        <v>426</v>
      </c>
      <c r="O38" s="428" t="s">
        <v>334</v>
      </c>
      <c r="P38" s="428" t="s">
        <v>427</v>
      </c>
      <c r="Q38" s="428" t="s">
        <v>426</v>
      </c>
      <c r="R38" s="428" t="s">
        <v>334</v>
      </c>
      <c r="S38" s="428" t="s">
        <v>427</v>
      </c>
      <c r="T38" s="428" t="s">
        <v>426</v>
      </c>
      <c r="U38" s="428" t="s">
        <v>334</v>
      </c>
      <c r="V38" s="428" t="s">
        <v>427</v>
      </c>
      <c r="X38" s="428" t="s">
        <v>428</v>
      </c>
      <c r="Z38" s="428" t="s">
        <v>11</v>
      </c>
      <c r="AA38" s="428" t="s">
        <v>429</v>
      </c>
      <c r="AB38" s="428" t="s">
        <v>13</v>
      </c>
    </row>
    <row r="39" spans="2:28" s="423" customFormat="1" ht="13">
      <c r="E39" s="429">
        <v>45291</v>
      </c>
      <c r="F39" s="429"/>
      <c r="G39" s="429">
        <v>45291</v>
      </c>
      <c r="H39" s="429">
        <v>45291</v>
      </c>
      <c r="I39" s="429"/>
      <c r="J39" s="429">
        <v>45291</v>
      </c>
      <c r="K39" s="429">
        <v>45291</v>
      </c>
      <c r="L39" s="429"/>
      <c r="M39" s="429">
        <v>45291</v>
      </c>
      <c r="N39" s="429">
        <v>45291</v>
      </c>
      <c r="O39" s="429"/>
      <c r="P39" s="429">
        <v>45291</v>
      </c>
      <c r="Q39" s="429">
        <v>45291</v>
      </c>
      <c r="R39" s="429"/>
      <c r="S39" s="429">
        <v>45291</v>
      </c>
      <c r="T39" s="429">
        <v>45291</v>
      </c>
      <c r="U39" s="429"/>
      <c r="V39" s="429">
        <v>45291</v>
      </c>
      <c r="X39" s="429">
        <v>45291</v>
      </c>
      <c r="Z39" s="429">
        <v>45291</v>
      </c>
      <c r="AA39" s="429">
        <v>45291</v>
      </c>
      <c r="AB39" s="429">
        <v>45291</v>
      </c>
    </row>
    <row r="40" spans="2:28" s="423" customFormat="1" ht="13" customHeight="1">
      <c r="C40" s="430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X40" s="432"/>
      <c r="Z40" s="432"/>
      <c r="AA40" s="432"/>
      <c r="AB40" s="432"/>
    </row>
    <row r="41" spans="2:28" s="423" customFormat="1">
      <c r="C41" s="423" t="s">
        <v>543</v>
      </c>
      <c r="D41" s="434"/>
      <c r="E41" s="435">
        <v>0</v>
      </c>
      <c r="F41" s="435"/>
      <c r="G41" s="435">
        <v>0</v>
      </c>
      <c r="H41" s="435">
        <v>0</v>
      </c>
      <c r="I41" s="435"/>
      <c r="J41" s="435">
        <f t="shared" ref="J41" si="27">SUM(H41:I41)</f>
        <v>0</v>
      </c>
      <c r="K41" s="435">
        <v>0</v>
      </c>
      <c r="L41" s="435"/>
      <c r="M41" s="435">
        <f t="shared" ref="M41" si="28">SUM(K41:L41)</f>
        <v>0</v>
      </c>
      <c r="N41" s="435">
        <v>0</v>
      </c>
      <c r="O41" s="435"/>
      <c r="P41" s="435">
        <f t="shared" ref="P41" si="29">SUM(N41:O41)</f>
        <v>0</v>
      </c>
      <c r="Q41" s="435">
        <v>0</v>
      </c>
      <c r="R41" s="435"/>
      <c r="S41" s="435">
        <f t="shared" ref="S41:S48" si="30">SUM(Q41:R41)</f>
        <v>0</v>
      </c>
      <c r="T41" s="435">
        <v>0</v>
      </c>
      <c r="U41" s="435"/>
      <c r="V41" s="435">
        <f t="shared" ref="V41:V48" si="31">SUM(T41:U41)</f>
        <v>0</v>
      </c>
      <c r="X41" s="435">
        <v>0</v>
      </c>
      <c r="Z41" s="435">
        <f>SUM(G41,J41,M41,P41,S41,V41)</f>
        <v>0</v>
      </c>
      <c r="AA41" s="435"/>
      <c r="AB41" s="435">
        <f>SUM(Z41:AA41)</f>
        <v>0</v>
      </c>
    </row>
    <row r="42" spans="2:28" s="423" customFormat="1">
      <c r="D42" s="423" t="s">
        <v>546</v>
      </c>
      <c r="E42" s="435">
        <v>0</v>
      </c>
      <c r="F42" s="435"/>
      <c r="G42" s="435">
        <f>SUM(E42:F42)</f>
        <v>0</v>
      </c>
      <c r="H42" s="435">
        <v>0</v>
      </c>
      <c r="I42" s="435"/>
      <c r="J42" s="435">
        <f>SUM(H42:I42)</f>
        <v>0</v>
      </c>
      <c r="K42" s="435">
        <v>0</v>
      </c>
      <c r="L42" s="435"/>
      <c r="M42" s="435">
        <f>SUM(K42:L42)</f>
        <v>0</v>
      </c>
      <c r="N42" s="435">
        <v>0</v>
      </c>
      <c r="O42" s="435"/>
      <c r="P42" s="435">
        <f>SUM(N42:O42)</f>
        <v>0</v>
      </c>
      <c r="Q42" s="435">
        <v>0</v>
      </c>
      <c r="R42" s="435"/>
      <c r="S42" s="435">
        <f>SUM(Q42:R42)</f>
        <v>0</v>
      </c>
      <c r="T42" s="435">
        <v>0</v>
      </c>
      <c r="U42" s="435"/>
      <c r="V42" s="435">
        <f>SUM(T42:U42)</f>
        <v>0</v>
      </c>
      <c r="X42" s="435">
        <v>0</v>
      </c>
      <c r="Z42" s="435">
        <f t="shared" ref="Z42:Z48" si="32">SUM(G42,J42,M42,P42,S42,V42)</f>
        <v>0</v>
      </c>
      <c r="AA42" s="435"/>
      <c r="AB42" s="435">
        <f>SUM(Z42:AA42)</f>
        <v>0</v>
      </c>
    </row>
    <row r="43" spans="2:28" s="423" customFormat="1">
      <c r="D43" s="423" t="s">
        <v>552</v>
      </c>
      <c r="E43" s="435">
        <v>0</v>
      </c>
      <c r="F43" s="435"/>
      <c r="G43" s="435">
        <f>SUM(E43:F43)</f>
        <v>0</v>
      </c>
      <c r="H43" s="435">
        <v>0</v>
      </c>
      <c r="I43" s="435"/>
      <c r="J43" s="435">
        <f>SUM(H43:I43)</f>
        <v>0</v>
      </c>
      <c r="K43" s="435">
        <v>0</v>
      </c>
      <c r="L43" s="435"/>
      <c r="M43" s="435">
        <f>SUM(K43:L43)</f>
        <v>0</v>
      </c>
      <c r="N43" s="435">
        <v>0</v>
      </c>
      <c r="O43" s="435"/>
      <c r="P43" s="435">
        <f>SUM(N43:O43)</f>
        <v>0</v>
      </c>
      <c r="Q43" s="435">
        <v>0</v>
      </c>
      <c r="R43" s="435"/>
      <c r="S43" s="435">
        <f>SUM(Q43:R43)</f>
        <v>0</v>
      </c>
      <c r="T43" s="435">
        <v>0</v>
      </c>
      <c r="U43" s="435"/>
      <c r="V43" s="435">
        <f>SUM(T43:U43)</f>
        <v>0</v>
      </c>
      <c r="X43" s="435">
        <v>0</v>
      </c>
      <c r="Z43" s="435">
        <f t="shared" si="32"/>
        <v>0</v>
      </c>
      <c r="AA43" s="435"/>
      <c r="AB43" s="435">
        <f>SUM(Z43:AA43)</f>
        <v>0</v>
      </c>
    </row>
    <row r="44" spans="2:28" s="423" customFormat="1">
      <c r="D44" s="423" t="s">
        <v>547</v>
      </c>
      <c r="E44" s="435">
        <v>0</v>
      </c>
      <c r="F44" s="435"/>
      <c r="G44" s="435">
        <f>SUM(E44:F44)</f>
        <v>0</v>
      </c>
      <c r="H44" s="435">
        <v>0</v>
      </c>
      <c r="I44" s="435"/>
      <c r="J44" s="435">
        <f>SUM(H44:I44)</f>
        <v>0</v>
      </c>
      <c r="K44" s="435">
        <v>0</v>
      </c>
      <c r="L44" s="435"/>
      <c r="M44" s="435">
        <f>SUM(K44:L44)</f>
        <v>0</v>
      </c>
      <c r="N44" s="435">
        <v>0</v>
      </c>
      <c r="O44" s="435"/>
      <c r="P44" s="435">
        <f>SUM(N44:O44)</f>
        <v>0</v>
      </c>
      <c r="Q44" s="435">
        <v>0</v>
      </c>
      <c r="R44" s="435"/>
      <c r="S44" s="435">
        <f>SUM(Q44:R44)</f>
        <v>0</v>
      </c>
      <c r="T44" s="435">
        <v>0</v>
      </c>
      <c r="U44" s="435"/>
      <c r="V44" s="435">
        <f>SUM(T44:U44)</f>
        <v>0</v>
      </c>
      <c r="X44" s="435">
        <v>0</v>
      </c>
      <c r="Z44" s="435">
        <f t="shared" si="32"/>
        <v>0</v>
      </c>
      <c r="AA44" s="435"/>
      <c r="AB44" s="435">
        <f>SUM(Z44:AA44)</f>
        <v>0</v>
      </c>
    </row>
    <row r="45" spans="2:28" s="423" customFormat="1">
      <c r="D45" s="423" t="s">
        <v>548</v>
      </c>
      <c r="E45" s="435">
        <v>0</v>
      </c>
      <c r="F45" s="435"/>
      <c r="G45" s="435">
        <f t="shared" ref="G45:G48" si="33">SUM(E45:F45)</f>
        <v>0</v>
      </c>
      <c r="H45" s="435">
        <v>0</v>
      </c>
      <c r="I45" s="435"/>
      <c r="J45" s="435">
        <f t="shared" ref="J45:J48" si="34">SUM(H45:I45)</f>
        <v>0</v>
      </c>
      <c r="K45" s="435">
        <v>0</v>
      </c>
      <c r="L45" s="435"/>
      <c r="M45" s="435">
        <f t="shared" ref="M45:M48" si="35">SUM(K45:L45)</f>
        <v>0</v>
      </c>
      <c r="N45" s="435">
        <v>0</v>
      </c>
      <c r="O45" s="435"/>
      <c r="P45" s="435">
        <f t="shared" ref="P45:P48" si="36">SUM(N45:O45)</f>
        <v>0</v>
      </c>
      <c r="Q45" s="435">
        <v>0</v>
      </c>
      <c r="R45" s="435"/>
      <c r="S45" s="435">
        <f t="shared" si="30"/>
        <v>0</v>
      </c>
      <c r="T45" s="435">
        <v>0</v>
      </c>
      <c r="U45" s="435"/>
      <c r="V45" s="435">
        <f t="shared" si="31"/>
        <v>0</v>
      </c>
      <c r="X45" s="435">
        <v>0</v>
      </c>
      <c r="Z45" s="435">
        <f t="shared" si="32"/>
        <v>0</v>
      </c>
      <c r="AA45" s="435"/>
      <c r="AB45" s="435">
        <f t="shared" ref="AB45:AB48" si="37">SUM(Z45:AA45)</f>
        <v>0</v>
      </c>
    </row>
    <row r="46" spans="2:28" s="423" customFormat="1">
      <c r="D46" s="423" t="s">
        <v>545</v>
      </c>
      <c r="E46" s="435">
        <v>0</v>
      </c>
      <c r="F46" s="435"/>
      <c r="G46" s="435">
        <f t="shared" si="33"/>
        <v>0</v>
      </c>
      <c r="H46" s="435">
        <v>0</v>
      </c>
      <c r="I46" s="435"/>
      <c r="J46" s="435">
        <f t="shared" si="34"/>
        <v>0</v>
      </c>
      <c r="K46" s="435">
        <v>0</v>
      </c>
      <c r="L46" s="435"/>
      <c r="M46" s="435">
        <f t="shared" si="35"/>
        <v>0</v>
      </c>
      <c r="N46" s="435">
        <v>0</v>
      </c>
      <c r="O46" s="435"/>
      <c r="P46" s="435">
        <f t="shared" si="36"/>
        <v>0</v>
      </c>
      <c r="Q46" s="435">
        <v>0</v>
      </c>
      <c r="R46" s="435"/>
      <c r="S46" s="435">
        <f t="shared" si="30"/>
        <v>0</v>
      </c>
      <c r="T46" s="435">
        <v>0</v>
      </c>
      <c r="U46" s="435"/>
      <c r="V46" s="435">
        <f t="shared" si="31"/>
        <v>0</v>
      </c>
      <c r="X46" s="435">
        <v>0</v>
      </c>
      <c r="Z46" s="435">
        <f t="shared" si="32"/>
        <v>0</v>
      </c>
      <c r="AA46" s="435"/>
      <c r="AB46" s="435">
        <f t="shared" si="37"/>
        <v>0</v>
      </c>
    </row>
    <row r="47" spans="2:28" s="423" customFormat="1">
      <c r="D47" s="423" t="s">
        <v>549</v>
      </c>
      <c r="E47" s="435">
        <v>0</v>
      </c>
      <c r="F47" s="435"/>
      <c r="G47" s="435">
        <f t="shared" si="33"/>
        <v>0</v>
      </c>
      <c r="H47" s="435">
        <v>0</v>
      </c>
      <c r="I47" s="435"/>
      <c r="J47" s="435">
        <f t="shared" si="34"/>
        <v>0</v>
      </c>
      <c r="K47" s="435">
        <v>0</v>
      </c>
      <c r="L47" s="435"/>
      <c r="M47" s="435">
        <f t="shared" si="35"/>
        <v>0</v>
      </c>
      <c r="N47" s="435">
        <v>0</v>
      </c>
      <c r="O47" s="435"/>
      <c r="P47" s="435">
        <f t="shared" si="36"/>
        <v>0</v>
      </c>
      <c r="Q47" s="435">
        <v>0</v>
      </c>
      <c r="R47" s="435"/>
      <c r="S47" s="435">
        <f t="shared" si="30"/>
        <v>0</v>
      </c>
      <c r="T47" s="435">
        <v>0</v>
      </c>
      <c r="U47" s="435"/>
      <c r="V47" s="435">
        <f t="shared" si="31"/>
        <v>0</v>
      </c>
      <c r="X47" s="435">
        <v>0</v>
      </c>
      <c r="Z47" s="435">
        <f t="shared" si="32"/>
        <v>0</v>
      </c>
      <c r="AA47" s="435"/>
      <c r="AB47" s="435">
        <f t="shared" si="37"/>
        <v>0</v>
      </c>
    </row>
    <row r="48" spans="2:28" s="423" customFormat="1">
      <c r="D48" s="434" t="s">
        <v>544</v>
      </c>
      <c r="E48" s="435">
        <v>0</v>
      </c>
      <c r="F48" s="435"/>
      <c r="G48" s="435">
        <f t="shared" si="33"/>
        <v>0</v>
      </c>
      <c r="H48" s="435">
        <v>0</v>
      </c>
      <c r="I48" s="435"/>
      <c r="J48" s="435">
        <f t="shared" si="34"/>
        <v>0</v>
      </c>
      <c r="K48" s="435">
        <v>0</v>
      </c>
      <c r="L48" s="435"/>
      <c r="M48" s="435">
        <f t="shared" si="35"/>
        <v>0</v>
      </c>
      <c r="N48" s="435">
        <v>0</v>
      </c>
      <c r="O48" s="435"/>
      <c r="P48" s="435">
        <f t="shared" si="36"/>
        <v>0</v>
      </c>
      <c r="Q48" s="435">
        <v>0</v>
      </c>
      <c r="R48" s="435"/>
      <c r="S48" s="435">
        <f t="shared" si="30"/>
        <v>0</v>
      </c>
      <c r="T48" s="435">
        <v>0</v>
      </c>
      <c r="U48" s="435"/>
      <c r="V48" s="435">
        <f t="shared" si="31"/>
        <v>0</v>
      </c>
      <c r="X48" s="435">
        <v>0</v>
      </c>
      <c r="Z48" s="435">
        <f t="shared" si="32"/>
        <v>0</v>
      </c>
      <c r="AA48" s="435"/>
      <c r="AB48" s="435">
        <f t="shared" si="37"/>
        <v>0</v>
      </c>
    </row>
    <row r="50" spans="2:28" s="423" customFormat="1">
      <c r="C50" s="423" t="s">
        <v>532</v>
      </c>
      <c r="D50" s="434"/>
      <c r="E50" s="435"/>
      <c r="F50" s="435"/>
      <c r="G50" s="435"/>
      <c r="H50" s="435"/>
      <c r="I50" s="435"/>
      <c r="J50" s="435"/>
      <c r="K50" s="435"/>
      <c r="L50" s="435"/>
      <c r="M50" s="435"/>
      <c r="N50" s="435">
        <v>0</v>
      </c>
      <c r="O50" s="435"/>
      <c r="P50" s="435"/>
      <c r="Q50" s="435"/>
      <c r="R50" s="435"/>
      <c r="S50" s="435"/>
      <c r="T50" s="435">
        <v>0</v>
      </c>
      <c r="U50" s="435"/>
      <c r="V50" s="435"/>
      <c r="X50" s="435"/>
      <c r="Z50" s="435"/>
      <c r="AA50" s="435"/>
      <c r="AB50" s="435"/>
    </row>
    <row r="51" spans="2:28" s="423" customFormat="1">
      <c r="D51" s="423" t="s">
        <v>550</v>
      </c>
      <c r="E51" s="435">
        <v>0</v>
      </c>
      <c r="F51" s="435"/>
      <c r="G51" s="435">
        <f t="shared" ref="G51:G52" si="38">SUM(E51:F51)</f>
        <v>0</v>
      </c>
      <c r="H51" s="435">
        <v>0</v>
      </c>
      <c r="I51" s="435"/>
      <c r="J51" s="435">
        <f t="shared" ref="J51:J52" si="39">SUM(H51:I51)</f>
        <v>0</v>
      </c>
      <c r="K51" s="435">
        <v>0</v>
      </c>
      <c r="L51" s="435"/>
      <c r="M51" s="435">
        <f t="shared" ref="M51:M52" si="40">SUM(K51:L51)</f>
        <v>0</v>
      </c>
      <c r="N51" s="435">
        <v>0</v>
      </c>
      <c r="O51" s="435"/>
      <c r="P51" s="435">
        <f t="shared" ref="P51:P52" si="41">SUM(N51:O51)</f>
        <v>0</v>
      </c>
      <c r="Q51" s="435">
        <v>0</v>
      </c>
      <c r="R51" s="435"/>
      <c r="S51" s="435">
        <f t="shared" ref="S51:S52" si="42">SUM(Q51:R51)</f>
        <v>0</v>
      </c>
      <c r="T51" s="435">
        <v>0</v>
      </c>
      <c r="U51" s="435"/>
      <c r="V51" s="435">
        <f t="shared" ref="V51:V52" si="43">SUM(T51:U51)</f>
        <v>0</v>
      </c>
      <c r="X51" s="435">
        <v>0</v>
      </c>
      <c r="Z51" s="435">
        <f t="shared" ref="Z51:Z52" si="44">SUM(G51,J51,M51,P51,S51,V51)</f>
        <v>0</v>
      </c>
      <c r="AA51" s="435"/>
      <c r="AB51" s="435">
        <f t="shared" ref="AB51:AB52" si="45">SUM(Z51:AA51)</f>
        <v>0</v>
      </c>
    </row>
    <row r="52" spans="2:28" s="423" customFormat="1">
      <c r="D52" s="423" t="s">
        <v>551</v>
      </c>
      <c r="E52" s="435">
        <v>0</v>
      </c>
      <c r="F52" s="435"/>
      <c r="G52" s="435">
        <f t="shared" si="38"/>
        <v>0</v>
      </c>
      <c r="H52" s="435">
        <v>0</v>
      </c>
      <c r="I52" s="435"/>
      <c r="J52" s="435">
        <f t="shared" si="39"/>
        <v>0</v>
      </c>
      <c r="K52" s="435">
        <v>0</v>
      </c>
      <c r="L52" s="435"/>
      <c r="M52" s="435">
        <f t="shared" si="40"/>
        <v>0</v>
      </c>
      <c r="N52" s="435">
        <v>0</v>
      </c>
      <c r="O52" s="435"/>
      <c r="P52" s="435">
        <f t="shared" si="41"/>
        <v>0</v>
      </c>
      <c r="Q52" s="435">
        <v>0</v>
      </c>
      <c r="R52" s="435"/>
      <c r="S52" s="435">
        <f t="shared" si="42"/>
        <v>0</v>
      </c>
      <c r="T52" s="435">
        <v>0</v>
      </c>
      <c r="U52" s="435"/>
      <c r="V52" s="435">
        <f t="shared" si="43"/>
        <v>0</v>
      </c>
      <c r="X52" s="435">
        <v>0</v>
      </c>
      <c r="Z52" s="435">
        <f t="shared" si="44"/>
        <v>0</v>
      </c>
      <c r="AA52" s="435"/>
      <c r="AB52" s="435">
        <f t="shared" si="45"/>
        <v>0</v>
      </c>
    </row>
    <row r="53" spans="2:28" s="423" customFormat="1">
      <c r="E53" s="441"/>
      <c r="F53" s="441"/>
      <c r="G53" s="441"/>
      <c r="H53" s="441"/>
      <c r="I53" s="441"/>
      <c r="J53" s="441"/>
      <c r="K53" s="441"/>
      <c r="L53" s="441"/>
      <c r="M53" s="441"/>
      <c r="N53" s="441"/>
      <c r="O53" s="441"/>
      <c r="P53" s="441"/>
      <c r="Q53" s="441"/>
      <c r="R53" s="441"/>
      <c r="S53" s="441"/>
      <c r="T53" s="441"/>
      <c r="U53" s="441"/>
      <c r="V53" s="441"/>
      <c r="X53" s="441"/>
      <c r="Z53" s="441"/>
      <c r="AA53" s="441"/>
      <c r="AB53" s="441"/>
    </row>
    <row r="54" spans="2:28" s="427" customFormat="1" ht="13">
      <c r="C54" s="427" t="s">
        <v>178</v>
      </c>
      <c r="E54" s="442">
        <f t="shared" ref="E54:X54" si="46">SUM(E51:E52,E45:E48,E42:E44,E41)</f>
        <v>0</v>
      </c>
      <c r="F54" s="442">
        <f t="shared" si="46"/>
        <v>0</v>
      </c>
      <c r="G54" s="442">
        <f t="shared" si="46"/>
        <v>0</v>
      </c>
      <c r="H54" s="442">
        <f t="shared" si="46"/>
        <v>0</v>
      </c>
      <c r="I54" s="442">
        <f t="shared" si="46"/>
        <v>0</v>
      </c>
      <c r="J54" s="442">
        <f t="shared" si="46"/>
        <v>0</v>
      </c>
      <c r="K54" s="442">
        <f t="shared" si="46"/>
        <v>0</v>
      </c>
      <c r="L54" s="442">
        <f t="shared" si="46"/>
        <v>0</v>
      </c>
      <c r="M54" s="442">
        <f t="shared" si="46"/>
        <v>0</v>
      </c>
      <c r="N54" s="442">
        <f t="shared" si="46"/>
        <v>0</v>
      </c>
      <c r="O54" s="442">
        <f t="shared" si="46"/>
        <v>0</v>
      </c>
      <c r="P54" s="442">
        <f t="shared" si="46"/>
        <v>0</v>
      </c>
      <c r="Q54" s="442">
        <f t="shared" si="46"/>
        <v>0</v>
      </c>
      <c r="R54" s="442">
        <f t="shared" si="46"/>
        <v>0</v>
      </c>
      <c r="S54" s="442">
        <f t="shared" si="46"/>
        <v>0</v>
      </c>
      <c r="T54" s="442">
        <f t="shared" si="46"/>
        <v>0</v>
      </c>
      <c r="U54" s="442">
        <f t="shared" si="46"/>
        <v>0</v>
      </c>
      <c r="V54" s="442">
        <f t="shared" si="46"/>
        <v>0</v>
      </c>
      <c r="W54" s="505">
        <f t="shared" si="46"/>
        <v>0</v>
      </c>
      <c r="X54" s="442">
        <f t="shared" si="46"/>
        <v>0</v>
      </c>
      <c r="Z54" s="442">
        <f>SUM(Z51:Z52,Z45:Z48,Z42:Z44,Z41)</f>
        <v>0</v>
      </c>
      <c r="AA54" s="442">
        <f>SUM(AA51:AA52,AA45:AA48,AA42:AA44,AA41)</f>
        <v>0</v>
      </c>
      <c r="AB54" s="442">
        <f>SUM(AB51:AB52,AB45:AB48,AB42:AB44,AB41)</f>
        <v>0</v>
      </c>
    </row>
    <row r="55" spans="2:28" s="427" customFormat="1" ht="13">
      <c r="E55" s="443"/>
      <c r="F55" s="443"/>
      <c r="G55" s="443"/>
      <c r="H55" s="443"/>
      <c r="I55" s="443"/>
      <c r="J55" s="443"/>
      <c r="K55" s="443"/>
      <c r="L55" s="443"/>
      <c r="M55" s="443"/>
      <c r="N55" s="443"/>
      <c r="O55" s="443"/>
      <c r="P55" s="443"/>
      <c r="Q55" s="443"/>
      <c r="R55" s="443"/>
      <c r="S55" s="443"/>
      <c r="T55" s="443"/>
      <c r="U55" s="443"/>
      <c r="V55" s="443"/>
      <c r="X55" s="443"/>
      <c r="Z55" s="443"/>
      <c r="AA55" s="443"/>
      <c r="AB55" s="443"/>
    </row>
    <row r="56" spans="2:28" s="423" customFormat="1">
      <c r="C56" s="423" t="s">
        <v>433</v>
      </c>
      <c r="E56" s="441"/>
      <c r="F56" s="441"/>
      <c r="G56" s="441"/>
      <c r="H56" s="441"/>
      <c r="I56" s="441"/>
      <c r="J56" s="441"/>
      <c r="K56" s="441"/>
      <c r="L56" s="441"/>
      <c r="M56" s="441"/>
      <c r="N56" s="441"/>
      <c r="O56" s="441"/>
      <c r="P56" s="441"/>
      <c r="Q56" s="441"/>
      <c r="R56" s="441"/>
      <c r="S56" s="441"/>
      <c r="T56" s="441"/>
      <c r="U56" s="441"/>
      <c r="V56" s="441"/>
      <c r="X56" s="441">
        <v>0</v>
      </c>
      <c r="Z56" s="441">
        <v>0</v>
      </c>
      <c r="AA56" s="441">
        <v>0</v>
      </c>
      <c r="AB56" s="441">
        <v>0</v>
      </c>
    </row>
    <row r="57" spans="2:28" s="427" customFormat="1" ht="13">
      <c r="C57" s="427" t="s">
        <v>434</v>
      </c>
      <c r="E57" s="444">
        <f t="shared" ref="E57:Q57" si="47">SUM(E54:E56)</f>
        <v>0</v>
      </c>
      <c r="F57" s="444"/>
      <c r="G57" s="444">
        <f t="shared" si="47"/>
        <v>0</v>
      </c>
      <c r="H57" s="444">
        <f t="shared" si="47"/>
        <v>0</v>
      </c>
      <c r="I57" s="444"/>
      <c r="J57" s="444">
        <f t="shared" ref="J57:K57" si="48">SUM(J54:J56)</f>
        <v>0</v>
      </c>
      <c r="K57" s="444">
        <f t="shared" si="48"/>
        <v>0</v>
      </c>
      <c r="L57" s="444"/>
      <c r="M57" s="444">
        <f t="shared" ref="M57:N57" si="49">SUM(M54:M56)</f>
        <v>0</v>
      </c>
      <c r="N57" s="444">
        <f t="shared" si="49"/>
        <v>0</v>
      </c>
      <c r="O57" s="444"/>
      <c r="P57" s="444">
        <f t="shared" ref="P57" si="50">SUM(P54:P56)</f>
        <v>0</v>
      </c>
      <c r="Q57" s="444">
        <f t="shared" si="47"/>
        <v>0</v>
      </c>
      <c r="R57" s="444"/>
      <c r="S57" s="444">
        <f t="shared" ref="S57:T57" si="51">SUM(S54:S56)</f>
        <v>0</v>
      </c>
      <c r="T57" s="444">
        <f t="shared" si="51"/>
        <v>0</v>
      </c>
      <c r="U57" s="444"/>
      <c r="V57" s="444">
        <f t="shared" ref="V57" si="52">SUM(V54:V56)</f>
        <v>0</v>
      </c>
      <c r="X57" s="444">
        <f t="shared" ref="X57" si="53">SUM(X54:X56)</f>
        <v>0</v>
      </c>
      <c r="Z57" s="444">
        <f t="shared" ref="Z57:AB57" si="54">SUM(Z54:Z56)</f>
        <v>0</v>
      </c>
      <c r="AA57" s="444">
        <f t="shared" si="54"/>
        <v>0</v>
      </c>
      <c r="AB57" s="444">
        <f t="shared" si="54"/>
        <v>0</v>
      </c>
    </row>
    <row r="58" spans="2:28" s="427" customFormat="1" ht="13">
      <c r="E58" s="443"/>
      <c r="F58" s="443"/>
      <c r="G58" s="443"/>
      <c r="H58" s="443"/>
      <c r="I58" s="443"/>
      <c r="J58" s="443"/>
      <c r="K58" s="443"/>
      <c r="L58" s="443"/>
      <c r="M58" s="443"/>
      <c r="N58" s="443"/>
      <c r="O58" s="443"/>
      <c r="P58" s="443"/>
      <c r="Q58" s="443"/>
      <c r="R58" s="443"/>
      <c r="S58" s="443"/>
      <c r="T58" s="443"/>
      <c r="U58" s="443"/>
      <c r="V58" s="443"/>
      <c r="X58" s="443"/>
      <c r="Z58" s="443"/>
      <c r="AA58" s="443"/>
      <c r="AB58" s="443"/>
    </row>
    <row r="59" spans="2:28" s="427" customFormat="1" ht="13">
      <c r="D59" s="445" t="s">
        <v>435</v>
      </c>
      <c r="E59" s="446">
        <v>0</v>
      </c>
      <c r="F59" s="446"/>
      <c r="G59" s="446">
        <f>'Consol SoFP 23 &amp; 22'!H21</f>
        <v>0</v>
      </c>
      <c r="H59" s="446">
        <f>'Consol SoFP 23 &amp; 22'!I21</f>
        <v>0</v>
      </c>
      <c r="I59" s="446">
        <f>'Consol SoFP 23 &amp; 22'!J21</f>
        <v>0</v>
      </c>
      <c r="J59" s="446">
        <f>'Consol SoFP 23 &amp; 22'!K21</f>
        <v>0</v>
      </c>
      <c r="K59" s="446">
        <f>'Consol SoFP 23 &amp; 22'!L21</f>
        <v>0</v>
      </c>
      <c r="L59" s="446">
        <f>'Consol SoFP 23 &amp; 22'!M21</f>
        <v>0</v>
      </c>
      <c r="M59" s="446">
        <f>'Consol SoFP 23 &amp; 22'!N21</f>
        <v>0</v>
      </c>
      <c r="N59" s="446">
        <f>'Consol SoFP 23 &amp; 22'!O21</f>
        <v>0</v>
      </c>
      <c r="O59" s="446">
        <f>'Consol SoFP 23 &amp; 22'!P21</f>
        <v>0</v>
      </c>
      <c r="P59" s="446">
        <f>'Consol SoFP 23 &amp; 22'!Q21</f>
        <v>0</v>
      </c>
      <c r="Q59" s="446">
        <f>'Consol SoFP 23 &amp; 22'!R21</f>
        <v>0</v>
      </c>
      <c r="R59" s="446">
        <f>'Consol SoFP 23 &amp; 22'!S21</f>
        <v>0</v>
      </c>
      <c r="S59" s="446">
        <f>'Consol SoFP 23 &amp; 22'!T21</f>
        <v>0</v>
      </c>
      <c r="T59" s="446">
        <f>'Consol SoFP 23 &amp; 22'!U21</f>
        <v>0</v>
      </c>
      <c r="U59" s="446">
        <f>'Consol SoFP 23 &amp; 22'!V21</f>
        <v>0</v>
      </c>
      <c r="V59" s="446">
        <f>'Consol SoFP 23 &amp; 22'!W21</f>
        <v>0</v>
      </c>
      <c r="X59" s="446">
        <v>0</v>
      </c>
      <c r="Z59" s="446">
        <v>0</v>
      </c>
      <c r="AA59" s="446">
        <v>0</v>
      </c>
      <c r="AB59" s="446">
        <v>0</v>
      </c>
    </row>
    <row r="60" spans="2:28" s="423" customFormat="1" ht="13">
      <c r="B60" s="417"/>
      <c r="C60" s="417"/>
      <c r="D60" s="445" t="s">
        <v>111</v>
      </c>
      <c r="E60" s="442">
        <f>ROUND(E57-E59,0)</f>
        <v>0</v>
      </c>
      <c r="F60" s="442">
        <f t="shared" ref="F60:V60" si="55">ROUND(F57-F59,0)</f>
        <v>0</v>
      </c>
      <c r="G60" s="442">
        <f t="shared" si="55"/>
        <v>0</v>
      </c>
      <c r="H60" s="442">
        <f t="shared" si="55"/>
        <v>0</v>
      </c>
      <c r="I60" s="442">
        <f t="shared" si="55"/>
        <v>0</v>
      </c>
      <c r="J60" s="442">
        <f t="shared" si="55"/>
        <v>0</v>
      </c>
      <c r="K60" s="442">
        <f t="shared" si="55"/>
        <v>0</v>
      </c>
      <c r="L60" s="442">
        <f t="shared" si="55"/>
        <v>0</v>
      </c>
      <c r="M60" s="442">
        <f t="shared" si="55"/>
        <v>0</v>
      </c>
      <c r="N60" s="442">
        <f t="shared" si="55"/>
        <v>0</v>
      </c>
      <c r="O60" s="442">
        <f t="shared" si="55"/>
        <v>0</v>
      </c>
      <c r="P60" s="442">
        <f t="shared" si="55"/>
        <v>0</v>
      </c>
      <c r="Q60" s="442">
        <f t="shared" si="55"/>
        <v>0</v>
      </c>
      <c r="R60" s="442">
        <f t="shared" si="55"/>
        <v>0</v>
      </c>
      <c r="S60" s="442">
        <f t="shared" si="55"/>
        <v>0</v>
      </c>
      <c r="T60" s="442">
        <f t="shared" si="55"/>
        <v>0</v>
      </c>
      <c r="U60" s="442">
        <f t="shared" si="55"/>
        <v>0</v>
      </c>
      <c r="V60" s="442">
        <f t="shared" si="55"/>
        <v>0</v>
      </c>
      <c r="X60" s="442">
        <f t="shared" ref="X60" si="56">X57-X59</f>
        <v>0</v>
      </c>
      <c r="Z60" s="442">
        <f t="shared" ref="Z60:AB60" si="57">ROUND(Z57-Z59,0)</f>
        <v>0</v>
      </c>
      <c r="AA60" s="442">
        <f t="shared" si="57"/>
        <v>0</v>
      </c>
      <c r="AB60" s="442">
        <f t="shared" si="57"/>
        <v>0</v>
      </c>
    </row>
    <row r="61" spans="2:28" s="449" customFormat="1" ht="13.5" thickBot="1">
      <c r="B61" s="447"/>
      <c r="C61" s="447"/>
      <c r="D61" s="447"/>
      <c r="E61" s="448"/>
      <c r="F61" s="448"/>
      <c r="G61" s="448"/>
      <c r="H61" s="448"/>
      <c r="I61" s="448"/>
      <c r="J61" s="448"/>
      <c r="K61" s="448"/>
      <c r="L61" s="448"/>
      <c r="M61" s="448"/>
      <c r="N61" s="448"/>
      <c r="O61" s="448"/>
      <c r="P61" s="448"/>
      <c r="Q61" s="448"/>
      <c r="R61" s="448"/>
      <c r="S61" s="448"/>
      <c r="T61" s="448"/>
      <c r="U61" s="448"/>
      <c r="V61" s="448"/>
      <c r="X61" s="448"/>
      <c r="Z61" s="448"/>
      <c r="AA61" s="448"/>
      <c r="AB61" s="448"/>
    </row>
    <row r="62" spans="2:28" s="417" customFormat="1" ht="13">
      <c r="B62" s="414" t="s">
        <v>438</v>
      </c>
      <c r="G62" s="425" t="s">
        <v>530</v>
      </c>
    </row>
    <row r="63" spans="2:28" s="423" customFormat="1" ht="13">
      <c r="E63" s="428" t="s">
        <v>426</v>
      </c>
      <c r="F63" s="428" t="s">
        <v>334</v>
      </c>
      <c r="G63" s="428" t="s">
        <v>427</v>
      </c>
      <c r="H63" s="428" t="s">
        <v>426</v>
      </c>
      <c r="I63" s="428" t="s">
        <v>334</v>
      </c>
      <c r="J63" s="428" t="s">
        <v>427</v>
      </c>
      <c r="K63" s="428" t="s">
        <v>426</v>
      </c>
      <c r="L63" s="428" t="s">
        <v>334</v>
      </c>
      <c r="M63" s="428" t="s">
        <v>427</v>
      </c>
      <c r="N63" s="428" t="s">
        <v>426</v>
      </c>
      <c r="O63" s="428" t="s">
        <v>334</v>
      </c>
      <c r="P63" s="428" t="s">
        <v>427</v>
      </c>
      <c r="Q63" s="428" t="s">
        <v>426</v>
      </c>
      <c r="R63" s="428" t="s">
        <v>334</v>
      </c>
      <c r="S63" s="428" t="s">
        <v>427</v>
      </c>
      <c r="T63" s="428" t="s">
        <v>426</v>
      </c>
      <c r="U63" s="428" t="s">
        <v>334</v>
      </c>
      <c r="V63" s="428" t="s">
        <v>427</v>
      </c>
      <c r="X63" s="428" t="s">
        <v>428</v>
      </c>
      <c r="Z63" s="428" t="s">
        <v>11</v>
      </c>
      <c r="AA63" s="428" t="s">
        <v>429</v>
      </c>
      <c r="AB63" s="428" t="s">
        <v>13</v>
      </c>
    </row>
    <row r="64" spans="2:28" s="423" customFormat="1" ht="13">
      <c r="E64" s="429">
        <v>45291</v>
      </c>
      <c r="F64" s="429"/>
      <c r="G64" s="429">
        <v>45291</v>
      </c>
      <c r="H64" s="429">
        <v>45291</v>
      </c>
      <c r="I64" s="429"/>
      <c r="J64" s="429">
        <v>45291</v>
      </c>
      <c r="K64" s="429">
        <v>45291</v>
      </c>
      <c r="L64" s="429"/>
      <c r="M64" s="429">
        <v>45291</v>
      </c>
      <c r="N64" s="429">
        <v>45291</v>
      </c>
      <c r="O64" s="429"/>
      <c r="P64" s="429">
        <v>45291</v>
      </c>
      <c r="Q64" s="429">
        <v>45291</v>
      </c>
      <c r="R64" s="429"/>
      <c r="S64" s="429">
        <v>45291</v>
      </c>
      <c r="T64" s="429">
        <v>45291</v>
      </c>
      <c r="U64" s="429"/>
      <c r="V64" s="429">
        <v>45291</v>
      </c>
      <c r="X64" s="429">
        <v>45291</v>
      </c>
      <c r="Z64" s="429">
        <v>45291</v>
      </c>
      <c r="AA64" s="429">
        <v>45291</v>
      </c>
      <c r="AB64" s="429">
        <v>45291</v>
      </c>
    </row>
    <row r="66" spans="3:28" s="438" customFormat="1">
      <c r="C66" s="423" t="s">
        <v>543</v>
      </c>
      <c r="D66" s="434"/>
      <c r="E66" s="435">
        <v>0</v>
      </c>
      <c r="F66" s="440"/>
      <c r="G66" s="440">
        <f t="shared" ref="G66:G80" si="58">SUM(E66:F66)</f>
        <v>0</v>
      </c>
      <c r="H66" s="435">
        <v>0</v>
      </c>
      <c r="I66" s="440"/>
      <c r="J66" s="440">
        <f t="shared" ref="J66:J72" si="59">SUM(H66:I66)</f>
        <v>0</v>
      </c>
      <c r="K66" s="440">
        <v>0</v>
      </c>
      <c r="L66" s="440"/>
      <c r="M66" s="440">
        <f t="shared" ref="M66:M72" si="60">SUM(K66:L66)</f>
        <v>0</v>
      </c>
      <c r="N66" s="440">
        <v>0</v>
      </c>
      <c r="O66" s="440"/>
      <c r="P66" s="440">
        <f t="shared" ref="P66:P72" si="61">SUM(N66:O66)</f>
        <v>0</v>
      </c>
      <c r="Q66" s="440">
        <v>0</v>
      </c>
      <c r="R66" s="440"/>
      <c r="S66" s="440">
        <f t="shared" ref="S66:S80" si="62">SUM(Q66:R66)</f>
        <v>0</v>
      </c>
      <c r="T66" s="440">
        <v>0</v>
      </c>
      <c r="U66" s="440"/>
      <c r="V66" s="440">
        <f t="shared" ref="V66:V80" si="63">SUM(T66:U66)</f>
        <v>0</v>
      </c>
      <c r="X66" s="440">
        <v>0</v>
      </c>
      <c r="Z66" s="435">
        <f t="shared" ref="Z66:Z72" si="64">SUM(G66,J66,M66,P66,S66,V66)</f>
        <v>0</v>
      </c>
      <c r="AA66" s="440">
        <v>0</v>
      </c>
      <c r="AB66" s="440">
        <f>SUM(Z66:AA66)</f>
        <v>0</v>
      </c>
    </row>
    <row r="67" spans="3:28" s="438" customFormat="1">
      <c r="C67" s="423"/>
      <c r="D67" s="423" t="s">
        <v>546</v>
      </c>
      <c r="E67" s="435">
        <v>602607419216.77502</v>
      </c>
      <c r="F67" s="440"/>
      <c r="G67" s="440">
        <f t="shared" si="58"/>
        <v>602607419216.77502</v>
      </c>
      <c r="H67" s="435">
        <v>0</v>
      </c>
      <c r="I67" s="440"/>
      <c r="J67" s="440">
        <f t="shared" si="59"/>
        <v>0</v>
      </c>
      <c r="K67" s="440">
        <v>0</v>
      </c>
      <c r="L67" s="440"/>
      <c r="M67" s="440">
        <f t="shared" si="60"/>
        <v>0</v>
      </c>
      <c r="N67" s="440">
        <v>0</v>
      </c>
      <c r="O67" s="440"/>
      <c r="P67" s="440">
        <f t="shared" si="61"/>
        <v>0</v>
      </c>
      <c r="Q67" s="440">
        <v>0</v>
      </c>
      <c r="R67" s="440"/>
      <c r="S67" s="440">
        <f t="shared" si="62"/>
        <v>0</v>
      </c>
      <c r="T67" s="440">
        <v>0</v>
      </c>
      <c r="U67" s="440"/>
      <c r="V67" s="440">
        <f t="shared" si="63"/>
        <v>0</v>
      </c>
      <c r="X67" s="440">
        <v>0</v>
      </c>
      <c r="Z67" s="435">
        <f t="shared" si="64"/>
        <v>602607419216.77502</v>
      </c>
      <c r="AA67" s="440">
        <f>'Elimination 23'!H62</f>
        <v>-602607419216.77502</v>
      </c>
      <c r="AB67" s="440">
        <f t="shared" ref="AB67:AB80" si="65">SUM(Z67:AA67)</f>
        <v>0</v>
      </c>
    </row>
    <row r="68" spans="3:28" s="423" customFormat="1">
      <c r="D68" s="423" t="s">
        <v>547</v>
      </c>
      <c r="E68" s="435">
        <v>9187565842.3500004</v>
      </c>
      <c r="F68" s="440"/>
      <c r="G68" s="440">
        <f t="shared" si="58"/>
        <v>9187565842.3500004</v>
      </c>
      <c r="H68" s="435">
        <v>0</v>
      </c>
      <c r="I68" s="440"/>
      <c r="J68" s="440">
        <f t="shared" si="59"/>
        <v>0</v>
      </c>
      <c r="K68" s="440">
        <v>0</v>
      </c>
      <c r="L68" s="440"/>
      <c r="M68" s="440">
        <f t="shared" si="60"/>
        <v>0</v>
      </c>
      <c r="N68" s="440">
        <v>0</v>
      </c>
      <c r="O68" s="440"/>
      <c r="P68" s="440">
        <f t="shared" si="61"/>
        <v>0</v>
      </c>
      <c r="Q68" s="440">
        <v>0</v>
      </c>
      <c r="R68" s="440"/>
      <c r="S68" s="440">
        <f t="shared" si="62"/>
        <v>0</v>
      </c>
      <c r="T68" s="440">
        <v>0</v>
      </c>
      <c r="U68" s="440"/>
      <c r="V68" s="440">
        <f t="shared" si="63"/>
        <v>0</v>
      </c>
      <c r="W68" s="438"/>
      <c r="X68" s="440">
        <v>0</v>
      </c>
      <c r="Y68" s="438"/>
      <c r="Z68" s="435">
        <f t="shared" si="64"/>
        <v>9187565842.3500004</v>
      </c>
      <c r="AA68" s="440">
        <f>'Elimination 23'!H63</f>
        <v>-9187565842.3500004</v>
      </c>
      <c r="AB68" s="440">
        <f t="shared" si="65"/>
        <v>0</v>
      </c>
    </row>
    <row r="69" spans="3:28" s="423" customFormat="1">
      <c r="D69" s="423" t="s">
        <v>548</v>
      </c>
      <c r="E69" s="435">
        <v>33728578502.849998</v>
      </c>
      <c r="F69" s="440"/>
      <c r="G69" s="440">
        <f t="shared" si="58"/>
        <v>33728578502.849998</v>
      </c>
      <c r="H69" s="435">
        <v>85479975</v>
      </c>
      <c r="I69" s="440"/>
      <c r="J69" s="440">
        <f t="shared" si="59"/>
        <v>85479975</v>
      </c>
      <c r="K69" s="440">
        <v>0</v>
      </c>
      <c r="L69" s="440"/>
      <c r="M69" s="440">
        <f t="shared" si="60"/>
        <v>0</v>
      </c>
      <c r="N69" s="440">
        <v>0</v>
      </c>
      <c r="O69" s="440"/>
      <c r="P69" s="440">
        <f t="shared" si="61"/>
        <v>0</v>
      </c>
      <c r="Q69" s="440">
        <v>0</v>
      </c>
      <c r="R69" s="440"/>
      <c r="S69" s="440">
        <f t="shared" si="62"/>
        <v>0</v>
      </c>
      <c r="T69" s="440">
        <v>0</v>
      </c>
      <c r="U69" s="440"/>
      <c r="V69" s="440">
        <f t="shared" si="63"/>
        <v>0</v>
      </c>
      <c r="W69" s="438"/>
      <c r="X69" s="440">
        <v>0</v>
      </c>
      <c r="Y69" s="438"/>
      <c r="Z69" s="435">
        <f t="shared" si="64"/>
        <v>33814058477.849998</v>
      </c>
      <c r="AA69" s="440">
        <f>'Elimination 23'!H75+'Elimination 23'!H85</f>
        <v>-33814058477.849998</v>
      </c>
      <c r="AB69" s="440">
        <f t="shared" si="65"/>
        <v>0</v>
      </c>
    </row>
    <row r="70" spans="3:28" s="423" customFormat="1">
      <c r="D70" s="423" t="s">
        <v>545</v>
      </c>
      <c r="E70" s="435">
        <v>0</v>
      </c>
      <c r="F70" s="435"/>
      <c r="G70" s="435">
        <f t="shared" si="58"/>
        <v>0</v>
      </c>
      <c r="H70" s="435">
        <v>0</v>
      </c>
      <c r="I70" s="435"/>
      <c r="J70" s="435">
        <f t="shared" si="59"/>
        <v>0</v>
      </c>
      <c r="K70" s="440">
        <v>0</v>
      </c>
      <c r="L70" s="435"/>
      <c r="M70" s="435">
        <f t="shared" si="60"/>
        <v>0</v>
      </c>
      <c r="N70" s="440">
        <v>0</v>
      </c>
      <c r="O70" s="435"/>
      <c r="P70" s="435">
        <f t="shared" si="61"/>
        <v>0</v>
      </c>
      <c r="Q70" s="435">
        <v>0</v>
      </c>
      <c r="R70" s="435"/>
      <c r="S70" s="435">
        <f t="shared" si="62"/>
        <v>0</v>
      </c>
      <c r="T70" s="440">
        <v>0</v>
      </c>
      <c r="U70" s="435"/>
      <c r="V70" s="435">
        <f t="shared" si="63"/>
        <v>0</v>
      </c>
      <c r="X70" s="435">
        <v>0</v>
      </c>
      <c r="Z70" s="435">
        <f t="shared" si="64"/>
        <v>0</v>
      </c>
      <c r="AA70" s="435"/>
      <c r="AB70" s="435">
        <f t="shared" si="65"/>
        <v>0</v>
      </c>
    </row>
    <row r="71" spans="3:28" s="423" customFormat="1">
      <c r="D71" s="423" t="s">
        <v>549</v>
      </c>
      <c r="E71" s="435">
        <v>0</v>
      </c>
      <c r="F71" s="435"/>
      <c r="G71" s="435">
        <f t="shared" si="58"/>
        <v>0</v>
      </c>
      <c r="H71" s="435">
        <v>0</v>
      </c>
      <c r="I71" s="435"/>
      <c r="J71" s="435">
        <f t="shared" si="59"/>
        <v>0</v>
      </c>
      <c r="K71" s="440">
        <v>0</v>
      </c>
      <c r="L71" s="435"/>
      <c r="M71" s="435">
        <f t="shared" si="60"/>
        <v>0</v>
      </c>
      <c r="N71" s="440">
        <v>0</v>
      </c>
      <c r="O71" s="435"/>
      <c r="P71" s="435">
        <f t="shared" si="61"/>
        <v>0</v>
      </c>
      <c r="Q71" s="435">
        <v>0</v>
      </c>
      <c r="R71" s="435"/>
      <c r="S71" s="435">
        <f t="shared" si="62"/>
        <v>0</v>
      </c>
      <c r="T71" s="440">
        <v>0</v>
      </c>
      <c r="U71" s="435"/>
      <c r="V71" s="435">
        <f t="shared" si="63"/>
        <v>0</v>
      </c>
      <c r="X71" s="435">
        <v>0</v>
      </c>
      <c r="Z71" s="435">
        <f t="shared" si="64"/>
        <v>0</v>
      </c>
      <c r="AA71" s="435"/>
      <c r="AB71" s="435">
        <f t="shared" si="65"/>
        <v>0</v>
      </c>
    </row>
    <row r="72" spans="3:28" s="423" customFormat="1">
      <c r="D72" s="434" t="s">
        <v>544</v>
      </c>
      <c r="E72" s="435">
        <v>144237470598.54584</v>
      </c>
      <c r="F72" s="435">
        <f>'Consol SoFP 23 &amp; 22'!G26</f>
        <v>0</v>
      </c>
      <c r="G72" s="435">
        <f t="shared" si="58"/>
        <v>144237470598.54584</v>
      </c>
      <c r="H72" s="435">
        <v>40883219692.875</v>
      </c>
      <c r="I72" s="435"/>
      <c r="J72" s="435">
        <f t="shared" si="59"/>
        <v>40883219692.875</v>
      </c>
      <c r="K72" s="440">
        <v>0</v>
      </c>
      <c r="L72" s="435"/>
      <c r="M72" s="435">
        <f t="shared" si="60"/>
        <v>0</v>
      </c>
      <c r="N72" s="440">
        <v>0</v>
      </c>
      <c r="O72" s="435"/>
      <c r="P72" s="435">
        <f t="shared" si="61"/>
        <v>0</v>
      </c>
      <c r="Q72" s="435">
        <v>0</v>
      </c>
      <c r="R72" s="435"/>
      <c r="S72" s="435">
        <f t="shared" si="62"/>
        <v>0</v>
      </c>
      <c r="T72" s="440">
        <v>0</v>
      </c>
      <c r="U72" s="435"/>
      <c r="V72" s="435">
        <f t="shared" si="63"/>
        <v>0</v>
      </c>
      <c r="X72" s="435">
        <v>0</v>
      </c>
      <c r="Z72" s="435">
        <f t="shared" si="64"/>
        <v>185120690291.42084</v>
      </c>
      <c r="AA72" s="435">
        <f>'Elimination 23'!H73+'Elimination 23'!H84+'Elimination 23'!G109</f>
        <v>-185120690291.42084</v>
      </c>
      <c r="AB72" s="435">
        <f t="shared" si="65"/>
        <v>0</v>
      </c>
    </row>
    <row r="73" spans="3:28" s="423" customFormat="1">
      <c r="D73" s="434"/>
      <c r="E73" s="435"/>
      <c r="F73" s="435"/>
      <c r="G73" s="435"/>
      <c r="H73" s="435"/>
      <c r="I73" s="435"/>
      <c r="J73" s="435"/>
      <c r="K73" s="440"/>
      <c r="L73" s="435"/>
      <c r="M73" s="435"/>
      <c r="N73" s="440"/>
      <c r="O73" s="435"/>
      <c r="P73" s="435"/>
      <c r="Q73" s="435"/>
      <c r="R73" s="435"/>
      <c r="S73" s="435"/>
      <c r="T73" s="440"/>
      <c r="U73" s="435"/>
      <c r="V73" s="435"/>
      <c r="X73" s="435"/>
      <c r="Z73" s="435"/>
      <c r="AA73" s="435"/>
      <c r="AB73" s="435"/>
    </row>
    <row r="74" spans="3:28" s="423" customFormat="1">
      <c r="C74" s="423" t="s">
        <v>532</v>
      </c>
      <c r="D74" s="434"/>
      <c r="E74" s="435"/>
      <c r="F74" s="435"/>
      <c r="G74" s="435"/>
      <c r="H74" s="435"/>
      <c r="I74" s="435"/>
      <c r="J74" s="435"/>
      <c r="K74" s="435"/>
      <c r="L74" s="435"/>
      <c r="M74" s="435"/>
      <c r="N74" s="435">
        <v>0</v>
      </c>
      <c r="O74" s="435"/>
      <c r="P74" s="435"/>
      <c r="Q74" s="435"/>
      <c r="R74" s="435"/>
      <c r="S74" s="435"/>
      <c r="T74" s="435">
        <v>0</v>
      </c>
      <c r="U74" s="435"/>
      <c r="V74" s="435"/>
      <c r="X74" s="435"/>
      <c r="Z74" s="435"/>
      <c r="AA74" s="435"/>
      <c r="AB74" s="435"/>
    </row>
    <row r="75" spans="3:28" s="423" customFormat="1">
      <c r="D75" s="423" t="s">
        <v>550</v>
      </c>
      <c r="E75" s="435">
        <v>951901390.125</v>
      </c>
      <c r="F75" s="435"/>
      <c r="G75" s="435">
        <f t="shared" si="58"/>
        <v>951901390.125</v>
      </c>
      <c r="H75" s="435">
        <v>0</v>
      </c>
      <c r="I75" s="435"/>
      <c r="J75" s="435">
        <f t="shared" ref="J75:J80" si="66">SUM(H75:I75)</f>
        <v>0</v>
      </c>
      <c r="K75" s="440">
        <v>0</v>
      </c>
      <c r="L75" s="435"/>
      <c r="M75" s="435">
        <f t="shared" ref="M75:M80" si="67">SUM(K75:L75)</f>
        <v>0</v>
      </c>
      <c r="N75" s="440">
        <v>0</v>
      </c>
      <c r="O75" s="435"/>
      <c r="P75" s="435">
        <f t="shared" ref="P75:P80" si="68">SUM(N75:O75)</f>
        <v>0</v>
      </c>
      <c r="Q75" s="435">
        <v>0</v>
      </c>
      <c r="R75" s="435"/>
      <c r="S75" s="435">
        <f t="shared" si="62"/>
        <v>0</v>
      </c>
      <c r="T75" s="440">
        <v>0</v>
      </c>
      <c r="U75" s="435"/>
      <c r="V75" s="435">
        <f t="shared" si="63"/>
        <v>0</v>
      </c>
      <c r="X75" s="435">
        <v>0</v>
      </c>
      <c r="Z75" s="435">
        <f t="shared" ref="Z75:Z80" si="69">SUM(G75,J75,M75,P75,S75,V75)</f>
        <v>951901390.125</v>
      </c>
      <c r="AA75" s="435"/>
      <c r="AB75" s="435">
        <f t="shared" si="65"/>
        <v>951901390.125</v>
      </c>
    </row>
    <row r="76" spans="3:28" s="423" customFormat="1">
      <c r="D76" s="423" t="s">
        <v>551</v>
      </c>
      <c r="E76" s="435">
        <v>0</v>
      </c>
      <c r="F76" s="435"/>
      <c r="G76" s="435">
        <f t="shared" si="58"/>
        <v>0</v>
      </c>
      <c r="H76" s="435">
        <v>0</v>
      </c>
      <c r="I76" s="435"/>
      <c r="J76" s="435">
        <f t="shared" si="66"/>
        <v>0</v>
      </c>
      <c r="K76" s="440">
        <v>0</v>
      </c>
      <c r="L76" s="435"/>
      <c r="M76" s="435">
        <f t="shared" si="67"/>
        <v>0</v>
      </c>
      <c r="N76" s="440">
        <v>0</v>
      </c>
      <c r="O76" s="435"/>
      <c r="P76" s="435">
        <f t="shared" si="68"/>
        <v>0</v>
      </c>
      <c r="Q76" s="435">
        <v>0</v>
      </c>
      <c r="R76" s="435"/>
      <c r="S76" s="435">
        <f t="shared" si="62"/>
        <v>0</v>
      </c>
      <c r="T76" s="440">
        <v>0</v>
      </c>
      <c r="U76" s="435"/>
      <c r="V76" s="435">
        <f t="shared" si="63"/>
        <v>0</v>
      </c>
      <c r="X76" s="435">
        <v>0</v>
      </c>
      <c r="Z76" s="435">
        <f t="shared" si="69"/>
        <v>0</v>
      </c>
      <c r="AA76" s="435"/>
      <c r="AB76" s="435">
        <f t="shared" si="65"/>
        <v>0</v>
      </c>
    </row>
    <row r="77" spans="3:28" s="438" customFormat="1">
      <c r="C77" s="423"/>
      <c r="D77" s="423" t="s">
        <v>552</v>
      </c>
      <c r="E77" s="435">
        <v>13253447670.75</v>
      </c>
      <c r="F77" s="440"/>
      <c r="G77" s="440">
        <f>SUM(E77:F77)</f>
        <v>13253447670.75</v>
      </c>
      <c r="H77" s="435">
        <v>1719061514.0999999</v>
      </c>
      <c r="I77" s="440"/>
      <c r="J77" s="440">
        <f>SUM(H77:I77)</f>
        <v>1719061514.0999999</v>
      </c>
      <c r="K77" s="440">
        <v>0</v>
      </c>
      <c r="L77" s="440"/>
      <c r="M77" s="440">
        <f>SUM(K77:L77)</f>
        <v>0</v>
      </c>
      <c r="N77" s="440">
        <v>0</v>
      </c>
      <c r="O77" s="440"/>
      <c r="P77" s="440">
        <f>SUM(N77:O77)</f>
        <v>0</v>
      </c>
      <c r="Q77" s="440">
        <v>0</v>
      </c>
      <c r="R77" s="440"/>
      <c r="S77" s="440">
        <f>SUM(Q77:R77)</f>
        <v>0</v>
      </c>
      <c r="T77" s="440">
        <v>0</v>
      </c>
      <c r="U77" s="440"/>
      <c r="V77" s="440">
        <f>SUM(T77:U77)</f>
        <v>0</v>
      </c>
      <c r="X77" s="440">
        <v>0</v>
      </c>
      <c r="Z77" s="435">
        <f t="shared" si="69"/>
        <v>14972509184.85</v>
      </c>
      <c r="AA77" s="440"/>
      <c r="AB77" s="440">
        <f>SUM(Z77:AA77)</f>
        <v>14972509184.85</v>
      </c>
    </row>
    <row r="78" spans="3:28" s="423" customFormat="1">
      <c r="D78" s="423" t="s">
        <v>556</v>
      </c>
      <c r="E78" s="435">
        <v>7875000</v>
      </c>
      <c r="F78" s="435"/>
      <c r="G78" s="435">
        <f t="shared" si="58"/>
        <v>7875000</v>
      </c>
      <c r="H78" s="435">
        <v>0</v>
      </c>
      <c r="I78" s="435"/>
      <c r="J78" s="435">
        <f t="shared" si="66"/>
        <v>0</v>
      </c>
      <c r="K78" s="440">
        <v>0</v>
      </c>
      <c r="L78" s="435"/>
      <c r="M78" s="435">
        <f t="shared" si="67"/>
        <v>0</v>
      </c>
      <c r="N78" s="440">
        <v>0</v>
      </c>
      <c r="O78" s="435"/>
      <c r="P78" s="435">
        <f t="shared" si="68"/>
        <v>0</v>
      </c>
      <c r="Q78" s="435">
        <v>0</v>
      </c>
      <c r="R78" s="435"/>
      <c r="S78" s="435">
        <f t="shared" si="62"/>
        <v>0</v>
      </c>
      <c r="T78" s="440">
        <v>0</v>
      </c>
      <c r="U78" s="435"/>
      <c r="V78" s="435">
        <f t="shared" si="63"/>
        <v>0</v>
      </c>
      <c r="X78" s="435">
        <v>0</v>
      </c>
      <c r="Z78" s="435">
        <f t="shared" si="69"/>
        <v>7875000</v>
      </c>
      <c r="AA78" s="435"/>
      <c r="AB78" s="435">
        <f t="shared" si="65"/>
        <v>7875000</v>
      </c>
    </row>
    <row r="79" spans="3:28" s="423" customFormat="1">
      <c r="D79" s="423" t="s">
        <v>554</v>
      </c>
      <c r="E79" s="435">
        <v>7875000</v>
      </c>
      <c r="F79" s="440"/>
      <c r="G79" s="440">
        <f t="shared" si="58"/>
        <v>7875000</v>
      </c>
      <c r="H79" s="435">
        <v>86625000</v>
      </c>
      <c r="I79" s="440"/>
      <c r="J79" s="440">
        <f t="shared" si="66"/>
        <v>86625000</v>
      </c>
      <c r="K79" s="440">
        <v>0</v>
      </c>
      <c r="L79" s="440"/>
      <c r="M79" s="440">
        <f t="shared" si="67"/>
        <v>0</v>
      </c>
      <c r="N79" s="440">
        <v>0</v>
      </c>
      <c r="O79" s="440"/>
      <c r="P79" s="440">
        <f t="shared" si="68"/>
        <v>0</v>
      </c>
      <c r="Q79" s="440">
        <v>0</v>
      </c>
      <c r="R79" s="440"/>
      <c r="S79" s="440">
        <f t="shared" si="62"/>
        <v>0</v>
      </c>
      <c r="T79" s="440">
        <v>0</v>
      </c>
      <c r="U79" s="440"/>
      <c r="V79" s="440">
        <f t="shared" si="63"/>
        <v>0</v>
      </c>
      <c r="W79" s="438"/>
      <c r="X79" s="440">
        <v>0</v>
      </c>
      <c r="Y79" s="438"/>
      <c r="Z79" s="435">
        <f t="shared" si="69"/>
        <v>94500000</v>
      </c>
      <c r="AA79" s="440"/>
      <c r="AB79" s="440">
        <f t="shared" si="65"/>
        <v>94500000</v>
      </c>
    </row>
    <row r="80" spans="3:28" s="423" customFormat="1">
      <c r="D80" s="423" t="s">
        <v>555</v>
      </c>
      <c r="E80" s="435">
        <v>0</v>
      </c>
      <c r="F80" s="435"/>
      <c r="G80" s="435">
        <f t="shared" si="58"/>
        <v>0</v>
      </c>
      <c r="H80" s="435">
        <v>4299620834.25</v>
      </c>
      <c r="I80" s="435"/>
      <c r="J80" s="435">
        <f t="shared" si="66"/>
        <v>4299620834.25</v>
      </c>
      <c r="K80" s="440">
        <v>0</v>
      </c>
      <c r="L80" s="435"/>
      <c r="M80" s="435">
        <f t="shared" si="67"/>
        <v>0</v>
      </c>
      <c r="N80" s="440">
        <v>0</v>
      </c>
      <c r="O80" s="435"/>
      <c r="P80" s="435">
        <f t="shared" si="68"/>
        <v>0</v>
      </c>
      <c r="Q80" s="435">
        <v>0</v>
      </c>
      <c r="R80" s="435"/>
      <c r="S80" s="435">
        <f t="shared" si="62"/>
        <v>0</v>
      </c>
      <c r="T80" s="440">
        <v>0</v>
      </c>
      <c r="U80" s="435"/>
      <c r="V80" s="435">
        <f t="shared" si="63"/>
        <v>0</v>
      </c>
      <c r="X80" s="435">
        <v>0</v>
      </c>
      <c r="Z80" s="435">
        <f t="shared" si="69"/>
        <v>4299620834.25</v>
      </c>
      <c r="AA80" s="435"/>
      <c r="AB80" s="435">
        <f t="shared" si="65"/>
        <v>4299620834.25</v>
      </c>
    </row>
    <row r="82" spans="2:28" s="427" customFormat="1" ht="13">
      <c r="C82" s="427" t="s">
        <v>178</v>
      </c>
      <c r="E82" s="442">
        <f>SUM(E66:E80)</f>
        <v>803982133221.39575</v>
      </c>
      <c r="F82" s="442"/>
      <c r="G82" s="442">
        <f>SUM(G66:G80)</f>
        <v>803982133221.39575</v>
      </c>
      <c r="H82" s="442">
        <f>SUM(H66:H80)</f>
        <v>47074007016.224998</v>
      </c>
      <c r="I82" s="442"/>
      <c r="J82" s="442">
        <f>SUM(J66:J80)</f>
        <v>47074007016.224998</v>
      </c>
      <c r="K82" s="442">
        <f>SUM(K66:K80)</f>
        <v>0</v>
      </c>
      <c r="L82" s="442"/>
      <c r="M82" s="442">
        <f>SUM(M66:M80)</f>
        <v>0</v>
      </c>
      <c r="N82" s="442">
        <f>SUM(N66:N80)</f>
        <v>0</v>
      </c>
      <c r="O82" s="442"/>
      <c r="P82" s="442">
        <f>SUM(P66:P80)</f>
        <v>0</v>
      </c>
      <c r="Q82" s="442">
        <f>SUM(Q66:Q80)</f>
        <v>0</v>
      </c>
      <c r="R82" s="442"/>
      <c r="S82" s="442">
        <f>SUM(S66:S80)</f>
        <v>0</v>
      </c>
      <c r="T82" s="442">
        <f>SUM(T66:T80)</f>
        <v>0</v>
      </c>
      <c r="U82" s="442"/>
      <c r="V82" s="442">
        <f>SUM(V66:V80)</f>
        <v>0</v>
      </c>
      <c r="X82" s="442">
        <f>SUM(X66:X80)</f>
        <v>0</v>
      </c>
      <c r="Z82" s="442">
        <f>SUM(Z66:Z80)</f>
        <v>851056140237.62073</v>
      </c>
      <c r="AA82" s="442">
        <f>SUM(AA66:AA80)</f>
        <v>-830729733828.39575</v>
      </c>
      <c r="AB82" s="442">
        <f>SUM(AB66:AB80)</f>
        <v>20326406409.224998</v>
      </c>
    </row>
    <row r="83" spans="2:28" s="423" customFormat="1">
      <c r="C83" s="423" t="s">
        <v>433</v>
      </c>
      <c r="E83" s="441"/>
      <c r="F83" s="441"/>
      <c r="G83" s="441"/>
      <c r="H83" s="441"/>
      <c r="I83" s="441"/>
      <c r="J83" s="441"/>
      <c r="K83" s="441"/>
      <c r="L83" s="441"/>
      <c r="M83" s="441"/>
      <c r="N83" s="441"/>
      <c r="O83" s="441"/>
      <c r="P83" s="441"/>
      <c r="Q83" s="441"/>
      <c r="R83" s="441"/>
      <c r="S83" s="441"/>
      <c r="T83" s="441"/>
      <c r="U83" s="441"/>
      <c r="V83" s="441"/>
      <c r="X83" s="441">
        <v>0</v>
      </c>
      <c r="Z83" s="441">
        <v>0</v>
      </c>
      <c r="AA83" s="441">
        <v>0</v>
      </c>
      <c r="AB83" s="441">
        <v>0</v>
      </c>
    </row>
    <row r="84" spans="2:28" s="427" customFormat="1" ht="13">
      <c r="C84" s="427" t="s">
        <v>439</v>
      </c>
      <c r="E84" s="444">
        <f>SUM(E82:E83)</f>
        <v>803982133221.39575</v>
      </c>
      <c r="F84" s="444"/>
      <c r="G84" s="444">
        <f>SUM(G82:G83)</f>
        <v>803982133221.39575</v>
      </c>
      <c r="H84" s="444">
        <f>SUM(H82:H83)</f>
        <v>47074007016.224998</v>
      </c>
      <c r="I84" s="444"/>
      <c r="J84" s="444">
        <f>SUM(J82:J83)</f>
        <v>47074007016.224998</v>
      </c>
      <c r="K84" s="444">
        <f>SUM(K82:K83)</f>
        <v>0</v>
      </c>
      <c r="L84" s="444"/>
      <c r="M84" s="444">
        <f>SUM(M82:M83)</f>
        <v>0</v>
      </c>
      <c r="N84" s="444">
        <f>SUM(N82:N83)</f>
        <v>0</v>
      </c>
      <c r="O84" s="444"/>
      <c r="P84" s="444">
        <f>SUM(P82:P83)</f>
        <v>0</v>
      </c>
      <c r="Q84" s="444">
        <f>SUM(Q82:Q83)</f>
        <v>0</v>
      </c>
      <c r="R84" s="444"/>
      <c r="S84" s="444">
        <f>SUM(S82:S83)</f>
        <v>0</v>
      </c>
      <c r="T84" s="444">
        <f>SUM(T82:T83)</f>
        <v>0</v>
      </c>
      <c r="U84" s="444"/>
      <c r="V84" s="444">
        <f>SUM(V82:V83)</f>
        <v>0</v>
      </c>
      <c r="X84" s="444">
        <f t="shared" ref="X84" si="70">SUM(X82:X83)</f>
        <v>0</v>
      </c>
      <c r="Z84" s="444">
        <f t="shared" ref="Z84:AB84" si="71">SUM(Z82:Z83)</f>
        <v>851056140237.62073</v>
      </c>
      <c r="AA84" s="444">
        <f t="shared" si="71"/>
        <v>-830729733828.39575</v>
      </c>
      <c r="AB84" s="444">
        <f t="shared" si="71"/>
        <v>20326406409.224998</v>
      </c>
    </row>
    <row r="85" spans="2:28" s="427" customFormat="1" ht="13">
      <c r="E85" s="443"/>
      <c r="F85" s="443"/>
      <c r="G85" s="443"/>
      <c r="H85" s="443"/>
      <c r="I85" s="443"/>
      <c r="J85" s="443"/>
      <c r="K85" s="443"/>
      <c r="L85" s="443"/>
      <c r="M85" s="443"/>
      <c r="N85" s="443"/>
      <c r="O85" s="443"/>
      <c r="P85" s="443"/>
      <c r="Q85" s="443"/>
      <c r="R85" s="443"/>
      <c r="S85" s="443"/>
      <c r="T85" s="443"/>
      <c r="U85" s="443"/>
      <c r="V85" s="443"/>
      <c r="X85" s="443"/>
      <c r="Z85" s="443"/>
      <c r="AA85" s="443"/>
      <c r="AB85" s="443"/>
    </row>
    <row r="86" spans="2:28" s="417" customFormat="1" ht="13">
      <c r="D86" s="445" t="s">
        <v>435</v>
      </c>
      <c r="E86" s="435">
        <f>'Consol SoFP 23 &amp; 22'!E26</f>
        <v>803982133222</v>
      </c>
      <c r="F86" s="435">
        <f>'Consol SoFP 23 &amp; 22'!G26</f>
        <v>0</v>
      </c>
      <c r="G86" s="435">
        <f>'Consol SoFP 23 &amp; 22'!H26</f>
        <v>803982133222</v>
      </c>
      <c r="H86" s="435">
        <f>'Consol SoFP 23 &amp; 22'!I26</f>
        <v>47074007016</v>
      </c>
      <c r="I86" s="435">
        <f>'Consol SoFP 23 &amp; 22'!J26</f>
        <v>0</v>
      </c>
      <c r="J86" s="435">
        <f>'Consol SoFP 23 &amp; 22'!K26</f>
        <v>47074007016</v>
      </c>
      <c r="K86" s="435">
        <f>'Consol SoFP 23 &amp; 22'!L26</f>
        <v>0</v>
      </c>
      <c r="L86" s="435">
        <f>'Consol SoFP 23 &amp; 22'!M26</f>
        <v>0</v>
      </c>
      <c r="M86" s="435">
        <f>'Consol SoFP 23 &amp; 22'!N26</f>
        <v>0</v>
      </c>
      <c r="N86" s="435">
        <f>'Consol SoFP 23 &amp; 22'!O26</f>
        <v>0</v>
      </c>
      <c r="O86" s="435">
        <f>'Consol SoFP 23 &amp; 22'!P26</f>
        <v>0</v>
      </c>
      <c r="P86" s="435">
        <f>'Consol SoFP 23 &amp; 22'!Q26</f>
        <v>0</v>
      </c>
      <c r="Q86" s="435">
        <f>'Consol SoFP 23 &amp; 22'!R26</f>
        <v>0</v>
      </c>
      <c r="R86" s="435">
        <f>'Consol SoFP 23 &amp; 22'!S26</f>
        <v>0</v>
      </c>
      <c r="S86" s="435">
        <f>'Consol SoFP 23 &amp; 22'!T26</f>
        <v>0</v>
      </c>
      <c r="T86" s="435">
        <f>'Consol SoFP 23 &amp; 22'!U26</f>
        <v>0</v>
      </c>
      <c r="U86" s="435">
        <f>'Consol SoFP 23 &amp; 22'!V26</f>
        <v>0</v>
      </c>
      <c r="V86" s="435">
        <f>'Consol SoFP 23 &amp; 22'!W26</f>
        <v>0</v>
      </c>
      <c r="X86" s="435">
        <v>0</v>
      </c>
      <c r="Z86" s="435">
        <f>'Consol SoFP 23 &amp; 22'!AB26</f>
        <v>851056140238</v>
      </c>
      <c r="AA86" s="435">
        <f>SUM('Consol SoFP 23 &amp; 22'!AC26:AD26)</f>
        <v>-830729733828.39587</v>
      </c>
      <c r="AB86" s="435">
        <f>'Consol SoFP 23 &amp; 22'!AE26</f>
        <v>20326406410</v>
      </c>
    </row>
    <row r="87" spans="2:28" s="417" customFormat="1" ht="13">
      <c r="D87" s="445" t="s">
        <v>111</v>
      </c>
      <c r="E87" s="442">
        <f>ROUND(E84-E86,0)</f>
        <v>-1</v>
      </c>
      <c r="F87" s="442">
        <f t="shared" ref="F87:V87" si="72">ROUND(F84-F86,0)</f>
        <v>0</v>
      </c>
      <c r="G87" s="442">
        <f t="shared" si="72"/>
        <v>-1</v>
      </c>
      <c r="H87" s="442">
        <f t="shared" si="72"/>
        <v>0</v>
      </c>
      <c r="I87" s="442">
        <f t="shared" si="72"/>
        <v>0</v>
      </c>
      <c r="J87" s="442">
        <f t="shared" si="72"/>
        <v>0</v>
      </c>
      <c r="K87" s="442">
        <f t="shared" si="72"/>
        <v>0</v>
      </c>
      <c r="L87" s="442">
        <f t="shared" si="72"/>
        <v>0</v>
      </c>
      <c r="M87" s="442">
        <f t="shared" si="72"/>
        <v>0</v>
      </c>
      <c r="N87" s="442">
        <f t="shared" si="72"/>
        <v>0</v>
      </c>
      <c r="O87" s="442">
        <f t="shared" si="72"/>
        <v>0</v>
      </c>
      <c r="P87" s="442">
        <f t="shared" si="72"/>
        <v>0</v>
      </c>
      <c r="Q87" s="442">
        <f t="shared" si="72"/>
        <v>0</v>
      </c>
      <c r="R87" s="442">
        <f t="shared" si="72"/>
        <v>0</v>
      </c>
      <c r="S87" s="442">
        <f t="shared" si="72"/>
        <v>0</v>
      </c>
      <c r="T87" s="442">
        <f t="shared" si="72"/>
        <v>0</v>
      </c>
      <c r="U87" s="442">
        <f t="shared" si="72"/>
        <v>0</v>
      </c>
      <c r="V87" s="442">
        <f t="shared" si="72"/>
        <v>0</v>
      </c>
      <c r="X87" s="442">
        <f t="shared" ref="X87" si="73">X84-X86</f>
        <v>0</v>
      </c>
      <c r="Z87" s="442">
        <f t="shared" ref="Z87:AB87" si="74">ROUND(Z84-Z86,0)</f>
        <v>0</v>
      </c>
      <c r="AA87" s="442">
        <f t="shared" ref="AA87" si="75">AA84-AA86</f>
        <v>0</v>
      </c>
      <c r="AB87" s="442">
        <f t="shared" si="74"/>
        <v>-1</v>
      </c>
    </row>
    <row r="88" spans="2:28" s="417" customFormat="1" ht="13">
      <c r="E88" s="443"/>
      <c r="F88" s="443"/>
      <c r="G88" s="443"/>
      <c r="H88" s="443"/>
      <c r="I88" s="443"/>
      <c r="J88" s="443"/>
      <c r="K88" s="443"/>
      <c r="L88" s="443"/>
      <c r="M88" s="443"/>
      <c r="N88" s="443"/>
      <c r="O88" s="443"/>
      <c r="P88" s="443"/>
      <c r="Q88" s="443"/>
      <c r="R88" s="443"/>
      <c r="S88" s="443"/>
      <c r="T88" s="443"/>
      <c r="U88" s="443"/>
      <c r="V88" s="443"/>
      <c r="X88" s="443"/>
      <c r="Z88" s="443"/>
      <c r="AA88" s="443"/>
      <c r="AB88" s="443"/>
    </row>
    <row r="89" spans="2:28" s="449" customFormat="1" ht="13.5" thickBot="1">
      <c r="B89" s="447"/>
      <c r="C89" s="447"/>
      <c r="D89" s="447"/>
      <c r="E89" s="448"/>
      <c r="F89" s="448"/>
      <c r="G89" s="448"/>
      <c r="H89" s="448"/>
      <c r="I89" s="448"/>
      <c r="J89" s="448"/>
      <c r="K89" s="448"/>
      <c r="L89" s="448"/>
      <c r="M89" s="448"/>
      <c r="N89" s="448"/>
      <c r="O89" s="448"/>
      <c r="P89" s="448"/>
      <c r="Q89" s="448"/>
      <c r="R89" s="448"/>
      <c r="S89" s="448"/>
      <c r="T89" s="448"/>
      <c r="U89" s="448"/>
      <c r="V89" s="448"/>
      <c r="X89" s="448"/>
      <c r="Z89" s="448"/>
      <c r="AA89" s="448"/>
      <c r="AB89" s="448"/>
    </row>
    <row r="90" spans="2:28" s="417" customFormat="1" ht="13">
      <c r="B90" s="414" t="s">
        <v>440</v>
      </c>
      <c r="G90" s="425" t="s">
        <v>530</v>
      </c>
    </row>
    <row r="91" spans="2:28" s="423" customFormat="1" ht="13">
      <c r="E91" s="428" t="s">
        <v>426</v>
      </c>
      <c r="F91" s="428" t="s">
        <v>334</v>
      </c>
      <c r="G91" s="428" t="s">
        <v>427</v>
      </c>
      <c r="H91" s="428" t="s">
        <v>426</v>
      </c>
      <c r="I91" s="428" t="s">
        <v>334</v>
      </c>
      <c r="J91" s="428" t="s">
        <v>427</v>
      </c>
      <c r="K91" s="428" t="s">
        <v>426</v>
      </c>
      <c r="L91" s="428" t="s">
        <v>334</v>
      </c>
      <c r="M91" s="428" t="s">
        <v>427</v>
      </c>
      <c r="N91" s="428" t="s">
        <v>426</v>
      </c>
      <c r="O91" s="428" t="s">
        <v>334</v>
      </c>
      <c r="P91" s="428" t="s">
        <v>427</v>
      </c>
      <c r="Q91" s="428" t="s">
        <v>426</v>
      </c>
      <c r="R91" s="428" t="s">
        <v>334</v>
      </c>
      <c r="S91" s="428" t="s">
        <v>427</v>
      </c>
      <c r="T91" s="428" t="s">
        <v>426</v>
      </c>
      <c r="U91" s="428" t="s">
        <v>334</v>
      </c>
      <c r="V91" s="428" t="s">
        <v>427</v>
      </c>
      <c r="X91" s="428" t="s">
        <v>428</v>
      </c>
      <c r="Z91" s="428" t="s">
        <v>11</v>
      </c>
      <c r="AA91" s="428" t="s">
        <v>429</v>
      </c>
      <c r="AB91" s="428" t="s">
        <v>13</v>
      </c>
    </row>
    <row r="92" spans="2:28" s="423" customFormat="1" ht="13">
      <c r="E92" s="429">
        <v>45291</v>
      </c>
      <c r="F92" s="429"/>
      <c r="G92" s="429">
        <v>45291</v>
      </c>
      <c r="H92" s="429">
        <v>45291</v>
      </c>
      <c r="I92" s="429"/>
      <c r="J92" s="429">
        <v>45291</v>
      </c>
      <c r="K92" s="429">
        <v>45291</v>
      </c>
      <c r="L92" s="429"/>
      <c r="M92" s="429">
        <v>45291</v>
      </c>
      <c r="N92" s="429">
        <v>45291</v>
      </c>
      <c r="O92" s="429"/>
      <c r="P92" s="429">
        <v>45291</v>
      </c>
      <c r="Q92" s="429">
        <v>45291</v>
      </c>
      <c r="R92" s="429"/>
      <c r="S92" s="429">
        <v>45291</v>
      </c>
      <c r="T92" s="429">
        <v>45291</v>
      </c>
      <c r="U92" s="429"/>
      <c r="V92" s="429">
        <v>45291</v>
      </c>
      <c r="X92" s="429">
        <v>45291</v>
      </c>
      <c r="Z92" s="429">
        <v>45291</v>
      </c>
      <c r="AA92" s="429">
        <v>45291</v>
      </c>
      <c r="AB92" s="429">
        <v>45291</v>
      </c>
    </row>
    <row r="93" spans="2:28" s="417" customFormat="1" ht="13">
      <c r="D93" s="416"/>
      <c r="E93" s="443"/>
      <c r="F93" s="443"/>
      <c r="G93" s="443"/>
      <c r="H93" s="443"/>
      <c r="I93" s="443"/>
      <c r="J93" s="443"/>
      <c r="K93" s="443"/>
      <c r="L93" s="443"/>
      <c r="M93" s="443"/>
      <c r="N93" s="443"/>
      <c r="O93" s="443"/>
      <c r="P93" s="443"/>
      <c r="Q93" s="443"/>
      <c r="R93" s="443"/>
      <c r="S93" s="443"/>
      <c r="T93" s="443"/>
      <c r="U93" s="443"/>
      <c r="V93" s="443"/>
      <c r="X93" s="443"/>
      <c r="Z93" s="443"/>
      <c r="AA93" s="443"/>
      <c r="AB93" s="443"/>
    </row>
    <row r="94" spans="2:28" s="423" customFormat="1">
      <c r="C94" s="423" t="s">
        <v>543</v>
      </c>
      <c r="D94" s="434"/>
      <c r="E94" s="435">
        <v>0</v>
      </c>
      <c r="F94" s="435"/>
      <c r="G94" s="435">
        <f t="shared" ref="G94:G112" si="76">SUM(E94:F94)</f>
        <v>0</v>
      </c>
      <c r="H94" s="435">
        <v>12453028130.025</v>
      </c>
      <c r="I94" s="435"/>
      <c r="J94" s="435">
        <f t="shared" ref="J94:J107" si="77">SUM(H94:I94)</f>
        <v>12453028130.025</v>
      </c>
      <c r="K94" s="435">
        <v>0</v>
      </c>
      <c r="L94" s="435"/>
      <c r="M94" s="435">
        <f t="shared" ref="M94:M102" si="78">SUM(K94:L94)</f>
        <v>0</v>
      </c>
      <c r="N94" s="435">
        <v>0</v>
      </c>
      <c r="O94" s="435"/>
      <c r="P94" s="435">
        <f t="shared" ref="P94:P102" si="79">SUM(N94:O94)</f>
        <v>0</v>
      </c>
      <c r="Q94" s="435">
        <v>0</v>
      </c>
      <c r="R94" s="435"/>
      <c r="S94" s="435">
        <f t="shared" ref="S94:S112" si="80">SUM(Q94:R94)</f>
        <v>0</v>
      </c>
      <c r="T94" s="435">
        <v>0</v>
      </c>
      <c r="U94" s="435"/>
      <c r="V94" s="435">
        <f t="shared" ref="V94:V112" si="81">SUM(T94:U94)</f>
        <v>0</v>
      </c>
      <c r="X94" s="435">
        <v>0</v>
      </c>
      <c r="Z94" s="435">
        <f t="shared" ref="Z94:Z107" si="82">SUM(G94,J94,M94,P94,S94,V94)</f>
        <v>12453028130.025</v>
      </c>
      <c r="AA94" s="435">
        <f>'Elimination 23'!H66</f>
        <v>-12453028130.025</v>
      </c>
      <c r="AB94" s="435">
        <f>SUM(Z94:AA94)</f>
        <v>0</v>
      </c>
    </row>
    <row r="95" spans="2:28" s="423" customFormat="1">
      <c r="D95" s="423" t="s">
        <v>546</v>
      </c>
      <c r="E95" s="435">
        <v>17087265240.85804</v>
      </c>
      <c r="F95" s="435"/>
      <c r="G95" s="435">
        <f t="shared" si="76"/>
        <v>17087265240.85804</v>
      </c>
      <c r="H95" s="435">
        <v>0</v>
      </c>
      <c r="I95" s="435"/>
      <c r="J95" s="435">
        <f t="shared" si="77"/>
        <v>0</v>
      </c>
      <c r="K95" s="435">
        <v>0</v>
      </c>
      <c r="L95" s="435"/>
      <c r="M95" s="435">
        <f t="shared" si="78"/>
        <v>0</v>
      </c>
      <c r="N95" s="435">
        <v>0</v>
      </c>
      <c r="O95" s="435"/>
      <c r="P95" s="435">
        <f t="shared" si="79"/>
        <v>0</v>
      </c>
      <c r="Q95" s="435">
        <v>0</v>
      </c>
      <c r="R95" s="435"/>
      <c r="S95" s="435">
        <f t="shared" si="80"/>
        <v>0</v>
      </c>
      <c r="T95" s="435">
        <v>0</v>
      </c>
      <c r="U95" s="435"/>
      <c r="V95" s="435">
        <f t="shared" si="81"/>
        <v>0</v>
      </c>
      <c r="X95" s="435">
        <v>0</v>
      </c>
      <c r="Z95" s="435">
        <f t="shared" si="82"/>
        <v>17087265240.85804</v>
      </c>
      <c r="AA95" s="435">
        <f>'Elimination 23'!H65</f>
        <v>-17087265240.85804</v>
      </c>
      <c r="AB95" s="435">
        <f t="shared" ref="AB95:AB111" si="83">SUM(Z95:AA95)</f>
        <v>0</v>
      </c>
    </row>
    <row r="96" spans="2:28" s="423" customFormat="1">
      <c r="D96" s="423" t="s">
        <v>552</v>
      </c>
      <c r="E96" s="435">
        <v>0</v>
      </c>
      <c r="F96" s="435"/>
      <c r="G96" s="435">
        <f t="shared" si="76"/>
        <v>0</v>
      </c>
      <c r="H96" s="435">
        <v>0</v>
      </c>
      <c r="I96" s="435"/>
      <c r="J96" s="435">
        <f t="shared" si="77"/>
        <v>0</v>
      </c>
      <c r="K96" s="435">
        <v>0</v>
      </c>
      <c r="L96" s="435"/>
      <c r="M96" s="435">
        <f t="shared" si="78"/>
        <v>0</v>
      </c>
      <c r="N96" s="435">
        <v>0</v>
      </c>
      <c r="O96" s="435"/>
      <c r="P96" s="435">
        <f t="shared" si="79"/>
        <v>0</v>
      </c>
      <c r="Q96" s="435">
        <v>0</v>
      </c>
      <c r="R96" s="435"/>
      <c r="S96" s="435">
        <f t="shared" si="80"/>
        <v>0</v>
      </c>
      <c r="T96" s="435">
        <v>0</v>
      </c>
      <c r="U96" s="435"/>
      <c r="V96" s="435">
        <f t="shared" si="81"/>
        <v>0</v>
      </c>
      <c r="X96" s="435">
        <v>0</v>
      </c>
      <c r="Z96" s="435">
        <f t="shared" si="82"/>
        <v>0</v>
      </c>
      <c r="AA96" s="435"/>
      <c r="AB96" s="435">
        <f t="shared" si="83"/>
        <v>0</v>
      </c>
    </row>
    <row r="97" spans="3:28" s="423" customFormat="1">
      <c r="D97" s="423" t="s">
        <v>547</v>
      </c>
      <c r="E97" s="435">
        <v>0</v>
      </c>
      <c r="F97" s="435"/>
      <c r="G97" s="435">
        <f t="shared" si="76"/>
        <v>0</v>
      </c>
      <c r="H97" s="435">
        <v>0</v>
      </c>
      <c r="I97" s="435"/>
      <c r="J97" s="435">
        <f t="shared" si="77"/>
        <v>0</v>
      </c>
      <c r="K97" s="435">
        <v>0</v>
      </c>
      <c r="L97" s="435"/>
      <c r="M97" s="435">
        <f t="shared" si="78"/>
        <v>0</v>
      </c>
      <c r="N97" s="435">
        <v>0</v>
      </c>
      <c r="O97" s="435"/>
      <c r="P97" s="435">
        <f t="shared" si="79"/>
        <v>0</v>
      </c>
      <c r="Q97" s="435">
        <v>0</v>
      </c>
      <c r="R97" s="435"/>
      <c r="S97" s="435">
        <f t="shared" si="80"/>
        <v>0</v>
      </c>
      <c r="T97" s="435">
        <v>0</v>
      </c>
      <c r="U97" s="435"/>
      <c r="V97" s="435">
        <f t="shared" si="81"/>
        <v>0</v>
      </c>
      <c r="X97" s="435">
        <v>0</v>
      </c>
      <c r="Z97" s="435">
        <f t="shared" si="82"/>
        <v>0</v>
      </c>
      <c r="AA97" s="435"/>
      <c r="AB97" s="435">
        <f t="shared" si="83"/>
        <v>0</v>
      </c>
    </row>
    <row r="98" spans="3:28" s="423" customFormat="1">
      <c r="D98" s="423" t="s">
        <v>548</v>
      </c>
      <c r="E98" s="435">
        <v>0</v>
      </c>
      <c r="F98" s="435"/>
      <c r="G98" s="435">
        <f t="shared" si="76"/>
        <v>0</v>
      </c>
      <c r="H98" s="435"/>
      <c r="I98" s="435"/>
      <c r="J98" s="435">
        <f t="shared" si="77"/>
        <v>0</v>
      </c>
      <c r="K98" s="435">
        <v>0</v>
      </c>
      <c r="L98" s="435"/>
      <c r="M98" s="435">
        <f t="shared" si="78"/>
        <v>0</v>
      </c>
      <c r="N98" s="435">
        <v>0</v>
      </c>
      <c r="O98" s="435"/>
      <c r="P98" s="435">
        <f t="shared" si="79"/>
        <v>0</v>
      </c>
      <c r="Q98" s="435">
        <v>0</v>
      </c>
      <c r="R98" s="435"/>
      <c r="S98" s="435">
        <f t="shared" si="80"/>
        <v>0</v>
      </c>
      <c r="T98" s="435">
        <v>0</v>
      </c>
      <c r="U98" s="435"/>
      <c r="V98" s="435">
        <f t="shared" si="81"/>
        <v>0</v>
      </c>
      <c r="X98" s="435">
        <v>0</v>
      </c>
      <c r="Z98" s="435">
        <f t="shared" si="82"/>
        <v>0</v>
      </c>
      <c r="AA98" s="435"/>
      <c r="AB98" s="435">
        <f t="shared" si="83"/>
        <v>0</v>
      </c>
    </row>
    <row r="99" spans="3:28" s="423" customFormat="1">
      <c r="D99" s="423" t="s">
        <v>554</v>
      </c>
      <c r="E99" s="435">
        <v>0</v>
      </c>
      <c r="F99" s="435"/>
      <c r="G99" s="435">
        <f t="shared" si="76"/>
        <v>0</v>
      </c>
      <c r="H99" s="435">
        <v>0</v>
      </c>
      <c r="I99" s="435"/>
      <c r="J99" s="435">
        <f t="shared" si="77"/>
        <v>0</v>
      </c>
      <c r="K99" s="435">
        <v>0</v>
      </c>
      <c r="L99" s="435"/>
      <c r="M99" s="435">
        <f t="shared" si="78"/>
        <v>0</v>
      </c>
      <c r="N99" s="435">
        <v>0</v>
      </c>
      <c r="O99" s="435"/>
      <c r="P99" s="435">
        <f t="shared" si="79"/>
        <v>0</v>
      </c>
      <c r="Q99" s="435">
        <v>0</v>
      </c>
      <c r="R99" s="435"/>
      <c r="S99" s="435">
        <f t="shared" si="80"/>
        <v>0</v>
      </c>
      <c r="T99" s="435">
        <v>0</v>
      </c>
      <c r="U99" s="435"/>
      <c r="V99" s="435">
        <f t="shared" si="81"/>
        <v>0</v>
      </c>
      <c r="X99" s="435">
        <v>0</v>
      </c>
      <c r="Z99" s="435">
        <f t="shared" si="82"/>
        <v>0</v>
      </c>
      <c r="AA99" s="435"/>
      <c r="AB99" s="435">
        <f t="shared" si="83"/>
        <v>0</v>
      </c>
    </row>
    <row r="100" spans="3:28" s="423" customFormat="1">
      <c r="D100" s="423" t="s">
        <v>545</v>
      </c>
      <c r="E100" s="435">
        <v>0</v>
      </c>
      <c r="F100" s="435"/>
      <c r="G100" s="435">
        <f t="shared" si="76"/>
        <v>0</v>
      </c>
      <c r="H100" s="435">
        <v>0</v>
      </c>
      <c r="I100" s="435"/>
      <c r="J100" s="435">
        <f t="shared" si="77"/>
        <v>0</v>
      </c>
      <c r="K100" s="435">
        <v>0</v>
      </c>
      <c r="L100" s="435"/>
      <c r="M100" s="435">
        <f t="shared" si="78"/>
        <v>0</v>
      </c>
      <c r="N100" s="435">
        <v>0</v>
      </c>
      <c r="O100" s="435"/>
      <c r="P100" s="435">
        <f t="shared" si="79"/>
        <v>0</v>
      </c>
      <c r="Q100" s="435">
        <v>0</v>
      </c>
      <c r="R100" s="435"/>
      <c r="S100" s="435">
        <f t="shared" si="80"/>
        <v>0</v>
      </c>
      <c r="T100" s="435">
        <v>0</v>
      </c>
      <c r="U100" s="435"/>
      <c r="V100" s="435">
        <f t="shared" si="81"/>
        <v>0</v>
      </c>
      <c r="X100" s="435">
        <v>0</v>
      </c>
      <c r="Z100" s="435">
        <f t="shared" si="82"/>
        <v>0</v>
      </c>
      <c r="AA100" s="435"/>
      <c r="AB100" s="435">
        <f t="shared" si="83"/>
        <v>0</v>
      </c>
    </row>
    <row r="101" spans="3:28" s="423" customFormat="1">
      <c r="D101" s="423" t="s">
        <v>549</v>
      </c>
      <c r="E101" s="435">
        <v>0</v>
      </c>
      <c r="F101" s="435"/>
      <c r="G101" s="435">
        <f t="shared" si="76"/>
        <v>0</v>
      </c>
      <c r="H101" s="435">
        <v>0</v>
      </c>
      <c r="I101" s="435"/>
      <c r="J101" s="435">
        <f t="shared" si="77"/>
        <v>0</v>
      </c>
      <c r="K101" s="435">
        <v>0</v>
      </c>
      <c r="L101" s="435"/>
      <c r="M101" s="435">
        <f t="shared" si="78"/>
        <v>0</v>
      </c>
      <c r="N101" s="435">
        <v>0</v>
      </c>
      <c r="O101" s="435"/>
      <c r="P101" s="435">
        <f t="shared" si="79"/>
        <v>0</v>
      </c>
      <c r="Q101" s="435">
        <v>0</v>
      </c>
      <c r="R101" s="435"/>
      <c r="S101" s="435">
        <f t="shared" si="80"/>
        <v>0</v>
      </c>
      <c r="T101" s="435">
        <v>0</v>
      </c>
      <c r="U101" s="435"/>
      <c r="V101" s="435">
        <f t="shared" si="81"/>
        <v>0</v>
      </c>
      <c r="X101" s="435">
        <v>0</v>
      </c>
      <c r="Z101" s="435">
        <f t="shared" si="82"/>
        <v>0</v>
      </c>
      <c r="AA101" s="435"/>
      <c r="AB101" s="435">
        <f t="shared" si="83"/>
        <v>0</v>
      </c>
    </row>
    <row r="102" spans="3:28" s="423" customFormat="1">
      <c r="D102" s="434" t="s">
        <v>544</v>
      </c>
      <c r="E102" s="435">
        <v>757589512.04999995</v>
      </c>
      <c r="F102" s="435">
        <f>'Consol SoFP 23 &amp; 22'!G29</f>
        <v>0</v>
      </c>
      <c r="G102" s="435">
        <f t="shared" si="76"/>
        <v>757589512.04999995</v>
      </c>
      <c r="H102" s="435">
        <v>30256823164.049999</v>
      </c>
      <c r="I102" s="435"/>
      <c r="J102" s="435">
        <f t="shared" si="77"/>
        <v>30256823164.049999</v>
      </c>
      <c r="K102" s="435">
        <v>0</v>
      </c>
      <c r="L102" s="435"/>
      <c r="M102" s="435">
        <f t="shared" si="78"/>
        <v>0</v>
      </c>
      <c r="N102" s="435">
        <v>0</v>
      </c>
      <c r="O102" s="435"/>
      <c r="P102" s="435">
        <f t="shared" si="79"/>
        <v>0</v>
      </c>
      <c r="Q102" s="435">
        <v>0</v>
      </c>
      <c r="R102" s="435"/>
      <c r="S102" s="435">
        <f t="shared" si="80"/>
        <v>0</v>
      </c>
      <c r="T102" s="435">
        <v>0</v>
      </c>
      <c r="U102" s="435"/>
      <c r="V102" s="435">
        <f t="shared" si="81"/>
        <v>0</v>
      </c>
      <c r="X102" s="435">
        <v>0</v>
      </c>
      <c r="Z102" s="435">
        <f t="shared" si="82"/>
        <v>31014412676.099998</v>
      </c>
      <c r="AA102" s="435">
        <f>'Elimination 23'!H74+'Elimination 23'!H83+'Elimination 23'!H82</f>
        <v>-31014412676.099998</v>
      </c>
      <c r="AB102" s="435">
        <f t="shared" si="83"/>
        <v>0</v>
      </c>
    </row>
    <row r="103" spans="3:28" s="423" customFormat="1">
      <c r="D103" s="434" t="s">
        <v>593</v>
      </c>
      <c r="E103" s="435">
        <v>14844232464.885111</v>
      </c>
      <c r="F103" s="435"/>
      <c r="G103" s="435">
        <f t="shared" si="76"/>
        <v>14844232464.885111</v>
      </c>
      <c r="H103" s="435"/>
      <c r="I103" s="435">
        <f>'Consol SoFP 23 &amp; 22'!J29</f>
        <v>0</v>
      </c>
      <c r="J103" s="435">
        <f t="shared" si="77"/>
        <v>0</v>
      </c>
      <c r="K103" s="435"/>
      <c r="L103" s="435"/>
      <c r="M103" s="435"/>
      <c r="N103" s="435"/>
      <c r="O103" s="435"/>
      <c r="P103" s="435"/>
      <c r="Q103" s="435"/>
      <c r="R103" s="435"/>
      <c r="S103" s="435"/>
      <c r="T103" s="435"/>
      <c r="U103" s="435"/>
      <c r="V103" s="435"/>
      <c r="X103" s="435"/>
      <c r="Z103" s="435">
        <f t="shared" si="82"/>
        <v>14844232464.885111</v>
      </c>
      <c r="AA103" s="435">
        <f>'Elimination 23'!H98</f>
        <v>-14844232464.885111</v>
      </c>
      <c r="AB103" s="435">
        <f t="shared" si="83"/>
        <v>0</v>
      </c>
    </row>
    <row r="104" spans="3:28" s="423" customFormat="1">
      <c r="D104" s="434" t="s">
        <v>595</v>
      </c>
      <c r="E104" s="435">
        <v>1724530437.3384683</v>
      </c>
      <c r="F104" s="435"/>
      <c r="G104" s="435">
        <f t="shared" si="76"/>
        <v>1724530437.3384683</v>
      </c>
      <c r="H104" s="435">
        <v>0</v>
      </c>
      <c r="I104" s="435"/>
      <c r="J104" s="435">
        <f t="shared" si="77"/>
        <v>0</v>
      </c>
      <c r="K104" s="435"/>
      <c r="L104" s="435"/>
      <c r="M104" s="435"/>
      <c r="N104" s="435"/>
      <c r="O104" s="435"/>
      <c r="P104" s="435"/>
      <c r="Q104" s="435"/>
      <c r="R104" s="435"/>
      <c r="S104" s="435"/>
      <c r="T104" s="435"/>
      <c r="U104" s="435"/>
      <c r="V104" s="435"/>
      <c r="X104" s="435"/>
      <c r="Z104" s="435">
        <f t="shared" si="82"/>
        <v>1724530437.3384683</v>
      </c>
      <c r="AA104" s="435">
        <f>'Elimination 23'!H100</f>
        <v>-1724530437.3384683</v>
      </c>
      <c r="AB104" s="435">
        <f t="shared" si="83"/>
        <v>0</v>
      </c>
    </row>
    <row r="105" spans="3:28" s="423" customFormat="1">
      <c r="D105" s="434" t="s">
        <v>591</v>
      </c>
      <c r="E105" s="435">
        <v>8417149098.75</v>
      </c>
      <c r="F105" s="435"/>
      <c r="G105" s="435">
        <f t="shared" si="76"/>
        <v>8417149098.75</v>
      </c>
      <c r="H105" s="435">
        <v>1646439616.3284898</v>
      </c>
      <c r="I105" s="435"/>
      <c r="J105" s="435">
        <f t="shared" si="77"/>
        <v>1646439616.3284898</v>
      </c>
      <c r="K105" s="435"/>
      <c r="L105" s="435"/>
      <c r="M105" s="435"/>
      <c r="N105" s="435"/>
      <c r="O105" s="435"/>
      <c r="P105" s="435"/>
      <c r="Q105" s="435"/>
      <c r="R105" s="435"/>
      <c r="S105" s="435"/>
      <c r="T105" s="435"/>
      <c r="U105" s="435"/>
      <c r="V105" s="435"/>
      <c r="X105" s="435"/>
      <c r="Z105" s="435">
        <f t="shared" si="82"/>
        <v>10063588715.078489</v>
      </c>
      <c r="AA105" s="435">
        <f>'Elimination 23'!H89+'Elimination 23'!H104</f>
        <v>-10063588715.078489</v>
      </c>
      <c r="AB105" s="435">
        <f t="shared" si="83"/>
        <v>0</v>
      </c>
    </row>
    <row r="106" spans="3:28" s="423" customFormat="1">
      <c r="D106" s="434" t="s">
        <v>598</v>
      </c>
      <c r="E106" s="435">
        <v>574301635.27591431</v>
      </c>
      <c r="F106" s="435"/>
      <c r="G106" s="435">
        <f t="shared" si="76"/>
        <v>574301635.27591431</v>
      </c>
      <c r="H106" s="435">
        <v>0</v>
      </c>
      <c r="I106" s="435"/>
      <c r="J106" s="435">
        <f t="shared" si="77"/>
        <v>0</v>
      </c>
      <c r="K106" s="435"/>
      <c r="L106" s="435"/>
      <c r="M106" s="435"/>
      <c r="N106" s="435"/>
      <c r="O106" s="435"/>
      <c r="P106" s="435"/>
      <c r="Q106" s="435"/>
      <c r="R106" s="435"/>
      <c r="S106" s="435"/>
      <c r="T106" s="435"/>
      <c r="U106" s="435"/>
      <c r="V106" s="435"/>
      <c r="X106" s="435"/>
      <c r="Z106" s="435">
        <f t="shared" si="82"/>
        <v>574301635.27591431</v>
      </c>
      <c r="AA106" s="435">
        <f>'Elimination 23'!H101</f>
        <v>-574301635.2759136</v>
      </c>
      <c r="AB106" s="435">
        <f t="shared" si="83"/>
        <v>0</v>
      </c>
    </row>
    <row r="107" spans="3:28" s="423" customFormat="1">
      <c r="D107" s="434" t="s">
        <v>594</v>
      </c>
      <c r="E107" s="435">
        <v>245826681.58836988</v>
      </c>
      <c r="F107" s="435"/>
      <c r="G107" s="435">
        <f t="shared" si="76"/>
        <v>245826681.58836988</v>
      </c>
      <c r="H107" s="435">
        <v>0</v>
      </c>
      <c r="I107" s="435"/>
      <c r="J107" s="435">
        <f t="shared" si="77"/>
        <v>0</v>
      </c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435"/>
      <c r="V107" s="435"/>
      <c r="X107" s="435"/>
      <c r="Z107" s="435">
        <f t="shared" si="82"/>
        <v>245826681.58836988</v>
      </c>
      <c r="AA107" s="435">
        <f>'Elimination 23'!H99</f>
        <v>-245826681.58837059</v>
      </c>
      <c r="AB107" s="435">
        <f t="shared" si="83"/>
        <v>-7.152557373046875E-7</v>
      </c>
    </row>
    <row r="108" spans="3:28" s="423" customFormat="1">
      <c r="D108" s="434"/>
      <c r="E108" s="435"/>
      <c r="F108" s="435"/>
      <c r="G108" s="435"/>
      <c r="H108" s="435"/>
      <c r="I108" s="435"/>
      <c r="J108" s="435"/>
      <c r="K108" s="435"/>
      <c r="L108" s="435"/>
      <c r="M108" s="435"/>
      <c r="N108" s="435"/>
      <c r="O108" s="435"/>
      <c r="P108" s="435"/>
      <c r="Q108" s="435"/>
      <c r="R108" s="435"/>
      <c r="S108" s="435"/>
      <c r="T108" s="435"/>
      <c r="U108" s="435"/>
      <c r="V108" s="435"/>
      <c r="X108" s="435"/>
      <c r="Z108" s="435"/>
      <c r="AA108" s="435"/>
      <c r="AB108" s="435"/>
    </row>
    <row r="109" spans="3:28" s="423" customFormat="1">
      <c r="C109" s="438" t="s">
        <v>532</v>
      </c>
      <c r="D109" s="439"/>
      <c r="E109" s="435"/>
      <c r="F109" s="435"/>
      <c r="G109" s="435"/>
      <c r="H109" s="435"/>
      <c r="I109" s="435"/>
      <c r="J109" s="435"/>
      <c r="K109" s="435">
        <v>0</v>
      </c>
      <c r="L109" s="435"/>
      <c r="M109" s="435"/>
      <c r="N109" s="435"/>
      <c r="O109" s="435"/>
      <c r="P109" s="435"/>
      <c r="Q109" s="435">
        <v>0</v>
      </c>
      <c r="R109" s="435"/>
      <c r="S109" s="435"/>
      <c r="T109" s="435"/>
      <c r="U109" s="435"/>
      <c r="V109" s="435"/>
      <c r="X109" s="435"/>
      <c r="Z109" s="435"/>
      <c r="AA109" s="435"/>
      <c r="AB109" s="435"/>
    </row>
    <row r="110" spans="3:28" s="423" customFormat="1">
      <c r="D110" s="423" t="s">
        <v>550</v>
      </c>
      <c r="E110" s="435">
        <v>372500833.94999999</v>
      </c>
      <c r="F110" s="435"/>
      <c r="G110" s="435">
        <f t="shared" si="76"/>
        <v>372500833.94999999</v>
      </c>
      <c r="H110" s="435">
        <v>5372449826.625</v>
      </c>
      <c r="I110" s="435"/>
      <c r="J110" s="435">
        <f t="shared" ref="J110:J112" si="84">SUM(H110:I110)</f>
        <v>5372449826.625</v>
      </c>
      <c r="K110" s="435"/>
      <c r="L110" s="435"/>
      <c r="M110" s="435">
        <f t="shared" ref="M110:M112" si="85">SUM(K110:L110)</f>
        <v>0</v>
      </c>
      <c r="N110" s="435">
        <v>0</v>
      </c>
      <c r="O110" s="435"/>
      <c r="P110" s="435">
        <f t="shared" ref="P110:P112" si="86">SUM(N110:O110)</f>
        <v>0</v>
      </c>
      <c r="Q110" s="435"/>
      <c r="R110" s="435"/>
      <c r="S110" s="435">
        <f t="shared" si="80"/>
        <v>0</v>
      </c>
      <c r="T110" s="435">
        <v>0</v>
      </c>
      <c r="U110" s="435"/>
      <c r="V110" s="435">
        <f t="shared" si="81"/>
        <v>0</v>
      </c>
      <c r="X110" s="435">
        <v>0</v>
      </c>
      <c r="Z110" s="435">
        <f t="shared" ref="Z110:Z112" si="87">SUM(G110,J110,M110,P110,S110,V110)</f>
        <v>5744950660.5749998</v>
      </c>
      <c r="AA110" s="435"/>
      <c r="AB110" s="435">
        <f t="shared" si="83"/>
        <v>5744950660.5749998</v>
      </c>
    </row>
    <row r="111" spans="3:28" s="423" customFormat="1">
      <c r="D111" s="423" t="s">
        <v>551</v>
      </c>
      <c r="E111" s="435">
        <v>6641019395.3249998</v>
      </c>
      <c r="F111" s="435"/>
      <c r="G111" s="435">
        <f t="shared" si="76"/>
        <v>6641019395.3249998</v>
      </c>
      <c r="H111" s="435">
        <v>311963081.84999996</v>
      </c>
      <c r="I111" s="435"/>
      <c r="J111" s="435">
        <f t="shared" si="84"/>
        <v>311963081.84999996</v>
      </c>
      <c r="K111" s="435">
        <v>0</v>
      </c>
      <c r="L111" s="435"/>
      <c r="M111" s="435">
        <f t="shared" si="85"/>
        <v>0</v>
      </c>
      <c r="N111" s="435">
        <v>0</v>
      </c>
      <c r="O111" s="435"/>
      <c r="P111" s="435">
        <f t="shared" si="86"/>
        <v>0</v>
      </c>
      <c r="Q111" s="435">
        <v>0</v>
      </c>
      <c r="R111" s="435"/>
      <c r="S111" s="435">
        <f t="shared" si="80"/>
        <v>0</v>
      </c>
      <c r="T111" s="435">
        <v>0</v>
      </c>
      <c r="U111" s="435"/>
      <c r="V111" s="435">
        <f t="shared" si="81"/>
        <v>0</v>
      </c>
      <c r="X111" s="435">
        <v>0</v>
      </c>
      <c r="Z111" s="435">
        <f t="shared" si="87"/>
        <v>6952982477.1750002</v>
      </c>
      <c r="AA111" s="435"/>
      <c r="AB111" s="435">
        <f t="shared" si="83"/>
        <v>6952982477.1750002</v>
      </c>
    </row>
    <row r="112" spans="3:28" s="423" customFormat="1">
      <c r="D112" s="423" t="s">
        <v>553</v>
      </c>
      <c r="E112" s="435">
        <v>4184981140.7249999</v>
      </c>
      <c r="F112" s="435"/>
      <c r="G112" s="435">
        <f t="shared" si="76"/>
        <v>4184981140.7249999</v>
      </c>
      <c r="H112" s="435">
        <v>12995351370.225</v>
      </c>
      <c r="I112" s="435"/>
      <c r="J112" s="435">
        <f t="shared" si="84"/>
        <v>12995351370.225</v>
      </c>
      <c r="K112" s="435">
        <v>0</v>
      </c>
      <c r="L112" s="435"/>
      <c r="M112" s="435">
        <f t="shared" si="85"/>
        <v>0</v>
      </c>
      <c r="N112" s="435">
        <v>0</v>
      </c>
      <c r="O112" s="435"/>
      <c r="P112" s="435">
        <f t="shared" si="86"/>
        <v>0</v>
      </c>
      <c r="Q112" s="435">
        <v>0</v>
      </c>
      <c r="R112" s="435"/>
      <c r="S112" s="435">
        <f t="shared" si="80"/>
        <v>0</v>
      </c>
      <c r="T112" s="435">
        <v>0</v>
      </c>
      <c r="U112" s="435"/>
      <c r="V112" s="435">
        <f t="shared" si="81"/>
        <v>0</v>
      </c>
      <c r="X112" s="435">
        <v>0</v>
      </c>
      <c r="Z112" s="435">
        <f t="shared" si="87"/>
        <v>17180332510.950001</v>
      </c>
      <c r="AA112" s="435"/>
      <c r="AB112" s="435">
        <f t="shared" ref="AB112" si="88">SUM(Z112:AA112)</f>
        <v>17180332510.950001</v>
      </c>
    </row>
    <row r="113" spans="2:28" s="423" customFormat="1">
      <c r="D113" s="434"/>
      <c r="E113" s="435"/>
      <c r="F113" s="435"/>
      <c r="G113" s="435"/>
      <c r="H113" s="435">
        <v>0</v>
      </c>
      <c r="I113" s="435"/>
      <c r="J113" s="435"/>
      <c r="K113" s="435"/>
      <c r="L113" s="435"/>
      <c r="M113" s="435"/>
      <c r="N113" s="435">
        <v>0</v>
      </c>
      <c r="O113" s="435"/>
      <c r="P113" s="435"/>
      <c r="Q113" s="435">
        <v>0</v>
      </c>
      <c r="R113" s="435"/>
      <c r="S113" s="435"/>
      <c r="T113" s="435"/>
      <c r="U113" s="435"/>
      <c r="V113" s="435"/>
      <c r="X113" s="435"/>
      <c r="Z113" s="435"/>
      <c r="AA113" s="435"/>
      <c r="AB113" s="435"/>
    </row>
    <row r="114" spans="2:28" s="423" customFormat="1">
      <c r="C114" s="438" t="s">
        <v>441</v>
      </c>
      <c r="D114" s="455"/>
      <c r="E114" s="435"/>
      <c r="F114" s="435"/>
      <c r="G114" s="435"/>
      <c r="H114" s="435"/>
      <c r="I114" s="435"/>
      <c r="J114" s="435"/>
      <c r="K114" s="435"/>
      <c r="L114" s="435"/>
      <c r="M114" s="435"/>
      <c r="N114" s="435"/>
      <c r="O114" s="435"/>
      <c r="P114" s="435"/>
      <c r="Q114" s="435"/>
      <c r="R114" s="435"/>
      <c r="S114" s="435"/>
      <c r="T114" s="435"/>
      <c r="U114" s="435"/>
      <c r="V114" s="435"/>
      <c r="X114" s="435"/>
      <c r="Z114" s="435"/>
      <c r="AA114" s="435"/>
      <c r="AB114" s="435"/>
    </row>
    <row r="115" spans="2:28" s="423" customFormat="1">
      <c r="D115" s="434" t="s">
        <v>555</v>
      </c>
      <c r="E115" s="435">
        <v>3599047159.8291001</v>
      </c>
      <c r="F115" s="435"/>
      <c r="G115" s="435">
        <f t="shared" ref="G115" si="89">SUM(E115:F115)</f>
        <v>3599047159.8291001</v>
      </c>
      <c r="H115" s="435">
        <v>0</v>
      </c>
      <c r="I115" s="435"/>
      <c r="J115" s="435"/>
      <c r="K115" s="435">
        <v>0</v>
      </c>
      <c r="L115" s="435"/>
      <c r="M115" s="435"/>
      <c r="N115" s="435"/>
      <c r="O115" s="435"/>
      <c r="P115" s="435"/>
      <c r="Q115" s="435">
        <v>0</v>
      </c>
      <c r="R115" s="435"/>
      <c r="S115" s="435"/>
      <c r="T115" s="435"/>
      <c r="U115" s="435"/>
      <c r="V115" s="435"/>
      <c r="X115" s="435"/>
      <c r="Z115" s="435">
        <f t="shared" ref="Z115" si="90">SUM(G115,J115,M115,P115,S115,V115)</f>
        <v>3599047159.8291001</v>
      </c>
      <c r="AA115" s="435"/>
      <c r="AB115" s="435">
        <f t="shared" ref="AB115" si="91">SUM(Z115:AA115)</f>
        <v>3599047159.8291001</v>
      </c>
    </row>
    <row r="116" spans="2:28" s="423" customFormat="1">
      <c r="E116" s="441"/>
      <c r="F116" s="441"/>
      <c r="G116" s="441"/>
      <c r="H116" s="441"/>
      <c r="I116" s="441"/>
      <c r="J116" s="441"/>
      <c r="K116" s="441"/>
      <c r="L116" s="441"/>
      <c r="M116" s="441"/>
      <c r="N116" s="441"/>
      <c r="O116" s="441"/>
      <c r="P116" s="441"/>
      <c r="Q116" s="441"/>
      <c r="R116" s="441"/>
      <c r="S116" s="441"/>
      <c r="T116" s="441"/>
      <c r="U116" s="441"/>
      <c r="V116" s="441"/>
      <c r="X116" s="441"/>
      <c r="Z116" s="441"/>
      <c r="AA116" s="441"/>
      <c r="AB116" s="441"/>
    </row>
    <row r="117" spans="2:28" s="427" customFormat="1" ht="13">
      <c r="C117" s="427" t="s">
        <v>178</v>
      </c>
      <c r="E117" s="442">
        <f>SUM(E115,E110:E112,E98:E107,E95:E97,E94)</f>
        <v>58448443600.575005</v>
      </c>
      <c r="F117" s="442">
        <f>SUM(F115,F110:F112,F98:F102,F95:F97,F94)</f>
        <v>0</v>
      </c>
      <c r="G117" s="442">
        <f t="shared" ref="G117:V117" si="92">SUM(G115,G110:G112,G98:G107,G95:G97,G94)</f>
        <v>58448443600.575005</v>
      </c>
      <c r="H117" s="442">
        <f t="shared" si="92"/>
        <v>63036055189.103493</v>
      </c>
      <c r="I117" s="442">
        <f t="shared" si="92"/>
        <v>0</v>
      </c>
      <c r="J117" s="442">
        <f t="shared" si="92"/>
        <v>63036055189.103493</v>
      </c>
      <c r="K117" s="442">
        <f t="shared" si="92"/>
        <v>0</v>
      </c>
      <c r="L117" s="442">
        <f t="shared" si="92"/>
        <v>0</v>
      </c>
      <c r="M117" s="442">
        <f t="shared" si="92"/>
        <v>0</v>
      </c>
      <c r="N117" s="442">
        <f t="shared" si="92"/>
        <v>0</v>
      </c>
      <c r="O117" s="442">
        <f t="shared" si="92"/>
        <v>0</v>
      </c>
      <c r="P117" s="442">
        <f t="shared" si="92"/>
        <v>0</v>
      </c>
      <c r="Q117" s="442">
        <f t="shared" si="92"/>
        <v>0</v>
      </c>
      <c r="R117" s="442">
        <f t="shared" si="92"/>
        <v>0</v>
      </c>
      <c r="S117" s="442">
        <f t="shared" si="92"/>
        <v>0</v>
      </c>
      <c r="T117" s="442">
        <f t="shared" si="92"/>
        <v>0</v>
      </c>
      <c r="U117" s="442">
        <f t="shared" si="92"/>
        <v>0</v>
      </c>
      <c r="V117" s="442">
        <f t="shared" si="92"/>
        <v>0</v>
      </c>
      <c r="X117" s="442">
        <f>SUM(X94:X112)</f>
        <v>0</v>
      </c>
      <c r="Z117" s="442">
        <f>SUM(Z115,Z110:Z112,Z98:Z107,Z95:Z97,Z94)</f>
        <v>121484498789.6785</v>
      </c>
      <c r="AA117" s="442">
        <f>SUM(AA115,AA110:AA112,AA98:AA107,AA95:AA97,AA94)</f>
        <v>-88007185981.149384</v>
      </c>
      <c r="AB117" s="442">
        <f>SUM(AB115,AB110:AB112,AB98:AB103,AB95:AB97,AB94)</f>
        <v>33477312808.529102</v>
      </c>
    </row>
    <row r="118" spans="2:28" s="423" customFormat="1">
      <c r="C118" s="423" t="s">
        <v>433</v>
      </c>
      <c r="E118" s="441"/>
      <c r="F118" s="441"/>
      <c r="G118" s="441"/>
      <c r="H118" s="441"/>
      <c r="I118" s="441"/>
      <c r="J118" s="441"/>
      <c r="K118" s="441"/>
      <c r="L118" s="441"/>
      <c r="M118" s="441"/>
      <c r="N118" s="441"/>
      <c r="O118" s="441"/>
      <c r="P118" s="441"/>
      <c r="Q118" s="441"/>
      <c r="R118" s="441"/>
      <c r="S118" s="441"/>
      <c r="T118" s="441"/>
      <c r="U118" s="441"/>
      <c r="V118" s="441"/>
      <c r="X118" s="441">
        <v>0</v>
      </c>
      <c r="Z118" s="441">
        <v>0</v>
      </c>
      <c r="AA118" s="441">
        <v>0</v>
      </c>
      <c r="AB118" s="441">
        <v>0</v>
      </c>
    </row>
    <row r="119" spans="2:28" s="427" customFormat="1" ht="13">
      <c r="C119" s="427" t="s">
        <v>439</v>
      </c>
      <c r="E119" s="444">
        <f>SUM(E117:E118)</f>
        <v>58448443600.575005</v>
      </c>
      <c r="F119" s="444"/>
      <c r="G119" s="444">
        <f>SUM(G117:G118)</f>
        <v>58448443600.575005</v>
      </c>
      <c r="H119" s="444">
        <f>SUM(H117:H118)</f>
        <v>63036055189.103493</v>
      </c>
      <c r="I119" s="444"/>
      <c r="J119" s="444">
        <f>SUM(J117:J118)</f>
        <v>63036055189.103493</v>
      </c>
      <c r="K119" s="444">
        <f>SUM(K117:K118)</f>
        <v>0</v>
      </c>
      <c r="L119" s="444"/>
      <c r="M119" s="444">
        <f>SUM(M117:M118)</f>
        <v>0</v>
      </c>
      <c r="N119" s="444">
        <f>SUM(N117:N118)</f>
        <v>0</v>
      </c>
      <c r="O119" s="444"/>
      <c r="P119" s="444">
        <f>SUM(P117:P118)</f>
        <v>0</v>
      </c>
      <c r="Q119" s="444">
        <f>SUM(Q117:Q118)</f>
        <v>0</v>
      </c>
      <c r="R119" s="444"/>
      <c r="S119" s="444">
        <f>SUM(S117:S118)</f>
        <v>0</v>
      </c>
      <c r="T119" s="444">
        <f>SUM(T117:T118)</f>
        <v>0</v>
      </c>
      <c r="U119" s="444"/>
      <c r="V119" s="444">
        <f>SUM(V117:V118)</f>
        <v>0</v>
      </c>
      <c r="X119" s="444">
        <f t="shared" ref="X119" si="93">SUM(X117:X118)</f>
        <v>0</v>
      </c>
      <c r="Z119" s="444">
        <f t="shared" ref="Z119:AB119" si="94">SUM(Z117:Z118)</f>
        <v>121484498789.6785</v>
      </c>
      <c r="AA119" s="444">
        <f t="shared" si="94"/>
        <v>-88007185981.149384</v>
      </c>
      <c r="AB119" s="444">
        <f t="shared" si="94"/>
        <v>33477312808.529102</v>
      </c>
    </row>
    <row r="120" spans="2:28" s="427" customFormat="1" ht="13">
      <c r="E120" s="443"/>
      <c r="F120" s="443"/>
      <c r="G120" s="443"/>
      <c r="H120" s="443"/>
      <c r="I120" s="443"/>
      <c r="J120" s="443"/>
      <c r="K120" s="443"/>
      <c r="L120" s="443"/>
      <c r="M120" s="443"/>
      <c r="N120" s="443"/>
      <c r="O120" s="443"/>
      <c r="P120" s="443"/>
      <c r="Q120" s="443"/>
      <c r="R120" s="443"/>
      <c r="S120" s="443"/>
      <c r="T120" s="443"/>
      <c r="U120" s="443"/>
      <c r="V120" s="443"/>
      <c r="X120" s="443"/>
      <c r="Z120" s="443"/>
      <c r="AA120" s="443"/>
      <c r="AB120" s="443"/>
    </row>
    <row r="121" spans="2:28" s="417" customFormat="1" ht="13">
      <c r="D121" s="445" t="s">
        <v>435</v>
      </c>
      <c r="E121" s="435">
        <f>'Consol SoFP 23 &amp; 22'!E29</f>
        <v>58448443601</v>
      </c>
      <c r="F121" s="435">
        <f>'Consol SoFP 23 &amp; 22'!G29</f>
        <v>0</v>
      </c>
      <c r="G121" s="435">
        <f>'Consol SoFP 23 &amp; 22'!H29</f>
        <v>58448443601</v>
      </c>
      <c r="H121" s="435">
        <f>'Consol SoFP 23 &amp; 22'!I29</f>
        <v>63036055189</v>
      </c>
      <c r="I121" s="435">
        <f>'Consol SoFP 23 &amp; 22'!J29</f>
        <v>0</v>
      </c>
      <c r="J121" s="435">
        <f>'Consol SoFP 23 &amp; 22'!K29</f>
        <v>63036055189</v>
      </c>
      <c r="K121" s="435">
        <f>'Consol SoFP 23 &amp; 22'!L29</f>
        <v>0</v>
      </c>
      <c r="L121" s="435">
        <f>'Consol SoFP 23 &amp; 22'!M29</f>
        <v>0</v>
      </c>
      <c r="M121" s="435">
        <f>'Consol SoFP 23 &amp; 22'!N29</f>
        <v>0</v>
      </c>
      <c r="N121" s="435">
        <f>'Consol SoFP 23 &amp; 22'!O29</f>
        <v>0</v>
      </c>
      <c r="O121" s="435">
        <f>'Consol SoFP 23 &amp; 22'!P29</f>
        <v>0</v>
      </c>
      <c r="P121" s="435">
        <f>'Consol SoFP 23 &amp; 22'!Q29</f>
        <v>0</v>
      </c>
      <c r="Q121" s="435">
        <f>'Consol SoFP 23 &amp; 22'!R29</f>
        <v>0</v>
      </c>
      <c r="R121" s="435">
        <f>'Consol SoFP 23 &amp; 22'!S29</f>
        <v>0</v>
      </c>
      <c r="S121" s="435">
        <f>'Consol SoFP 23 &amp; 22'!T29</f>
        <v>0</v>
      </c>
      <c r="T121" s="435">
        <f>'Consol SoFP 23 &amp; 22'!U29</f>
        <v>0</v>
      </c>
      <c r="U121" s="435">
        <f>'Consol SoFP 23 &amp; 22'!V29</f>
        <v>0</v>
      </c>
      <c r="V121" s="435">
        <f>'Consol SoFP 23 &amp; 22'!W29</f>
        <v>0</v>
      </c>
      <c r="X121" s="435">
        <v>0</v>
      </c>
      <c r="Z121" s="435">
        <f>'Consol SoFP 23 &amp; 22'!AB29</f>
        <v>121484498790</v>
      </c>
      <c r="AA121" s="435">
        <f>SUM('Consol SoFP 23 &amp; 22'!AC29:AD29)</f>
        <v>-88007185981.149414</v>
      </c>
      <c r="AB121" s="435">
        <f>'Consol SoFP 23 &amp; 22'!AE29</f>
        <v>33477312809</v>
      </c>
    </row>
    <row r="122" spans="2:28" s="417" customFormat="1" ht="13">
      <c r="D122" s="445" t="s">
        <v>111</v>
      </c>
      <c r="E122" s="442">
        <f>E119-E121</f>
        <v>-0.42499542236328125</v>
      </c>
      <c r="F122" s="442"/>
      <c r="G122" s="442">
        <f>G119-G121</f>
        <v>-0.42499542236328125</v>
      </c>
      <c r="H122" s="442">
        <f>H119-H121</f>
        <v>0.10349273681640625</v>
      </c>
      <c r="I122" s="442"/>
      <c r="J122" s="442">
        <f>J119-J121</f>
        <v>0.10349273681640625</v>
      </c>
      <c r="K122" s="442">
        <f>K119-K121</f>
        <v>0</v>
      </c>
      <c r="L122" s="442"/>
      <c r="M122" s="442">
        <f>M119-M121</f>
        <v>0</v>
      </c>
      <c r="N122" s="442">
        <f>N119-N121</f>
        <v>0</v>
      </c>
      <c r="O122" s="442"/>
      <c r="P122" s="442">
        <f>P119-P121</f>
        <v>0</v>
      </c>
      <c r="Q122" s="442">
        <f>Q119-Q121</f>
        <v>0</v>
      </c>
      <c r="R122" s="442"/>
      <c r="S122" s="442">
        <f>S119-S121</f>
        <v>0</v>
      </c>
      <c r="T122" s="442">
        <f>T119-T121</f>
        <v>0</v>
      </c>
      <c r="U122" s="442"/>
      <c r="V122" s="442">
        <f>V119-V121</f>
        <v>0</v>
      </c>
      <c r="X122" s="442">
        <f t="shared" ref="X122" si="95">X119-X121</f>
        <v>0</v>
      </c>
      <c r="Z122" s="442">
        <f t="shared" ref="Z122:AB122" si="96">Z119-Z121</f>
        <v>-0.321502685546875</v>
      </c>
      <c r="AA122" s="442">
        <f t="shared" si="96"/>
        <v>0</v>
      </c>
      <c r="AB122" s="442">
        <f t="shared" si="96"/>
        <v>-0.47089767456054688</v>
      </c>
    </row>
    <row r="123" spans="2:28" s="449" customFormat="1" ht="13.5" thickBot="1">
      <c r="B123" s="447"/>
      <c r="C123" s="447"/>
      <c r="D123" s="447"/>
      <c r="E123" s="448"/>
      <c r="F123" s="448"/>
      <c r="G123" s="448"/>
      <c r="H123" s="448" t="s">
        <v>443</v>
      </c>
      <c r="I123" s="448"/>
      <c r="J123" s="448"/>
      <c r="K123" s="448"/>
      <c r="L123" s="448"/>
      <c r="M123" s="448"/>
      <c r="N123" s="448"/>
      <c r="O123" s="448"/>
      <c r="P123" s="448"/>
      <c r="Q123" s="448"/>
      <c r="R123" s="448"/>
      <c r="S123" s="448"/>
      <c r="T123" s="448"/>
      <c r="U123" s="448"/>
      <c r="V123" s="448"/>
      <c r="X123" s="448"/>
      <c r="Z123" s="448"/>
      <c r="AA123" s="448"/>
      <c r="AB123" s="448"/>
    </row>
    <row r="124" spans="2:28" s="417" customFormat="1" ht="13">
      <c r="B124" s="414" t="s">
        <v>444</v>
      </c>
    </row>
    <row r="125" spans="2:28" s="423" customFormat="1" ht="13">
      <c r="E125" s="428" t="s">
        <v>426</v>
      </c>
      <c r="F125" s="428" t="s">
        <v>334</v>
      </c>
      <c r="G125" s="428" t="s">
        <v>427</v>
      </c>
      <c r="H125" s="428" t="s">
        <v>426</v>
      </c>
      <c r="I125" s="428" t="s">
        <v>334</v>
      </c>
      <c r="J125" s="428" t="s">
        <v>427</v>
      </c>
      <c r="K125" s="428" t="s">
        <v>426</v>
      </c>
      <c r="L125" s="428" t="s">
        <v>334</v>
      </c>
      <c r="M125" s="428" t="s">
        <v>427</v>
      </c>
      <c r="N125" s="428" t="s">
        <v>426</v>
      </c>
      <c r="O125" s="428" t="s">
        <v>334</v>
      </c>
      <c r="P125" s="428" t="s">
        <v>427</v>
      </c>
      <c r="Q125" s="428" t="s">
        <v>426</v>
      </c>
      <c r="R125" s="428" t="s">
        <v>334</v>
      </c>
      <c r="S125" s="428" t="s">
        <v>427</v>
      </c>
      <c r="T125" s="428" t="s">
        <v>426</v>
      </c>
      <c r="U125" s="428" t="s">
        <v>334</v>
      </c>
      <c r="V125" s="428" t="s">
        <v>427</v>
      </c>
      <c r="X125" s="428" t="s">
        <v>428</v>
      </c>
      <c r="Z125" s="428" t="s">
        <v>11</v>
      </c>
      <c r="AA125" s="428" t="s">
        <v>429</v>
      </c>
      <c r="AB125" s="428" t="s">
        <v>13</v>
      </c>
    </row>
    <row r="126" spans="2:28" s="423" customFormat="1" ht="13">
      <c r="E126" s="429">
        <v>45291</v>
      </c>
      <c r="F126" s="429"/>
      <c r="G126" s="429">
        <v>45291</v>
      </c>
      <c r="H126" s="429">
        <v>45291</v>
      </c>
      <c r="I126" s="429"/>
      <c r="J126" s="429">
        <v>45291</v>
      </c>
      <c r="K126" s="429">
        <v>45291</v>
      </c>
      <c r="L126" s="429"/>
      <c r="M126" s="429">
        <v>45291</v>
      </c>
      <c r="N126" s="429">
        <v>45291</v>
      </c>
      <c r="O126" s="429"/>
      <c r="P126" s="429">
        <v>45291</v>
      </c>
      <c r="Q126" s="429">
        <v>45291</v>
      </c>
      <c r="R126" s="429"/>
      <c r="S126" s="429">
        <v>45291</v>
      </c>
      <c r="T126" s="429">
        <v>45291</v>
      </c>
      <c r="U126" s="429"/>
      <c r="V126" s="429">
        <v>45291</v>
      </c>
      <c r="X126" s="429">
        <v>45291</v>
      </c>
      <c r="Z126" s="429">
        <v>45291</v>
      </c>
      <c r="AA126" s="429">
        <v>45291</v>
      </c>
      <c r="AB126" s="429">
        <v>45291</v>
      </c>
    </row>
    <row r="127" spans="2:28" s="417" customFormat="1" ht="13">
      <c r="D127" s="416"/>
      <c r="E127" s="443"/>
      <c r="F127" s="443"/>
      <c r="G127" s="443"/>
      <c r="H127" s="443"/>
      <c r="I127" s="443"/>
      <c r="J127" s="443"/>
      <c r="K127" s="443"/>
      <c r="L127" s="443"/>
      <c r="M127" s="443"/>
      <c r="N127" s="443"/>
      <c r="O127" s="443"/>
      <c r="P127" s="443"/>
      <c r="Q127" s="443"/>
      <c r="R127" s="443"/>
      <c r="S127" s="443"/>
      <c r="T127" s="443"/>
      <c r="U127" s="443"/>
      <c r="V127" s="443"/>
      <c r="X127" s="443"/>
      <c r="Z127" s="443"/>
      <c r="AA127" s="443"/>
      <c r="AB127" s="443"/>
    </row>
    <row r="128" spans="2:28" s="423" customFormat="1">
      <c r="C128" s="423" t="s">
        <v>543</v>
      </c>
      <c r="D128" s="434"/>
      <c r="E128" s="435">
        <v>0</v>
      </c>
      <c r="F128" s="435"/>
      <c r="G128" s="435">
        <f t="shared" ref="G128:G135" si="97">SUM(E128:F128)</f>
        <v>0</v>
      </c>
      <c r="H128" s="435">
        <v>0</v>
      </c>
      <c r="I128" s="435"/>
      <c r="J128" s="435">
        <f t="shared" ref="J128:J135" si="98">SUM(H128:I128)</f>
        <v>0</v>
      </c>
      <c r="K128" s="435">
        <v>0</v>
      </c>
      <c r="L128" s="435"/>
      <c r="M128" s="435">
        <f t="shared" ref="M128:M135" si="99">SUM(K128:L128)</f>
        <v>0</v>
      </c>
      <c r="N128" s="435">
        <v>0</v>
      </c>
      <c r="O128" s="435"/>
      <c r="P128" s="435">
        <f t="shared" ref="P128:P135" si="100">SUM(N128:O128)</f>
        <v>0</v>
      </c>
      <c r="Q128" s="435">
        <v>0</v>
      </c>
      <c r="R128" s="435"/>
      <c r="S128" s="435">
        <f t="shared" ref="S128:S135" si="101">SUM(Q128:R128)</f>
        <v>0</v>
      </c>
      <c r="T128" s="435">
        <v>0</v>
      </c>
      <c r="U128" s="435"/>
      <c r="V128" s="435">
        <f t="shared" ref="V128:V135" si="102">SUM(T128:U128)</f>
        <v>0</v>
      </c>
      <c r="X128" s="435">
        <v>0</v>
      </c>
      <c r="Z128" s="435">
        <f t="shared" ref="Z128:Z135" si="103">SUM(G128,J128,M128,P128,S128,V128)</f>
        <v>0</v>
      </c>
      <c r="AA128" s="435"/>
      <c r="AB128" s="435">
        <f>SUM(Z128:AA128)</f>
        <v>0</v>
      </c>
    </row>
    <row r="129" spans="3:28" s="423" customFormat="1">
      <c r="D129" s="423" t="s">
        <v>546</v>
      </c>
      <c r="E129" s="435">
        <v>0</v>
      </c>
      <c r="F129" s="435"/>
      <c r="G129" s="435">
        <f t="shared" si="97"/>
        <v>0</v>
      </c>
      <c r="H129" s="435">
        <v>0</v>
      </c>
      <c r="I129" s="435"/>
      <c r="J129" s="435">
        <f t="shared" si="98"/>
        <v>0</v>
      </c>
      <c r="K129" s="435">
        <v>0</v>
      </c>
      <c r="L129" s="435"/>
      <c r="M129" s="435">
        <f t="shared" si="99"/>
        <v>0</v>
      </c>
      <c r="N129" s="435">
        <v>0</v>
      </c>
      <c r="O129" s="435"/>
      <c r="P129" s="435">
        <f t="shared" si="100"/>
        <v>0</v>
      </c>
      <c r="Q129" s="435">
        <v>0</v>
      </c>
      <c r="R129" s="435"/>
      <c r="S129" s="435">
        <f t="shared" si="101"/>
        <v>0</v>
      </c>
      <c r="T129" s="435">
        <v>0</v>
      </c>
      <c r="U129" s="435"/>
      <c r="V129" s="435">
        <f t="shared" si="102"/>
        <v>0</v>
      </c>
      <c r="X129" s="435">
        <v>0</v>
      </c>
      <c r="Z129" s="435">
        <f t="shared" si="103"/>
        <v>0</v>
      </c>
      <c r="AA129" s="435"/>
      <c r="AB129" s="435">
        <f t="shared" ref="AB129:AB135" si="104">SUM(Z129:AA129)</f>
        <v>0</v>
      </c>
    </row>
    <row r="130" spans="3:28" s="423" customFormat="1">
      <c r="D130" s="423" t="s">
        <v>552</v>
      </c>
      <c r="E130" s="435">
        <v>0</v>
      </c>
      <c r="F130" s="435"/>
      <c r="G130" s="435">
        <f t="shared" si="97"/>
        <v>0</v>
      </c>
      <c r="H130" s="435">
        <v>0</v>
      </c>
      <c r="I130" s="435"/>
      <c r="J130" s="435">
        <f t="shared" si="98"/>
        <v>0</v>
      </c>
      <c r="K130" s="435">
        <v>0</v>
      </c>
      <c r="L130" s="435"/>
      <c r="M130" s="435">
        <f t="shared" si="99"/>
        <v>0</v>
      </c>
      <c r="N130" s="435">
        <v>0</v>
      </c>
      <c r="O130" s="435"/>
      <c r="P130" s="435">
        <f t="shared" si="100"/>
        <v>0</v>
      </c>
      <c r="Q130" s="435">
        <v>0</v>
      </c>
      <c r="R130" s="435"/>
      <c r="S130" s="435">
        <f t="shared" si="101"/>
        <v>0</v>
      </c>
      <c r="T130" s="435">
        <v>0</v>
      </c>
      <c r="U130" s="435"/>
      <c r="V130" s="435">
        <f t="shared" si="102"/>
        <v>0</v>
      </c>
      <c r="X130" s="435">
        <v>0</v>
      </c>
      <c r="Z130" s="435">
        <f t="shared" si="103"/>
        <v>0</v>
      </c>
      <c r="AA130" s="435"/>
      <c r="AB130" s="435">
        <f t="shared" si="104"/>
        <v>0</v>
      </c>
    </row>
    <row r="131" spans="3:28" s="423" customFormat="1">
      <c r="D131" s="423" t="s">
        <v>547</v>
      </c>
      <c r="E131" s="435">
        <v>0</v>
      </c>
      <c r="F131" s="435"/>
      <c r="G131" s="435">
        <f t="shared" si="97"/>
        <v>0</v>
      </c>
      <c r="H131" s="435">
        <v>0</v>
      </c>
      <c r="I131" s="435"/>
      <c r="J131" s="435">
        <f t="shared" si="98"/>
        <v>0</v>
      </c>
      <c r="K131" s="435">
        <v>0</v>
      </c>
      <c r="L131" s="435"/>
      <c r="M131" s="435">
        <f t="shared" si="99"/>
        <v>0</v>
      </c>
      <c r="N131" s="435">
        <v>0</v>
      </c>
      <c r="O131" s="435"/>
      <c r="P131" s="435">
        <f t="shared" si="100"/>
        <v>0</v>
      </c>
      <c r="Q131" s="435">
        <v>0</v>
      </c>
      <c r="R131" s="435"/>
      <c r="S131" s="435">
        <f t="shared" si="101"/>
        <v>0</v>
      </c>
      <c r="T131" s="435">
        <v>0</v>
      </c>
      <c r="U131" s="435"/>
      <c r="V131" s="435">
        <f t="shared" si="102"/>
        <v>0</v>
      </c>
      <c r="X131" s="435">
        <v>0</v>
      </c>
      <c r="Z131" s="435">
        <f t="shared" si="103"/>
        <v>0</v>
      </c>
      <c r="AA131" s="435"/>
      <c r="AB131" s="435">
        <f t="shared" si="104"/>
        <v>0</v>
      </c>
    </row>
    <row r="132" spans="3:28" s="423" customFormat="1">
      <c r="D132" s="423" t="s">
        <v>548</v>
      </c>
      <c r="E132" s="435">
        <v>0</v>
      </c>
      <c r="F132" s="435"/>
      <c r="G132" s="435">
        <f t="shared" si="97"/>
        <v>0</v>
      </c>
      <c r="H132" s="435">
        <v>0</v>
      </c>
      <c r="I132" s="435"/>
      <c r="J132" s="435">
        <f t="shared" si="98"/>
        <v>0</v>
      </c>
      <c r="K132" s="435">
        <v>0</v>
      </c>
      <c r="L132" s="435"/>
      <c r="M132" s="435">
        <f t="shared" si="99"/>
        <v>0</v>
      </c>
      <c r="N132" s="435">
        <v>0</v>
      </c>
      <c r="O132" s="435"/>
      <c r="P132" s="435">
        <f t="shared" si="100"/>
        <v>0</v>
      </c>
      <c r="Q132" s="435">
        <v>0</v>
      </c>
      <c r="R132" s="435"/>
      <c r="S132" s="435">
        <f t="shared" si="101"/>
        <v>0</v>
      </c>
      <c r="T132" s="435">
        <v>0</v>
      </c>
      <c r="U132" s="435"/>
      <c r="V132" s="435">
        <f t="shared" si="102"/>
        <v>0</v>
      </c>
      <c r="X132" s="435">
        <v>0</v>
      </c>
      <c r="Z132" s="435">
        <f t="shared" si="103"/>
        <v>0</v>
      </c>
      <c r="AA132" s="435"/>
      <c r="AB132" s="435">
        <f t="shared" si="104"/>
        <v>0</v>
      </c>
    </row>
    <row r="133" spans="3:28" s="423" customFormat="1">
      <c r="D133" s="423" t="s">
        <v>545</v>
      </c>
      <c r="E133" s="435">
        <v>0</v>
      </c>
      <c r="F133" s="435"/>
      <c r="G133" s="435">
        <f t="shared" si="97"/>
        <v>0</v>
      </c>
      <c r="H133" s="435">
        <v>0</v>
      </c>
      <c r="I133" s="435"/>
      <c r="J133" s="435">
        <f t="shared" si="98"/>
        <v>0</v>
      </c>
      <c r="K133" s="435">
        <v>0</v>
      </c>
      <c r="L133" s="435"/>
      <c r="M133" s="435">
        <f t="shared" si="99"/>
        <v>0</v>
      </c>
      <c r="N133" s="435">
        <v>0</v>
      </c>
      <c r="O133" s="435"/>
      <c r="P133" s="435">
        <f t="shared" si="100"/>
        <v>0</v>
      </c>
      <c r="Q133" s="435">
        <v>0</v>
      </c>
      <c r="R133" s="435"/>
      <c r="S133" s="435">
        <f t="shared" si="101"/>
        <v>0</v>
      </c>
      <c r="T133" s="435">
        <v>0</v>
      </c>
      <c r="U133" s="435"/>
      <c r="V133" s="435">
        <f t="shared" si="102"/>
        <v>0</v>
      </c>
      <c r="X133" s="435">
        <v>0</v>
      </c>
      <c r="Z133" s="435">
        <f t="shared" si="103"/>
        <v>0</v>
      </c>
      <c r="AA133" s="435"/>
      <c r="AB133" s="435">
        <f t="shared" si="104"/>
        <v>0</v>
      </c>
    </row>
    <row r="134" spans="3:28" s="423" customFormat="1">
      <c r="D134" s="423" t="s">
        <v>549</v>
      </c>
      <c r="E134" s="435">
        <v>0</v>
      </c>
      <c r="F134" s="435"/>
      <c r="G134" s="435">
        <f t="shared" si="97"/>
        <v>0</v>
      </c>
      <c r="H134" s="435">
        <v>0</v>
      </c>
      <c r="I134" s="435"/>
      <c r="J134" s="435">
        <f t="shared" si="98"/>
        <v>0</v>
      </c>
      <c r="K134" s="435">
        <v>0</v>
      </c>
      <c r="L134" s="435"/>
      <c r="M134" s="435">
        <f t="shared" si="99"/>
        <v>0</v>
      </c>
      <c r="N134" s="435">
        <v>0</v>
      </c>
      <c r="O134" s="435"/>
      <c r="P134" s="435">
        <f t="shared" si="100"/>
        <v>0</v>
      </c>
      <c r="Q134" s="435">
        <v>0</v>
      </c>
      <c r="R134" s="435"/>
      <c r="S134" s="435">
        <f t="shared" si="101"/>
        <v>0</v>
      </c>
      <c r="T134" s="435">
        <v>0</v>
      </c>
      <c r="U134" s="435"/>
      <c r="V134" s="435">
        <f t="shared" si="102"/>
        <v>0</v>
      </c>
      <c r="X134" s="435">
        <v>0</v>
      </c>
      <c r="Z134" s="435">
        <f t="shared" si="103"/>
        <v>0</v>
      </c>
      <c r="AA134" s="435"/>
      <c r="AB134" s="435">
        <f t="shared" si="104"/>
        <v>0</v>
      </c>
    </row>
    <row r="135" spans="3:28" s="423" customFormat="1">
      <c r="D135" s="434" t="s">
        <v>544</v>
      </c>
      <c r="E135" s="435">
        <v>0</v>
      </c>
      <c r="F135" s="435"/>
      <c r="G135" s="435">
        <f t="shared" si="97"/>
        <v>0</v>
      </c>
      <c r="H135" s="435">
        <v>0</v>
      </c>
      <c r="I135" s="435"/>
      <c r="J135" s="435">
        <f t="shared" si="98"/>
        <v>0</v>
      </c>
      <c r="K135" s="435">
        <v>0</v>
      </c>
      <c r="L135" s="435"/>
      <c r="M135" s="435">
        <f t="shared" si="99"/>
        <v>0</v>
      </c>
      <c r="N135" s="435">
        <v>0</v>
      </c>
      <c r="O135" s="435"/>
      <c r="P135" s="435">
        <f t="shared" si="100"/>
        <v>0</v>
      </c>
      <c r="Q135" s="435">
        <v>0</v>
      </c>
      <c r="R135" s="435"/>
      <c r="S135" s="435">
        <f t="shared" si="101"/>
        <v>0</v>
      </c>
      <c r="T135" s="435">
        <v>0</v>
      </c>
      <c r="U135" s="435"/>
      <c r="V135" s="435">
        <f t="shared" si="102"/>
        <v>0</v>
      </c>
      <c r="X135" s="435">
        <v>0</v>
      </c>
      <c r="Z135" s="435">
        <f t="shared" si="103"/>
        <v>0</v>
      </c>
      <c r="AA135" s="435"/>
      <c r="AB135" s="435">
        <f t="shared" si="104"/>
        <v>0</v>
      </c>
    </row>
    <row r="136" spans="3:28" s="423" customFormat="1">
      <c r="D136" s="434"/>
      <c r="E136" s="435"/>
      <c r="F136" s="435"/>
      <c r="G136" s="435"/>
      <c r="H136" s="435"/>
      <c r="I136" s="435"/>
      <c r="J136" s="435"/>
      <c r="K136" s="435"/>
      <c r="L136" s="435"/>
      <c r="M136" s="435"/>
      <c r="N136" s="435"/>
      <c r="O136" s="435"/>
      <c r="P136" s="435"/>
      <c r="Q136" s="435"/>
      <c r="R136" s="435"/>
      <c r="S136" s="435"/>
      <c r="T136" s="435"/>
      <c r="U136" s="435"/>
      <c r="V136" s="435"/>
      <c r="X136" s="435"/>
      <c r="Z136" s="435"/>
      <c r="AA136" s="435"/>
      <c r="AB136" s="435"/>
    </row>
    <row r="137" spans="3:28" s="423" customFormat="1">
      <c r="C137" s="438" t="s">
        <v>532</v>
      </c>
      <c r="D137" s="439"/>
      <c r="E137" s="435"/>
      <c r="F137" s="435"/>
      <c r="G137" s="435"/>
      <c r="H137" s="435"/>
      <c r="I137" s="435"/>
      <c r="J137" s="435"/>
      <c r="K137" s="435"/>
      <c r="L137" s="435"/>
      <c r="M137" s="435"/>
      <c r="N137" s="435"/>
      <c r="O137" s="435"/>
      <c r="P137" s="435"/>
      <c r="Q137" s="435"/>
      <c r="R137" s="435"/>
      <c r="S137" s="435"/>
      <c r="T137" s="435"/>
      <c r="U137" s="435"/>
      <c r="V137" s="435"/>
      <c r="X137" s="435"/>
      <c r="Z137" s="435"/>
      <c r="AA137" s="435"/>
      <c r="AB137" s="435"/>
    </row>
    <row r="138" spans="3:28" s="423" customFormat="1">
      <c r="D138" s="423" t="s">
        <v>550</v>
      </c>
      <c r="E138" s="435">
        <v>0</v>
      </c>
      <c r="F138" s="435"/>
      <c r="G138" s="435">
        <f t="shared" ref="G138:G151" si="105">SUM(E138:F138)</f>
        <v>0</v>
      </c>
      <c r="H138" s="435"/>
      <c r="I138" s="435"/>
      <c r="J138" s="435">
        <f t="shared" ref="J138:J151" si="106">SUM(H138:I138)</f>
        <v>0</v>
      </c>
      <c r="K138" s="435"/>
      <c r="L138" s="435"/>
      <c r="M138" s="435">
        <f t="shared" ref="M138:M151" si="107">SUM(K138:L138)</f>
        <v>0</v>
      </c>
      <c r="N138" s="435">
        <v>0</v>
      </c>
      <c r="O138" s="435"/>
      <c r="P138" s="435">
        <f t="shared" ref="P138:P151" si="108">SUM(N138:O138)</f>
        <v>0</v>
      </c>
      <c r="Q138" s="435"/>
      <c r="R138" s="435"/>
      <c r="S138" s="435">
        <f t="shared" ref="S138:S151" si="109">SUM(Q138:R138)</f>
        <v>0</v>
      </c>
      <c r="T138" s="435">
        <v>0</v>
      </c>
      <c r="U138" s="435"/>
      <c r="V138" s="435">
        <f t="shared" ref="V138:V151" si="110">SUM(T138:U138)</f>
        <v>0</v>
      </c>
      <c r="X138" s="435">
        <v>0</v>
      </c>
      <c r="Z138" s="435">
        <f t="shared" ref="Z138:Z151" si="111">SUM(G138,J138,M138,P138,S138,V138)</f>
        <v>0</v>
      </c>
      <c r="AA138" s="435"/>
      <c r="AB138" s="435">
        <f t="shared" ref="AB138:AB151" si="112">SUM(Z138:AA138)</f>
        <v>0</v>
      </c>
    </row>
    <row r="139" spans="3:28" s="423" customFormat="1">
      <c r="D139" s="423" t="s">
        <v>551</v>
      </c>
      <c r="E139" s="435">
        <v>0</v>
      </c>
      <c r="F139" s="435"/>
      <c r="G139" s="435">
        <f t="shared" si="105"/>
        <v>0</v>
      </c>
      <c r="H139" s="435">
        <v>0</v>
      </c>
      <c r="I139" s="435"/>
      <c r="J139" s="435">
        <f t="shared" si="106"/>
        <v>0</v>
      </c>
      <c r="K139" s="435">
        <v>0</v>
      </c>
      <c r="L139" s="435"/>
      <c r="M139" s="435">
        <f t="shared" si="107"/>
        <v>0</v>
      </c>
      <c r="N139" s="435">
        <v>0</v>
      </c>
      <c r="O139" s="435"/>
      <c r="P139" s="435">
        <f t="shared" si="108"/>
        <v>0</v>
      </c>
      <c r="Q139" s="435">
        <v>0</v>
      </c>
      <c r="R139" s="435"/>
      <c r="S139" s="435">
        <f t="shared" si="109"/>
        <v>0</v>
      </c>
      <c r="T139" s="435">
        <v>0</v>
      </c>
      <c r="U139" s="435"/>
      <c r="V139" s="435">
        <f t="shared" si="110"/>
        <v>0</v>
      </c>
      <c r="X139" s="435">
        <v>0</v>
      </c>
      <c r="Z139" s="435">
        <f t="shared" si="111"/>
        <v>0</v>
      </c>
      <c r="AA139" s="435"/>
      <c r="AB139" s="435">
        <f t="shared" si="112"/>
        <v>0</v>
      </c>
    </row>
    <row r="140" spans="3:28" s="423" customFormat="1">
      <c r="D140" s="423" t="s">
        <v>556</v>
      </c>
      <c r="E140" s="435">
        <v>0</v>
      </c>
      <c r="F140" s="435"/>
      <c r="G140" s="435">
        <f t="shared" si="105"/>
        <v>0</v>
      </c>
      <c r="H140" s="435">
        <v>0</v>
      </c>
      <c r="I140" s="435"/>
      <c r="J140" s="435">
        <f t="shared" si="106"/>
        <v>0</v>
      </c>
      <c r="K140" s="435">
        <v>0</v>
      </c>
      <c r="L140" s="435"/>
      <c r="M140" s="435">
        <f t="shared" si="107"/>
        <v>0</v>
      </c>
      <c r="N140" s="435">
        <v>0</v>
      </c>
      <c r="O140" s="435"/>
      <c r="P140" s="435">
        <f t="shared" si="108"/>
        <v>0</v>
      </c>
      <c r="Q140" s="435">
        <v>0</v>
      </c>
      <c r="R140" s="435"/>
      <c r="S140" s="435">
        <f t="shared" si="109"/>
        <v>0</v>
      </c>
      <c r="T140" s="435">
        <v>0</v>
      </c>
      <c r="U140" s="435"/>
      <c r="V140" s="435">
        <f t="shared" si="110"/>
        <v>0</v>
      </c>
      <c r="X140" s="435">
        <v>0</v>
      </c>
      <c r="Z140" s="435">
        <f t="shared" si="111"/>
        <v>0</v>
      </c>
      <c r="AA140" s="435"/>
      <c r="AB140" s="435">
        <f t="shared" si="112"/>
        <v>0</v>
      </c>
    </row>
    <row r="141" spans="3:28" s="423" customFormat="1">
      <c r="D141" s="423"/>
      <c r="E141" s="435">
        <v>0</v>
      </c>
      <c r="F141" s="435"/>
      <c r="G141" s="435">
        <f t="shared" si="105"/>
        <v>0</v>
      </c>
      <c r="H141" s="435">
        <v>0</v>
      </c>
      <c r="I141" s="435"/>
      <c r="J141" s="435">
        <f t="shared" si="106"/>
        <v>0</v>
      </c>
      <c r="K141" s="435">
        <v>0</v>
      </c>
      <c r="L141" s="435"/>
      <c r="M141" s="435">
        <f t="shared" si="107"/>
        <v>0</v>
      </c>
      <c r="N141" s="435">
        <v>0</v>
      </c>
      <c r="O141" s="435"/>
      <c r="P141" s="435">
        <f t="shared" si="108"/>
        <v>0</v>
      </c>
      <c r="Q141" s="435">
        <v>0</v>
      </c>
      <c r="R141" s="435"/>
      <c r="S141" s="435">
        <f t="shared" si="109"/>
        <v>0</v>
      </c>
      <c r="T141" s="435">
        <v>0</v>
      </c>
      <c r="U141" s="435"/>
      <c r="V141" s="435">
        <f t="shared" si="110"/>
        <v>0</v>
      </c>
      <c r="X141" s="435">
        <v>0</v>
      </c>
      <c r="Z141" s="435">
        <f t="shared" si="111"/>
        <v>0</v>
      </c>
      <c r="AA141" s="435"/>
      <c r="AB141" s="435">
        <f t="shared" si="112"/>
        <v>0</v>
      </c>
    </row>
    <row r="142" spans="3:28" s="423" customFormat="1">
      <c r="D142" s="423" t="s">
        <v>553</v>
      </c>
      <c r="E142" s="435">
        <v>0</v>
      </c>
      <c r="F142" s="435"/>
      <c r="G142" s="435">
        <f t="shared" si="105"/>
        <v>0</v>
      </c>
      <c r="H142" s="435">
        <v>0</v>
      </c>
      <c r="I142" s="435"/>
      <c r="J142" s="435">
        <f t="shared" si="106"/>
        <v>0</v>
      </c>
      <c r="K142" s="435">
        <v>0</v>
      </c>
      <c r="L142" s="435"/>
      <c r="M142" s="435">
        <f t="shared" si="107"/>
        <v>0</v>
      </c>
      <c r="N142" s="435">
        <v>0</v>
      </c>
      <c r="O142" s="435"/>
      <c r="P142" s="435">
        <f t="shared" si="108"/>
        <v>0</v>
      </c>
      <c r="Q142" s="435">
        <v>0</v>
      </c>
      <c r="R142" s="435"/>
      <c r="S142" s="435">
        <f t="shared" si="109"/>
        <v>0</v>
      </c>
      <c r="T142" s="435">
        <v>0</v>
      </c>
      <c r="U142" s="435"/>
      <c r="V142" s="435">
        <f t="shared" si="110"/>
        <v>0</v>
      </c>
      <c r="X142" s="435">
        <v>0</v>
      </c>
      <c r="Z142" s="435">
        <f t="shared" si="111"/>
        <v>0</v>
      </c>
      <c r="AA142" s="435"/>
      <c r="AB142" s="435">
        <f t="shared" si="112"/>
        <v>0</v>
      </c>
    </row>
    <row r="143" spans="3:28" s="423" customFormat="1">
      <c r="D143" s="423" t="s">
        <v>554</v>
      </c>
      <c r="E143" s="435">
        <v>0</v>
      </c>
      <c r="F143" s="435"/>
      <c r="G143" s="435">
        <f t="shared" ref="G143:G150" si="113">SUM(E143:F143)</f>
        <v>0</v>
      </c>
      <c r="H143" s="435">
        <v>0</v>
      </c>
      <c r="I143" s="435"/>
      <c r="J143" s="435">
        <f t="shared" ref="J143:J150" si="114">SUM(H143:I143)</f>
        <v>0</v>
      </c>
      <c r="K143" s="435">
        <v>0</v>
      </c>
      <c r="L143" s="435"/>
      <c r="M143" s="435">
        <f t="shared" ref="M143:M150" si="115">SUM(K143:L143)</f>
        <v>0</v>
      </c>
      <c r="N143" s="435">
        <v>0</v>
      </c>
      <c r="O143" s="435"/>
      <c r="P143" s="435">
        <f t="shared" ref="P143:P150" si="116">SUM(N143:O143)</f>
        <v>0</v>
      </c>
      <c r="Q143" s="435">
        <v>0</v>
      </c>
      <c r="R143" s="435"/>
      <c r="S143" s="435">
        <f t="shared" ref="S143:S150" si="117">SUM(Q143:R143)</f>
        <v>0</v>
      </c>
      <c r="T143" s="435">
        <v>0</v>
      </c>
      <c r="U143" s="435"/>
      <c r="V143" s="435">
        <f t="shared" ref="V143:V150" si="118">SUM(T143:U143)</f>
        <v>0</v>
      </c>
      <c r="X143" s="435">
        <v>0</v>
      </c>
      <c r="Z143" s="435">
        <f t="shared" si="111"/>
        <v>0</v>
      </c>
      <c r="AA143" s="435"/>
      <c r="AB143" s="435">
        <f t="shared" si="112"/>
        <v>0</v>
      </c>
    </row>
    <row r="144" spans="3:28" s="423" customFormat="1">
      <c r="D144" s="434"/>
      <c r="E144" s="435">
        <v>0</v>
      </c>
      <c r="F144" s="435"/>
      <c r="G144" s="435">
        <f t="shared" si="113"/>
        <v>0</v>
      </c>
      <c r="H144" s="435">
        <v>0</v>
      </c>
      <c r="I144" s="435"/>
      <c r="J144" s="435">
        <f t="shared" si="114"/>
        <v>0</v>
      </c>
      <c r="K144" s="435">
        <v>0</v>
      </c>
      <c r="L144" s="435"/>
      <c r="M144" s="435">
        <f t="shared" si="115"/>
        <v>0</v>
      </c>
      <c r="N144" s="435">
        <v>0</v>
      </c>
      <c r="O144" s="435"/>
      <c r="P144" s="435">
        <f t="shared" si="116"/>
        <v>0</v>
      </c>
      <c r="Q144" s="435">
        <v>0</v>
      </c>
      <c r="R144" s="435"/>
      <c r="S144" s="435">
        <f t="shared" si="117"/>
        <v>0</v>
      </c>
      <c r="T144" s="435">
        <v>0</v>
      </c>
      <c r="U144" s="435"/>
      <c r="V144" s="435">
        <f t="shared" si="118"/>
        <v>0</v>
      </c>
      <c r="X144" s="435">
        <v>0</v>
      </c>
      <c r="Z144" s="435">
        <f t="shared" si="111"/>
        <v>0</v>
      </c>
      <c r="AA144" s="435"/>
      <c r="AB144" s="435">
        <f t="shared" si="112"/>
        <v>0</v>
      </c>
    </row>
    <row r="145" spans="3:28" s="423" customFormat="1">
      <c r="D145" s="434"/>
      <c r="E145" s="435">
        <v>0</v>
      </c>
      <c r="F145" s="435"/>
      <c r="G145" s="435">
        <f t="shared" si="113"/>
        <v>0</v>
      </c>
      <c r="H145" s="435">
        <v>0</v>
      </c>
      <c r="I145" s="435"/>
      <c r="J145" s="435">
        <f t="shared" si="114"/>
        <v>0</v>
      </c>
      <c r="K145" s="435">
        <v>0</v>
      </c>
      <c r="L145" s="435"/>
      <c r="M145" s="435">
        <f t="shared" si="115"/>
        <v>0</v>
      </c>
      <c r="N145" s="435">
        <v>0</v>
      </c>
      <c r="O145" s="435"/>
      <c r="P145" s="435">
        <f t="shared" si="116"/>
        <v>0</v>
      </c>
      <c r="Q145" s="435">
        <v>0</v>
      </c>
      <c r="R145" s="435"/>
      <c r="S145" s="435">
        <f t="shared" si="117"/>
        <v>0</v>
      </c>
      <c r="T145" s="435">
        <v>0</v>
      </c>
      <c r="U145" s="435"/>
      <c r="V145" s="435">
        <f t="shared" si="118"/>
        <v>0</v>
      </c>
      <c r="X145" s="435">
        <v>0</v>
      </c>
      <c r="Z145" s="435">
        <f t="shared" si="111"/>
        <v>0</v>
      </c>
      <c r="AA145" s="435"/>
      <c r="AB145" s="435">
        <f t="shared" si="112"/>
        <v>0</v>
      </c>
    </row>
    <row r="146" spans="3:28" s="423" customFormat="1">
      <c r="D146" s="434"/>
      <c r="E146" s="435">
        <v>0</v>
      </c>
      <c r="F146" s="435"/>
      <c r="G146" s="435">
        <f t="shared" si="113"/>
        <v>0</v>
      </c>
      <c r="H146" s="435">
        <v>0</v>
      </c>
      <c r="I146" s="435"/>
      <c r="J146" s="435">
        <f t="shared" si="114"/>
        <v>0</v>
      </c>
      <c r="K146" s="435">
        <v>0</v>
      </c>
      <c r="L146" s="435"/>
      <c r="M146" s="435">
        <f t="shared" si="115"/>
        <v>0</v>
      </c>
      <c r="N146" s="435">
        <v>0</v>
      </c>
      <c r="O146" s="435"/>
      <c r="P146" s="435">
        <f t="shared" si="116"/>
        <v>0</v>
      </c>
      <c r="Q146" s="435">
        <v>0</v>
      </c>
      <c r="R146" s="435"/>
      <c r="S146" s="435">
        <f t="shared" si="117"/>
        <v>0</v>
      </c>
      <c r="T146" s="435">
        <v>0</v>
      </c>
      <c r="U146" s="435"/>
      <c r="V146" s="435">
        <f t="shared" si="118"/>
        <v>0</v>
      </c>
      <c r="X146" s="435">
        <v>0</v>
      </c>
      <c r="Z146" s="435">
        <f t="shared" si="111"/>
        <v>0</v>
      </c>
      <c r="AA146" s="435"/>
      <c r="AB146" s="435">
        <f t="shared" si="112"/>
        <v>0</v>
      </c>
    </row>
    <row r="147" spans="3:28" s="423" customFormat="1">
      <c r="D147" s="434"/>
      <c r="E147" s="435">
        <v>0</v>
      </c>
      <c r="F147" s="435"/>
      <c r="G147" s="435">
        <f t="shared" si="113"/>
        <v>0</v>
      </c>
      <c r="H147" s="435">
        <v>0</v>
      </c>
      <c r="I147" s="435"/>
      <c r="J147" s="435">
        <f t="shared" si="114"/>
        <v>0</v>
      </c>
      <c r="K147" s="435">
        <v>0</v>
      </c>
      <c r="L147" s="435"/>
      <c r="M147" s="435">
        <f t="shared" si="115"/>
        <v>0</v>
      </c>
      <c r="N147" s="435">
        <v>0</v>
      </c>
      <c r="O147" s="435"/>
      <c r="P147" s="435">
        <f t="shared" si="116"/>
        <v>0</v>
      </c>
      <c r="Q147" s="435">
        <v>0</v>
      </c>
      <c r="R147" s="435"/>
      <c r="S147" s="435">
        <f t="shared" si="117"/>
        <v>0</v>
      </c>
      <c r="T147" s="435">
        <v>0</v>
      </c>
      <c r="U147" s="435"/>
      <c r="V147" s="435">
        <f t="shared" si="118"/>
        <v>0</v>
      </c>
      <c r="X147" s="435">
        <v>0</v>
      </c>
      <c r="Z147" s="435">
        <f t="shared" si="111"/>
        <v>0</v>
      </c>
      <c r="AA147" s="435"/>
      <c r="AB147" s="435">
        <f t="shared" si="112"/>
        <v>0</v>
      </c>
    </row>
    <row r="148" spans="3:28" s="423" customFormat="1">
      <c r="D148" s="434"/>
      <c r="E148" s="435">
        <v>0</v>
      </c>
      <c r="F148" s="435"/>
      <c r="G148" s="435">
        <f t="shared" si="113"/>
        <v>0</v>
      </c>
      <c r="H148" s="435">
        <v>0</v>
      </c>
      <c r="I148" s="435"/>
      <c r="J148" s="435">
        <f t="shared" si="114"/>
        <v>0</v>
      </c>
      <c r="K148" s="435">
        <v>0</v>
      </c>
      <c r="L148" s="435"/>
      <c r="M148" s="435">
        <f t="shared" si="115"/>
        <v>0</v>
      </c>
      <c r="N148" s="435">
        <v>0</v>
      </c>
      <c r="O148" s="435"/>
      <c r="P148" s="435">
        <f t="shared" si="116"/>
        <v>0</v>
      </c>
      <c r="Q148" s="435">
        <v>0</v>
      </c>
      <c r="R148" s="435"/>
      <c r="S148" s="435">
        <f t="shared" si="117"/>
        <v>0</v>
      </c>
      <c r="T148" s="435">
        <v>0</v>
      </c>
      <c r="U148" s="435"/>
      <c r="V148" s="435">
        <f t="shared" si="118"/>
        <v>0</v>
      </c>
      <c r="X148" s="435">
        <v>0</v>
      </c>
      <c r="Z148" s="435">
        <f t="shared" si="111"/>
        <v>0</v>
      </c>
      <c r="AA148" s="435"/>
      <c r="AB148" s="435">
        <f t="shared" si="112"/>
        <v>0</v>
      </c>
    </row>
    <row r="149" spans="3:28" s="423" customFormat="1">
      <c r="D149" s="434"/>
      <c r="E149" s="435">
        <v>0</v>
      </c>
      <c r="F149" s="435"/>
      <c r="G149" s="435">
        <f t="shared" si="113"/>
        <v>0</v>
      </c>
      <c r="H149" s="435">
        <v>0</v>
      </c>
      <c r="I149" s="435"/>
      <c r="J149" s="435">
        <f t="shared" si="114"/>
        <v>0</v>
      </c>
      <c r="K149" s="435">
        <v>0</v>
      </c>
      <c r="L149" s="435"/>
      <c r="M149" s="435">
        <f t="shared" si="115"/>
        <v>0</v>
      </c>
      <c r="N149" s="435">
        <v>0</v>
      </c>
      <c r="O149" s="435"/>
      <c r="P149" s="435">
        <f t="shared" si="116"/>
        <v>0</v>
      </c>
      <c r="Q149" s="435">
        <v>0</v>
      </c>
      <c r="R149" s="435"/>
      <c r="S149" s="435">
        <f t="shared" si="117"/>
        <v>0</v>
      </c>
      <c r="T149" s="435">
        <v>0</v>
      </c>
      <c r="U149" s="435"/>
      <c r="V149" s="435">
        <f t="shared" si="118"/>
        <v>0</v>
      </c>
      <c r="X149" s="435">
        <v>0</v>
      </c>
      <c r="Z149" s="435">
        <f t="shared" si="111"/>
        <v>0</v>
      </c>
      <c r="AA149" s="435"/>
      <c r="AB149" s="435">
        <f t="shared" si="112"/>
        <v>0</v>
      </c>
    </row>
    <row r="150" spans="3:28" s="423" customFormat="1">
      <c r="D150" s="434"/>
      <c r="E150" s="435">
        <v>0</v>
      </c>
      <c r="F150" s="435"/>
      <c r="G150" s="435">
        <f t="shared" si="113"/>
        <v>0</v>
      </c>
      <c r="H150" s="435">
        <v>0</v>
      </c>
      <c r="I150" s="435"/>
      <c r="J150" s="435">
        <f t="shared" si="114"/>
        <v>0</v>
      </c>
      <c r="K150" s="435">
        <v>0</v>
      </c>
      <c r="L150" s="435"/>
      <c r="M150" s="435">
        <f t="shared" si="115"/>
        <v>0</v>
      </c>
      <c r="N150" s="435">
        <v>0</v>
      </c>
      <c r="O150" s="435"/>
      <c r="P150" s="435">
        <f t="shared" si="116"/>
        <v>0</v>
      </c>
      <c r="Q150" s="435">
        <v>0</v>
      </c>
      <c r="R150" s="435"/>
      <c r="S150" s="435">
        <f t="shared" si="117"/>
        <v>0</v>
      </c>
      <c r="T150" s="435">
        <v>0</v>
      </c>
      <c r="U150" s="435"/>
      <c r="V150" s="435">
        <f t="shared" si="118"/>
        <v>0</v>
      </c>
      <c r="X150" s="435">
        <v>0</v>
      </c>
      <c r="Z150" s="435">
        <f t="shared" si="111"/>
        <v>0</v>
      </c>
      <c r="AA150" s="435"/>
      <c r="AB150" s="435">
        <f t="shared" si="112"/>
        <v>0</v>
      </c>
    </row>
    <row r="151" spans="3:28" s="423" customFormat="1">
      <c r="D151" s="423"/>
      <c r="E151" s="435">
        <v>0</v>
      </c>
      <c r="F151" s="435"/>
      <c r="G151" s="435">
        <f t="shared" si="105"/>
        <v>0</v>
      </c>
      <c r="H151" s="435">
        <v>0</v>
      </c>
      <c r="I151" s="435"/>
      <c r="J151" s="435">
        <f t="shared" si="106"/>
        <v>0</v>
      </c>
      <c r="K151" s="435">
        <v>0</v>
      </c>
      <c r="L151" s="435"/>
      <c r="M151" s="435">
        <f t="shared" si="107"/>
        <v>0</v>
      </c>
      <c r="N151" s="435">
        <v>0</v>
      </c>
      <c r="O151" s="435"/>
      <c r="P151" s="435">
        <f t="shared" si="108"/>
        <v>0</v>
      </c>
      <c r="Q151" s="435">
        <v>0</v>
      </c>
      <c r="R151" s="435"/>
      <c r="S151" s="435">
        <f t="shared" si="109"/>
        <v>0</v>
      </c>
      <c r="T151" s="435">
        <v>0</v>
      </c>
      <c r="U151" s="435"/>
      <c r="V151" s="435">
        <f t="shared" si="110"/>
        <v>0</v>
      </c>
      <c r="X151" s="435">
        <v>0</v>
      </c>
      <c r="Z151" s="435">
        <f t="shared" si="111"/>
        <v>0</v>
      </c>
      <c r="AA151" s="435"/>
      <c r="AB151" s="435">
        <f t="shared" si="112"/>
        <v>0</v>
      </c>
    </row>
    <row r="152" spans="3:28" s="423" customFormat="1">
      <c r="D152" s="434"/>
      <c r="E152" s="435"/>
      <c r="F152" s="435"/>
      <c r="G152" s="435"/>
      <c r="H152" s="435">
        <v>0</v>
      </c>
      <c r="I152" s="435"/>
      <c r="J152" s="435"/>
      <c r="K152" s="435">
        <v>0</v>
      </c>
      <c r="L152" s="435"/>
      <c r="M152" s="435"/>
      <c r="N152" s="435"/>
      <c r="O152" s="435"/>
      <c r="P152" s="435"/>
      <c r="Q152" s="435">
        <v>0</v>
      </c>
      <c r="R152" s="435"/>
      <c r="S152" s="435"/>
      <c r="T152" s="435"/>
      <c r="U152" s="435"/>
      <c r="V152" s="435"/>
      <c r="X152" s="435"/>
      <c r="Z152" s="435"/>
      <c r="AA152" s="435"/>
      <c r="AB152" s="435"/>
    </row>
    <row r="153" spans="3:28" s="423" customFormat="1">
      <c r="C153" s="438" t="s">
        <v>441</v>
      </c>
      <c r="D153" s="455"/>
      <c r="E153" s="435"/>
      <c r="F153" s="435"/>
      <c r="G153" s="435"/>
      <c r="H153" s="435"/>
      <c r="I153" s="435"/>
      <c r="J153" s="435"/>
      <c r="K153" s="435"/>
      <c r="L153" s="435"/>
      <c r="M153" s="435"/>
      <c r="N153" s="435"/>
      <c r="O153" s="435"/>
      <c r="P153" s="435"/>
      <c r="Q153" s="435"/>
      <c r="R153" s="435"/>
      <c r="S153" s="435"/>
      <c r="T153" s="435"/>
      <c r="U153" s="435"/>
      <c r="V153" s="435"/>
      <c r="X153" s="435"/>
      <c r="Z153" s="435"/>
      <c r="AA153" s="435"/>
      <c r="AB153" s="435"/>
    </row>
    <row r="154" spans="3:28" s="423" customFormat="1">
      <c r="D154" s="434" t="s">
        <v>555</v>
      </c>
      <c r="E154" s="435">
        <v>0</v>
      </c>
      <c r="F154" s="435"/>
      <c r="G154" s="435">
        <f t="shared" ref="G154:G155" si="119">SUM(E154:F154)</f>
        <v>0</v>
      </c>
      <c r="H154" s="435">
        <v>0</v>
      </c>
      <c r="I154" s="435"/>
      <c r="J154" s="435">
        <f t="shared" ref="J154:J155" si="120">SUM(H154:I154)</f>
        <v>0</v>
      </c>
      <c r="K154" s="435">
        <v>11812500</v>
      </c>
      <c r="L154" s="435"/>
      <c r="M154" s="435">
        <f t="shared" ref="M154:M155" si="121">SUM(K154:L154)</f>
        <v>11812500</v>
      </c>
      <c r="N154" s="435">
        <v>894600000</v>
      </c>
      <c r="O154" s="435"/>
      <c r="P154" s="435">
        <f t="shared" ref="P154:P155" si="122">SUM(N154:O154)</f>
        <v>894600000</v>
      </c>
      <c r="Q154" s="435">
        <v>334687500</v>
      </c>
      <c r="R154" s="435"/>
      <c r="S154" s="435">
        <f t="shared" ref="S154:S155" si="123">SUM(Q154:R154)</f>
        <v>334687500</v>
      </c>
      <c r="T154" s="435">
        <v>0</v>
      </c>
      <c r="U154" s="435"/>
      <c r="V154" s="435">
        <f t="shared" ref="V154:V155" si="124">SUM(T154:U154)</f>
        <v>0</v>
      </c>
      <c r="X154" s="435"/>
      <c r="Z154" s="435">
        <f>SUM(G154,J154,M154,P154,S154,V154)</f>
        <v>1241100000</v>
      </c>
      <c r="AA154" s="435"/>
      <c r="AB154" s="435">
        <f t="shared" ref="AB154:AB155" si="125">SUM(Z154:AA154)</f>
        <v>1241100000</v>
      </c>
    </row>
    <row r="155" spans="3:28" s="423" customFormat="1">
      <c r="D155" s="434"/>
      <c r="E155" s="435">
        <v>0</v>
      </c>
      <c r="F155" s="435"/>
      <c r="G155" s="435">
        <f t="shared" si="119"/>
        <v>0</v>
      </c>
      <c r="H155" s="435">
        <v>0</v>
      </c>
      <c r="I155" s="435"/>
      <c r="J155" s="435">
        <f t="shared" si="120"/>
        <v>0</v>
      </c>
      <c r="K155" s="435">
        <v>11812500</v>
      </c>
      <c r="L155" s="435"/>
      <c r="M155" s="435">
        <f t="shared" si="121"/>
        <v>11812500</v>
      </c>
      <c r="N155" s="435">
        <v>894600000</v>
      </c>
      <c r="O155" s="435"/>
      <c r="P155" s="435">
        <f t="shared" si="122"/>
        <v>894600000</v>
      </c>
      <c r="Q155" s="435">
        <v>334687500</v>
      </c>
      <c r="R155" s="435"/>
      <c r="S155" s="435">
        <f t="shared" si="123"/>
        <v>334687500</v>
      </c>
      <c r="T155" s="435"/>
      <c r="U155" s="435"/>
      <c r="V155" s="435">
        <f t="shared" si="124"/>
        <v>0</v>
      </c>
      <c r="X155" s="435"/>
      <c r="Z155" s="435">
        <f>SUM(G155,J155,M155,P155,S155,V155)</f>
        <v>1241100000</v>
      </c>
      <c r="AA155" s="435"/>
      <c r="AB155" s="435">
        <f t="shared" si="125"/>
        <v>1241100000</v>
      </c>
    </row>
    <row r="156" spans="3:28" s="423" customFormat="1">
      <c r="E156" s="441"/>
      <c r="F156" s="441"/>
      <c r="G156" s="441"/>
      <c r="H156" s="441"/>
      <c r="I156" s="441"/>
      <c r="J156" s="441"/>
      <c r="K156" s="441"/>
      <c r="L156" s="441"/>
      <c r="M156" s="441"/>
      <c r="N156" s="441"/>
      <c r="O156" s="441"/>
      <c r="P156" s="441"/>
      <c r="Q156" s="441"/>
      <c r="R156" s="441"/>
      <c r="S156" s="441"/>
      <c r="T156" s="441"/>
      <c r="U156" s="441"/>
      <c r="V156" s="441"/>
      <c r="X156" s="441"/>
      <c r="Z156" s="441"/>
      <c r="AA156" s="441"/>
      <c r="AB156" s="441"/>
    </row>
    <row r="157" spans="3:28" s="427" customFormat="1" ht="13">
      <c r="C157" s="427" t="s">
        <v>178</v>
      </c>
      <c r="E157" s="442">
        <f>SUM(E155,E138:E151,E132:E135,E129:E131,E128)</f>
        <v>0</v>
      </c>
      <c r="F157" s="442">
        <f>SUM(F155,F138:F151,F132:F135,F129:F131,F128)</f>
        <v>0</v>
      </c>
      <c r="G157" s="442">
        <f>SUM(G155,G138:G151,G132:G135,G129:G131,G128)</f>
        <v>0</v>
      </c>
      <c r="H157" s="442">
        <f t="shared" ref="H157:V157" si="126">SUM(H128:H155)</f>
        <v>0</v>
      </c>
      <c r="I157" s="442">
        <f t="shared" si="126"/>
        <v>0</v>
      </c>
      <c r="J157" s="442">
        <f t="shared" si="126"/>
        <v>0</v>
      </c>
      <c r="K157" s="442">
        <f t="shared" si="126"/>
        <v>23625000</v>
      </c>
      <c r="L157" s="442">
        <f t="shared" si="126"/>
        <v>0</v>
      </c>
      <c r="M157" s="442">
        <f t="shared" si="126"/>
        <v>23625000</v>
      </c>
      <c r="N157" s="442">
        <f t="shared" si="126"/>
        <v>1789200000</v>
      </c>
      <c r="O157" s="442">
        <f t="shared" si="126"/>
        <v>0</v>
      </c>
      <c r="P157" s="442">
        <f t="shared" si="126"/>
        <v>1789200000</v>
      </c>
      <c r="Q157" s="442">
        <f t="shared" si="126"/>
        <v>669375000</v>
      </c>
      <c r="R157" s="442">
        <f t="shared" si="126"/>
        <v>0</v>
      </c>
      <c r="S157" s="442">
        <f t="shared" si="126"/>
        <v>669375000</v>
      </c>
      <c r="T157" s="442">
        <f t="shared" si="126"/>
        <v>0</v>
      </c>
      <c r="U157" s="442">
        <f t="shared" si="126"/>
        <v>0</v>
      </c>
      <c r="V157" s="442">
        <f t="shared" si="126"/>
        <v>0</v>
      </c>
      <c r="X157" s="442">
        <f>SUM(X128:X151)</f>
        <v>0</v>
      </c>
      <c r="Z157" s="442">
        <f>SUM(Z128:Z155)</f>
        <v>2482200000</v>
      </c>
      <c r="AA157" s="442">
        <f>SUM(AA128:AA151)</f>
        <v>0</v>
      </c>
      <c r="AB157" s="442">
        <f>SUM(AB128:AB155)</f>
        <v>2482200000</v>
      </c>
    </row>
    <row r="158" spans="3:28" s="423" customFormat="1">
      <c r="C158" s="423" t="s">
        <v>433</v>
      </c>
      <c r="E158" s="441"/>
      <c r="F158" s="441"/>
      <c r="G158" s="441"/>
      <c r="H158" s="441"/>
      <c r="I158" s="441"/>
      <c r="J158" s="441"/>
      <c r="K158" s="441"/>
      <c r="L158" s="441"/>
      <c r="M158" s="441"/>
      <c r="N158" s="441"/>
      <c r="O158" s="441"/>
      <c r="P158" s="441"/>
      <c r="Q158" s="441"/>
      <c r="R158" s="441"/>
      <c r="S158" s="441"/>
      <c r="T158" s="441"/>
      <c r="U158" s="441"/>
      <c r="V158" s="441"/>
      <c r="X158" s="441">
        <v>0</v>
      </c>
      <c r="Z158" s="441">
        <v>0</v>
      </c>
      <c r="AA158" s="441">
        <v>0</v>
      </c>
      <c r="AB158" s="441">
        <v>0</v>
      </c>
    </row>
    <row r="159" spans="3:28" s="427" customFormat="1" ht="13">
      <c r="C159" s="427" t="s">
        <v>439</v>
      </c>
      <c r="E159" s="444">
        <f>SUM(E157:E158)</f>
        <v>0</v>
      </c>
      <c r="F159" s="444"/>
      <c r="G159" s="444">
        <f>SUM(G157:G158)</f>
        <v>0</v>
      </c>
      <c r="H159" s="444">
        <f>SUM(H157:H158)</f>
        <v>0</v>
      </c>
      <c r="I159" s="444"/>
      <c r="J159" s="444">
        <f>SUM(J157:J158)</f>
        <v>0</v>
      </c>
      <c r="K159" s="444">
        <f>SUM(K157:K158)</f>
        <v>23625000</v>
      </c>
      <c r="L159" s="444"/>
      <c r="M159" s="444">
        <f>SUM(M157:M158)</f>
        <v>23625000</v>
      </c>
      <c r="N159" s="444">
        <f>SUM(N157:N158)</f>
        <v>1789200000</v>
      </c>
      <c r="O159" s="444"/>
      <c r="P159" s="444">
        <f>SUM(P157:P158)</f>
        <v>1789200000</v>
      </c>
      <c r="Q159" s="444">
        <f>SUM(Q157:Q158)</f>
        <v>669375000</v>
      </c>
      <c r="R159" s="444"/>
      <c r="S159" s="444">
        <f>SUM(S157:S158)</f>
        <v>669375000</v>
      </c>
      <c r="T159" s="444">
        <f>SUM(T157:T158)</f>
        <v>0</v>
      </c>
      <c r="U159" s="444"/>
      <c r="V159" s="444">
        <f>SUM(V157:V158)</f>
        <v>0</v>
      </c>
      <c r="X159" s="444">
        <f t="shared" ref="X159" si="127">SUM(X157:X158)</f>
        <v>0</v>
      </c>
      <c r="Z159" s="444">
        <f t="shared" ref="Z159:AB159" si="128">SUM(Z157:Z158)</f>
        <v>2482200000</v>
      </c>
      <c r="AA159" s="444">
        <f t="shared" si="128"/>
        <v>0</v>
      </c>
      <c r="AB159" s="444">
        <f t="shared" si="128"/>
        <v>2482200000</v>
      </c>
    </row>
    <row r="161" spans="2:28" s="417" customFormat="1" ht="13">
      <c r="D161" s="445" t="s">
        <v>435</v>
      </c>
      <c r="E161" s="435">
        <f>'Consol SoFP 23 &amp; 22'!F47</f>
        <v>0</v>
      </c>
      <c r="F161" s="435">
        <f>'Consol SoFP 23 &amp; 22'!G47</f>
        <v>0</v>
      </c>
      <c r="G161" s="435">
        <f>'Consol SoFP 23 &amp; 22'!H47</f>
        <v>0</v>
      </c>
      <c r="H161" s="435">
        <f>'Consol SoFP 23 &amp; 22'!I47</f>
        <v>0</v>
      </c>
      <c r="I161" s="435">
        <f>'Consol SoFP 23 &amp; 22'!J47</f>
        <v>0</v>
      </c>
      <c r="J161" s="435">
        <f>'Consol SoFP 23 &amp; 22'!K47</f>
        <v>0</v>
      </c>
      <c r="K161" s="435">
        <f>'Consol SoFP 23 &amp; 22'!L47</f>
        <v>23625000</v>
      </c>
      <c r="L161" s="435">
        <f>'Consol SoFP 23 &amp; 22'!M47</f>
        <v>0</v>
      </c>
      <c r="M161" s="435">
        <f>'Consol SoFP 23 &amp; 22'!N47</f>
        <v>23625000</v>
      </c>
      <c r="N161" s="435">
        <f>'Consol SoFP 23 &amp; 22'!O47</f>
        <v>1789200000</v>
      </c>
      <c r="O161" s="435">
        <f>'Consol SoFP 23 &amp; 22'!P47</f>
        <v>0</v>
      </c>
      <c r="P161" s="435">
        <f>'Consol SoFP 23 &amp; 22'!Q47</f>
        <v>1789200000</v>
      </c>
      <c r="Q161" s="435">
        <f>'Consol SoFP 23 &amp; 22'!R47</f>
        <v>669375000</v>
      </c>
      <c r="R161" s="435">
        <f>'Consol SoFP 23 &amp; 22'!S47</f>
        <v>0</v>
      </c>
      <c r="S161" s="435">
        <f>'Consol SoFP 23 &amp; 22'!T47</f>
        <v>669375000</v>
      </c>
      <c r="T161" s="435">
        <f>'Consol SoFP 23 &amp; 22'!U47</f>
        <v>0</v>
      </c>
      <c r="U161" s="435">
        <f>'Consol SoFP 23 &amp; 22'!V47</f>
        <v>0</v>
      </c>
      <c r="V161" s="435">
        <f>'Consol SoFP 23 &amp; 22'!W47</f>
        <v>0</v>
      </c>
      <c r="X161" s="435">
        <v>0</v>
      </c>
      <c r="Z161" s="435">
        <f>'Consol SoFP 23 &amp; 22'!AB47</f>
        <v>2482200000</v>
      </c>
      <c r="AA161" s="435"/>
      <c r="AB161" s="435">
        <f>'Consol SoFP 23 &amp; 22'!AE47</f>
        <v>2482200000</v>
      </c>
    </row>
    <row r="162" spans="2:28" s="417" customFormat="1" ht="13">
      <c r="D162" s="445" t="s">
        <v>111</v>
      </c>
      <c r="E162" s="442">
        <f>E159-E161</f>
        <v>0</v>
      </c>
      <c r="F162" s="442"/>
      <c r="G162" s="442">
        <f>G159-G161</f>
        <v>0</v>
      </c>
      <c r="H162" s="442">
        <f>H159-H161</f>
        <v>0</v>
      </c>
      <c r="I162" s="442"/>
      <c r="J162" s="442">
        <f>J159-J161</f>
        <v>0</v>
      </c>
      <c r="K162" s="442">
        <f>K159-K161</f>
        <v>0</v>
      </c>
      <c r="L162" s="442"/>
      <c r="M162" s="442">
        <f>M159-M161</f>
        <v>0</v>
      </c>
      <c r="N162" s="442">
        <f>N159-N161</f>
        <v>0</v>
      </c>
      <c r="O162" s="442"/>
      <c r="P162" s="442">
        <f>P159-P161</f>
        <v>0</v>
      </c>
      <c r="Q162" s="442">
        <f>Q159-Q161</f>
        <v>0</v>
      </c>
      <c r="R162" s="442"/>
      <c r="S162" s="442">
        <f>S159-S161</f>
        <v>0</v>
      </c>
      <c r="T162" s="442">
        <f>T159-T161</f>
        <v>0</v>
      </c>
      <c r="U162" s="442"/>
      <c r="V162" s="442">
        <f>V159-V161</f>
        <v>0</v>
      </c>
      <c r="X162" s="442">
        <f t="shared" ref="X162" si="129">X159-X161</f>
        <v>0</v>
      </c>
      <c r="Z162" s="442">
        <f t="shared" ref="Z162:AB162" si="130">Z159-Z161</f>
        <v>0</v>
      </c>
      <c r="AA162" s="442">
        <f t="shared" si="130"/>
        <v>0</v>
      </c>
      <c r="AB162" s="442">
        <f t="shared" si="130"/>
        <v>0</v>
      </c>
    </row>
    <row r="163" spans="2:28" s="417" customFormat="1" ht="13">
      <c r="E163" s="443"/>
      <c r="F163" s="443"/>
      <c r="G163" s="443"/>
      <c r="H163" s="443"/>
      <c r="I163" s="443"/>
      <c r="J163" s="443"/>
      <c r="K163" s="443"/>
      <c r="L163" s="443"/>
      <c r="M163" s="443"/>
      <c r="N163" s="443"/>
      <c r="O163" s="443"/>
      <c r="P163" s="443">
        <f>P162/2</f>
        <v>0</v>
      </c>
      <c r="Q163" s="443"/>
      <c r="R163" s="443"/>
      <c r="S163" s="443"/>
      <c r="T163" s="443"/>
      <c r="U163" s="443"/>
      <c r="V163" s="443"/>
      <c r="X163" s="443"/>
      <c r="Z163" s="443"/>
      <c r="AA163" s="443"/>
      <c r="AB163" s="443"/>
    </row>
    <row r="164" spans="2:28" s="417" customFormat="1" ht="13" thickBot="1">
      <c r="B164" s="447"/>
      <c r="C164" s="447"/>
      <c r="D164" s="447"/>
      <c r="E164" s="456"/>
      <c r="F164" s="456"/>
      <c r="G164" s="456"/>
      <c r="H164" s="456"/>
      <c r="I164" s="456"/>
      <c r="J164" s="456"/>
      <c r="K164" s="456"/>
      <c r="L164" s="456"/>
      <c r="M164" s="456"/>
      <c r="N164" s="456"/>
      <c r="O164" s="456"/>
      <c r="P164" s="456"/>
      <c r="Q164" s="456"/>
      <c r="R164" s="456"/>
      <c r="S164" s="456"/>
      <c r="T164" s="456"/>
      <c r="U164" s="456"/>
      <c r="V164" s="456"/>
      <c r="X164" s="447"/>
      <c r="Z164" s="447"/>
      <c r="AA164" s="447"/>
      <c r="AB164" s="447"/>
    </row>
    <row r="165" spans="2:28" s="417" customFormat="1" ht="13">
      <c r="B165" s="414" t="s">
        <v>446</v>
      </c>
      <c r="G165" s="425" t="s">
        <v>530</v>
      </c>
    </row>
    <row r="166" spans="2:28" s="417" customFormat="1" ht="13">
      <c r="B166" s="423"/>
      <c r="C166" s="423"/>
      <c r="D166" s="423"/>
      <c r="E166" s="428" t="s">
        <v>426</v>
      </c>
      <c r="F166" s="428" t="s">
        <v>334</v>
      </c>
      <c r="G166" s="428" t="s">
        <v>427</v>
      </c>
      <c r="H166" s="428" t="s">
        <v>426</v>
      </c>
      <c r="I166" s="428" t="s">
        <v>334</v>
      </c>
      <c r="J166" s="428" t="s">
        <v>427</v>
      </c>
      <c r="K166" s="428" t="s">
        <v>426</v>
      </c>
      <c r="L166" s="428" t="s">
        <v>334</v>
      </c>
      <c r="M166" s="428" t="s">
        <v>427</v>
      </c>
      <c r="N166" s="428" t="s">
        <v>426</v>
      </c>
      <c r="O166" s="428" t="s">
        <v>334</v>
      </c>
      <c r="P166" s="428" t="s">
        <v>427</v>
      </c>
      <c r="Q166" s="428" t="s">
        <v>426</v>
      </c>
      <c r="R166" s="428" t="s">
        <v>334</v>
      </c>
      <c r="S166" s="428" t="s">
        <v>427</v>
      </c>
      <c r="T166" s="428" t="s">
        <v>426</v>
      </c>
      <c r="U166" s="428" t="s">
        <v>334</v>
      </c>
      <c r="V166" s="428" t="s">
        <v>427</v>
      </c>
      <c r="W166" s="423"/>
      <c r="X166" s="428" t="s">
        <v>428</v>
      </c>
      <c r="Y166" s="423"/>
      <c r="Z166" s="428" t="s">
        <v>11</v>
      </c>
      <c r="AA166" s="428" t="s">
        <v>429</v>
      </c>
      <c r="AB166" s="428" t="s">
        <v>13</v>
      </c>
    </row>
    <row r="167" spans="2:28" s="417" customFormat="1" ht="13">
      <c r="B167" s="423"/>
      <c r="C167" s="423"/>
      <c r="D167" s="423"/>
      <c r="E167" s="429">
        <v>45291</v>
      </c>
      <c r="F167" s="429"/>
      <c r="G167" s="429">
        <v>45291</v>
      </c>
      <c r="H167" s="429">
        <v>45291</v>
      </c>
      <c r="I167" s="429"/>
      <c r="J167" s="429">
        <v>45291</v>
      </c>
      <c r="K167" s="429">
        <v>45291</v>
      </c>
      <c r="L167" s="429"/>
      <c r="M167" s="429">
        <v>45291</v>
      </c>
      <c r="N167" s="429">
        <v>45291</v>
      </c>
      <c r="O167" s="429"/>
      <c r="P167" s="429">
        <v>45291</v>
      </c>
      <c r="Q167" s="429">
        <v>45291</v>
      </c>
      <c r="R167" s="429"/>
      <c r="S167" s="429">
        <v>45291</v>
      </c>
      <c r="T167" s="429">
        <v>45291</v>
      </c>
      <c r="U167" s="429"/>
      <c r="V167" s="429">
        <v>45291</v>
      </c>
      <c r="W167" s="423"/>
      <c r="X167" s="429">
        <v>45291</v>
      </c>
      <c r="Y167" s="423"/>
      <c r="Z167" s="429">
        <v>45291</v>
      </c>
      <c r="AA167" s="429">
        <v>45291</v>
      </c>
      <c r="AB167" s="429">
        <v>45291</v>
      </c>
    </row>
    <row r="168" spans="2:28" s="423" customFormat="1" ht="13" customHeight="1">
      <c r="C168" s="430"/>
      <c r="E168" s="431"/>
      <c r="F168" s="431"/>
      <c r="G168" s="431"/>
      <c r="H168" s="431"/>
      <c r="I168" s="431"/>
      <c r="J168" s="431"/>
      <c r="K168" s="431"/>
      <c r="L168" s="431"/>
      <c r="M168" s="431"/>
      <c r="N168" s="431"/>
      <c r="O168" s="431"/>
      <c r="P168" s="431"/>
      <c r="Q168" s="431"/>
      <c r="R168" s="431"/>
      <c r="S168" s="431"/>
      <c r="T168" s="431"/>
      <c r="U168" s="431"/>
      <c r="V168" s="431"/>
      <c r="X168" s="432"/>
      <c r="Z168" s="432"/>
      <c r="AA168" s="432"/>
      <c r="AB168" s="432"/>
    </row>
    <row r="169" spans="2:28" s="423" customFormat="1">
      <c r="C169" s="423" t="s">
        <v>543</v>
      </c>
      <c r="D169" s="434"/>
      <c r="E169" s="435">
        <v>0</v>
      </c>
      <c r="F169" s="435"/>
      <c r="G169" s="435">
        <f t="shared" ref="G169:G192" si="131">SUM(E169:F169)</f>
        <v>0</v>
      </c>
      <c r="H169" s="435">
        <v>0</v>
      </c>
      <c r="I169" s="435"/>
      <c r="J169" s="435">
        <f t="shared" ref="J169" si="132">SUM(H169:I169)</f>
        <v>0</v>
      </c>
      <c r="K169" s="435">
        <v>0</v>
      </c>
      <c r="L169" s="435"/>
      <c r="M169" s="435">
        <f t="shared" ref="M169:M176" si="133">SUM(K169:L169)</f>
        <v>0</v>
      </c>
      <c r="N169" s="435">
        <v>0</v>
      </c>
      <c r="O169" s="435"/>
      <c r="P169" s="435">
        <f t="shared" ref="P169:P176" si="134">SUM(N169:O169)</f>
        <v>0</v>
      </c>
      <c r="Q169" s="435">
        <v>-757589512.04999995</v>
      </c>
      <c r="R169" s="435"/>
      <c r="S169" s="435">
        <f>SUM(Q169:R169)</f>
        <v>-757589512.04999995</v>
      </c>
      <c r="T169" s="435">
        <v>0</v>
      </c>
      <c r="U169" s="435"/>
      <c r="V169" s="435">
        <f t="shared" ref="V169:V192" si="135">SUM(T169:U169)</f>
        <v>0</v>
      </c>
      <c r="X169" s="435"/>
      <c r="Z169" s="435">
        <f>SUM(G169,J169,M169,P169,S169,V169)</f>
        <v>-757589512.04999995</v>
      </c>
      <c r="AA169" s="435">
        <f>'Elimination 23'!G78</f>
        <v>757589512.04999995</v>
      </c>
      <c r="AB169" s="435">
        <f>SUM(Z169:AA169)</f>
        <v>0</v>
      </c>
    </row>
    <row r="170" spans="2:28" s="423" customFormat="1">
      <c r="D170" s="423" t="s">
        <v>546</v>
      </c>
      <c r="E170" s="435">
        <v>-15966037037.836618</v>
      </c>
      <c r="F170" s="435"/>
      <c r="G170" s="435">
        <f t="shared" si="131"/>
        <v>-15966037037.836618</v>
      </c>
      <c r="H170" s="435">
        <v>0</v>
      </c>
      <c r="I170" s="435"/>
      <c r="J170" s="435">
        <f t="shared" ref="J170:J176" si="136">SUM(H170:I170)</f>
        <v>0</v>
      </c>
      <c r="K170" s="435">
        <v>0</v>
      </c>
      <c r="L170" s="435"/>
      <c r="M170" s="435">
        <f t="shared" si="133"/>
        <v>0</v>
      </c>
      <c r="N170" s="435">
        <v>0</v>
      </c>
      <c r="O170" s="435"/>
      <c r="P170" s="435">
        <f t="shared" si="134"/>
        <v>0</v>
      </c>
      <c r="Q170" s="435">
        <v>0</v>
      </c>
      <c r="R170" s="435"/>
      <c r="S170" s="435">
        <f t="shared" ref="S170:S176" si="137">SUM(Q170:R170)</f>
        <v>0</v>
      </c>
      <c r="T170" s="435">
        <v>0</v>
      </c>
      <c r="U170" s="435"/>
      <c r="V170" s="435">
        <f t="shared" si="135"/>
        <v>0</v>
      </c>
      <c r="X170" s="435"/>
      <c r="Z170" s="435">
        <f t="shared" ref="Z170:Z176" si="138">SUM(G170,J170,M170,P170,S170,V170)</f>
        <v>-15966037037.836618</v>
      </c>
      <c r="AA170" s="435">
        <f>'Elimination 23'!G58</f>
        <v>15966037037.836618</v>
      </c>
      <c r="AB170" s="435">
        <f>SUM(Z170:AA170)</f>
        <v>0</v>
      </c>
    </row>
    <row r="171" spans="2:28" s="423" customFormat="1">
      <c r="D171" s="423" t="s">
        <v>552</v>
      </c>
      <c r="E171" s="435">
        <v>0</v>
      </c>
      <c r="F171" s="435"/>
      <c r="G171" s="435">
        <f t="shared" si="131"/>
        <v>0</v>
      </c>
      <c r="H171" s="435">
        <v>0</v>
      </c>
      <c r="I171" s="435"/>
      <c r="J171" s="435">
        <f t="shared" si="136"/>
        <v>0</v>
      </c>
      <c r="K171" s="435">
        <v>0</v>
      </c>
      <c r="L171" s="435"/>
      <c r="M171" s="435">
        <f t="shared" si="133"/>
        <v>0</v>
      </c>
      <c r="N171" s="435">
        <v>0</v>
      </c>
      <c r="O171" s="435"/>
      <c r="P171" s="435">
        <f t="shared" si="134"/>
        <v>0</v>
      </c>
      <c r="Q171" s="435">
        <v>0</v>
      </c>
      <c r="R171" s="435"/>
      <c r="S171" s="435">
        <f t="shared" si="137"/>
        <v>0</v>
      </c>
      <c r="T171" s="435">
        <v>0</v>
      </c>
      <c r="U171" s="435"/>
      <c r="V171" s="435">
        <f t="shared" si="135"/>
        <v>0</v>
      </c>
      <c r="X171" s="435"/>
      <c r="Z171" s="435">
        <f t="shared" si="138"/>
        <v>0</v>
      </c>
      <c r="AA171" s="435">
        <f t="shared" ref="AA171:AA172" si="139">-Z171</f>
        <v>0</v>
      </c>
      <c r="AB171" s="435">
        <f t="shared" ref="AB171:AB192" si="140">SUM(Z171:AA171)</f>
        <v>0</v>
      </c>
    </row>
    <row r="172" spans="2:28" s="423" customFormat="1">
      <c r="D172" s="423" t="s">
        <v>547</v>
      </c>
      <c r="E172" s="435">
        <v>0</v>
      </c>
      <c r="F172" s="435"/>
      <c r="G172" s="435">
        <f t="shared" si="131"/>
        <v>0</v>
      </c>
      <c r="H172" s="435">
        <v>0</v>
      </c>
      <c r="I172" s="435"/>
      <c r="J172" s="435">
        <f t="shared" si="136"/>
        <v>0</v>
      </c>
      <c r="K172" s="435">
        <v>0</v>
      </c>
      <c r="L172" s="435"/>
      <c r="M172" s="435">
        <f t="shared" si="133"/>
        <v>0</v>
      </c>
      <c r="N172" s="435">
        <v>0</v>
      </c>
      <c r="O172" s="435"/>
      <c r="P172" s="435">
        <f t="shared" si="134"/>
        <v>0</v>
      </c>
      <c r="Q172" s="435">
        <v>0</v>
      </c>
      <c r="R172" s="435"/>
      <c r="S172" s="435">
        <f t="shared" si="137"/>
        <v>0</v>
      </c>
      <c r="T172" s="435">
        <v>0</v>
      </c>
      <c r="U172" s="435"/>
      <c r="V172" s="435">
        <f t="shared" si="135"/>
        <v>0</v>
      </c>
      <c r="X172" s="435"/>
      <c r="Z172" s="435">
        <f t="shared" si="138"/>
        <v>0</v>
      </c>
      <c r="AA172" s="435">
        <f t="shared" si="139"/>
        <v>0</v>
      </c>
      <c r="AB172" s="435">
        <f t="shared" si="140"/>
        <v>0</v>
      </c>
    </row>
    <row r="173" spans="2:28" s="423" customFormat="1">
      <c r="D173" s="423" t="s">
        <v>548</v>
      </c>
      <c r="E173" s="435">
        <v>0</v>
      </c>
      <c r="F173" s="435"/>
      <c r="G173" s="435">
        <f t="shared" si="131"/>
        <v>0</v>
      </c>
      <c r="H173" s="435"/>
      <c r="I173" s="435"/>
      <c r="J173" s="435">
        <f t="shared" si="136"/>
        <v>0</v>
      </c>
      <c r="K173" s="435"/>
      <c r="L173" s="435"/>
      <c r="M173" s="435">
        <f t="shared" si="133"/>
        <v>0</v>
      </c>
      <c r="N173" s="435">
        <v>0</v>
      </c>
      <c r="O173" s="435"/>
      <c r="P173" s="435">
        <f t="shared" si="134"/>
        <v>0</v>
      </c>
      <c r="Q173" s="435"/>
      <c r="R173" s="435"/>
      <c r="S173" s="435">
        <f t="shared" si="137"/>
        <v>0</v>
      </c>
      <c r="T173" s="435">
        <v>0</v>
      </c>
      <c r="U173" s="435"/>
      <c r="V173" s="435">
        <f t="shared" si="135"/>
        <v>0</v>
      </c>
      <c r="X173" s="435"/>
      <c r="Z173" s="435">
        <f t="shared" si="138"/>
        <v>0</v>
      </c>
      <c r="AA173" s="435"/>
      <c r="AB173" s="435">
        <f t="shared" si="140"/>
        <v>0</v>
      </c>
    </row>
    <row r="174" spans="2:28" s="423" customFormat="1">
      <c r="D174" s="423" t="s">
        <v>545</v>
      </c>
      <c r="E174" s="435">
        <v>0</v>
      </c>
      <c r="F174" s="435"/>
      <c r="G174" s="435">
        <f t="shared" si="131"/>
        <v>0</v>
      </c>
      <c r="H174" s="435">
        <v>0</v>
      </c>
      <c r="I174" s="435"/>
      <c r="J174" s="435">
        <f t="shared" si="136"/>
        <v>0</v>
      </c>
      <c r="K174" s="435">
        <v>0</v>
      </c>
      <c r="L174" s="435"/>
      <c r="M174" s="435">
        <f t="shared" si="133"/>
        <v>0</v>
      </c>
      <c r="N174" s="435">
        <v>0</v>
      </c>
      <c r="O174" s="435"/>
      <c r="P174" s="435">
        <f t="shared" si="134"/>
        <v>0</v>
      </c>
      <c r="Q174" s="435">
        <v>0</v>
      </c>
      <c r="R174" s="435"/>
      <c r="S174" s="435">
        <f t="shared" si="137"/>
        <v>0</v>
      </c>
      <c r="T174" s="435">
        <v>0</v>
      </c>
      <c r="U174" s="435"/>
      <c r="V174" s="435">
        <f t="shared" si="135"/>
        <v>0</v>
      </c>
      <c r="X174" s="435"/>
      <c r="Z174" s="435">
        <f t="shared" si="138"/>
        <v>0</v>
      </c>
      <c r="AA174" s="435"/>
      <c r="AB174" s="435">
        <f t="shared" si="140"/>
        <v>0</v>
      </c>
    </row>
    <row r="175" spans="2:28" s="423" customFormat="1">
      <c r="D175" s="423" t="s">
        <v>549</v>
      </c>
      <c r="E175" s="435">
        <v>0</v>
      </c>
      <c r="F175" s="435"/>
      <c r="G175" s="435">
        <f t="shared" si="131"/>
        <v>0</v>
      </c>
      <c r="H175" s="435">
        <v>0</v>
      </c>
      <c r="I175" s="435"/>
      <c r="J175" s="435">
        <f t="shared" si="136"/>
        <v>0</v>
      </c>
      <c r="K175" s="435">
        <v>0</v>
      </c>
      <c r="L175" s="435"/>
      <c r="M175" s="435">
        <f t="shared" si="133"/>
        <v>0</v>
      </c>
      <c r="N175" s="435">
        <v>0</v>
      </c>
      <c r="O175" s="435"/>
      <c r="P175" s="435">
        <f t="shared" si="134"/>
        <v>0</v>
      </c>
      <c r="Q175" s="435">
        <v>0</v>
      </c>
      <c r="R175" s="435"/>
      <c r="S175" s="435">
        <f t="shared" si="137"/>
        <v>0</v>
      </c>
      <c r="T175" s="435">
        <v>0</v>
      </c>
      <c r="U175" s="435"/>
      <c r="V175" s="435">
        <f t="shared" si="135"/>
        <v>0</v>
      </c>
      <c r="X175" s="435"/>
      <c r="Z175" s="435">
        <f t="shared" si="138"/>
        <v>0</v>
      </c>
      <c r="AA175" s="435"/>
      <c r="AB175" s="435">
        <f t="shared" si="140"/>
        <v>0</v>
      </c>
    </row>
    <row r="176" spans="2:28" s="423" customFormat="1">
      <c r="D176" s="434" t="s">
        <v>544</v>
      </c>
      <c r="E176" s="435">
        <v>-1130613.75</v>
      </c>
      <c r="F176" s="435"/>
      <c r="G176" s="435">
        <f t="shared" si="131"/>
        <v>-1130613.75</v>
      </c>
      <c r="H176" s="435">
        <v>0</v>
      </c>
      <c r="I176" s="435"/>
      <c r="J176" s="435">
        <f t="shared" si="136"/>
        <v>0</v>
      </c>
      <c r="K176" s="435">
        <v>0</v>
      </c>
      <c r="L176" s="435"/>
      <c r="M176" s="435">
        <f t="shared" si="133"/>
        <v>0</v>
      </c>
      <c r="N176" s="435"/>
      <c r="O176" s="435"/>
      <c r="P176" s="435">
        <f t="shared" si="134"/>
        <v>0</v>
      </c>
      <c r="Q176" s="435">
        <v>0</v>
      </c>
      <c r="R176" s="435"/>
      <c r="S176" s="435">
        <f t="shared" si="137"/>
        <v>0</v>
      </c>
      <c r="T176" s="435"/>
      <c r="U176" s="435"/>
      <c r="V176" s="435">
        <f t="shared" si="135"/>
        <v>0</v>
      </c>
      <c r="X176" s="435"/>
      <c r="Z176" s="435">
        <f t="shared" si="138"/>
        <v>-1130613.75</v>
      </c>
      <c r="AA176" s="435">
        <f>'Elimination 23'!G68</f>
        <v>1130613.75</v>
      </c>
      <c r="AB176" s="435">
        <f t="shared" si="140"/>
        <v>0</v>
      </c>
    </row>
    <row r="178" spans="3:28" s="423" customFormat="1">
      <c r="C178" s="438" t="s">
        <v>532</v>
      </c>
      <c r="D178" s="439"/>
      <c r="E178" s="435"/>
      <c r="F178" s="435"/>
      <c r="G178" s="435"/>
      <c r="H178" s="435"/>
      <c r="I178" s="435"/>
      <c r="J178" s="435"/>
      <c r="K178" s="435"/>
      <c r="L178" s="435"/>
      <c r="M178" s="435"/>
      <c r="N178" s="435"/>
      <c r="O178" s="435"/>
      <c r="P178" s="435"/>
      <c r="Q178" s="435"/>
      <c r="R178" s="435"/>
      <c r="S178" s="435"/>
      <c r="T178" s="435"/>
      <c r="U178" s="435"/>
      <c r="V178" s="435"/>
      <c r="X178" s="435"/>
      <c r="Z178" s="435"/>
      <c r="AA178" s="435"/>
      <c r="AB178" s="435"/>
    </row>
    <row r="179" spans="3:28" s="423" customFormat="1">
      <c r="D179" s="423" t="s">
        <v>550</v>
      </c>
      <c r="E179" s="435">
        <v>-387870811.64999998</v>
      </c>
      <c r="F179" s="435"/>
      <c r="G179" s="435">
        <f t="shared" si="131"/>
        <v>-387870811.64999998</v>
      </c>
      <c r="H179" s="435">
        <v>0</v>
      </c>
      <c r="I179" s="435"/>
      <c r="J179" s="435">
        <f t="shared" ref="J179:J192" si="141">SUM(H179:I179)</f>
        <v>0</v>
      </c>
      <c r="K179" s="435">
        <v>0</v>
      </c>
      <c r="L179" s="435"/>
      <c r="M179" s="435">
        <f t="shared" ref="M179:M192" si="142">SUM(K179:L179)</f>
        <v>0</v>
      </c>
      <c r="N179" s="435">
        <v>0</v>
      </c>
      <c r="O179" s="435"/>
      <c r="P179" s="435">
        <f t="shared" ref="P179:P192" si="143">SUM(N179:O179)</f>
        <v>0</v>
      </c>
      <c r="Q179" s="435">
        <v>0</v>
      </c>
      <c r="R179" s="435"/>
      <c r="S179" s="435">
        <f t="shared" ref="S179:S192" si="144">SUM(Q179:R179)</f>
        <v>0</v>
      </c>
      <c r="T179" s="435">
        <v>0</v>
      </c>
      <c r="U179" s="435"/>
      <c r="V179" s="435">
        <f t="shared" si="135"/>
        <v>0</v>
      </c>
      <c r="X179" s="435"/>
      <c r="Z179" s="435">
        <f t="shared" ref="Z179:Z192" si="145">SUM(G179,J179,M179,P179,S179,V179)</f>
        <v>-387870811.64999998</v>
      </c>
      <c r="AA179" s="435"/>
      <c r="AB179" s="435">
        <f t="shared" si="140"/>
        <v>-387870811.64999998</v>
      </c>
    </row>
    <row r="180" spans="3:28" s="423" customFormat="1">
      <c r="D180" s="423" t="s">
        <v>551</v>
      </c>
      <c r="E180" s="435">
        <v>0</v>
      </c>
      <c r="F180" s="435"/>
      <c r="G180" s="435">
        <f t="shared" si="131"/>
        <v>0</v>
      </c>
      <c r="H180" s="435">
        <v>0</v>
      </c>
      <c r="I180" s="435"/>
      <c r="J180" s="435">
        <f t="shared" si="141"/>
        <v>0</v>
      </c>
      <c r="K180" s="435">
        <v>0</v>
      </c>
      <c r="L180" s="435"/>
      <c r="M180" s="435">
        <f t="shared" si="142"/>
        <v>0</v>
      </c>
      <c r="N180" s="435">
        <v>-64992375</v>
      </c>
      <c r="O180" s="435"/>
      <c r="P180" s="435">
        <f t="shared" si="143"/>
        <v>-64992375</v>
      </c>
      <c r="Q180" s="435">
        <v>0</v>
      </c>
      <c r="R180" s="435"/>
      <c r="S180" s="435">
        <f t="shared" si="144"/>
        <v>0</v>
      </c>
      <c r="T180" s="435">
        <v>0</v>
      </c>
      <c r="U180" s="435"/>
      <c r="V180" s="435">
        <f t="shared" si="135"/>
        <v>0</v>
      </c>
      <c r="X180" s="435"/>
      <c r="Z180" s="435">
        <f t="shared" si="145"/>
        <v>-64992375</v>
      </c>
      <c r="AA180" s="435"/>
      <c r="AB180" s="435">
        <f t="shared" si="140"/>
        <v>-64992375</v>
      </c>
    </row>
    <row r="181" spans="3:28" s="423" customFormat="1">
      <c r="D181" s="423" t="s">
        <v>556</v>
      </c>
      <c r="E181" s="435">
        <v>0</v>
      </c>
      <c r="F181" s="435"/>
      <c r="G181" s="435">
        <f t="shared" si="131"/>
        <v>0</v>
      </c>
      <c r="H181" s="435">
        <v>0</v>
      </c>
      <c r="I181" s="435"/>
      <c r="J181" s="435">
        <f t="shared" si="141"/>
        <v>0</v>
      </c>
      <c r="K181" s="435">
        <v>0</v>
      </c>
      <c r="L181" s="435"/>
      <c r="M181" s="435">
        <f t="shared" si="142"/>
        <v>0</v>
      </c>
      <c r="N181" s="435">
        <v>0</v>
      </c>
      <c r="O181" s="435"/>
      <c r="P181" s="435">
        <f t="shared" si="143"/>
        <v>0</v>
      </c>
      <c r="Q181" s="435">
        <v>0</v>
      </c>
      <c r="R181" s="435"/>
      <c r="S181" s="435">
        <f t="shared" si="144"/>
        <v>0</v>
      </c>
      <c r="T181" s="435">
        <v>0</v>
      </c>
      <c r="U181" s="435"/>
      <c r="V181" s="435">
        <f t="shared" si="135"/>
        <v>0</v>
      </c>
      <c r="X181" s="435"/>
      <c r="Z181" s="435">
        <f t="shared" si="145"/>
        <v>0</v>
      </c>
      <c r="AA181" s="435"/>
      <c r="AB181" s="435">
        <f t="shared" si="140"/>
        <v>0</v>
      </c>
    </row>
    <row r="182" spans="3:28" s="423" customFormat="1">
      <c r="D182" s="423"/>
      <c r="E182" s="435">
        <v>0</v>
      </c>
      <c r="F182" s="435"/>
      <c r="G182" s="435">
        <f t="shared" si="131"/>
        <v>0</v>
      </c>
      <c r="H182" s="435">
        <v>0</v>
      </c>
      <c r="I182" s="435"/>
      <c r="J182" s="435">
        <f t="shared" si="141"/>
        <v>0</v>
      </c>
      <c r="K182" s="435">
        <v>0</v>
      </c>
      <c r="L182" s="435"/>
      <c r="M182" s="435">
        <f t="shared" si="142"/>
        <v>0</v>
      </c>
      <c r="N182" s="435">
        <v>0</v>
      </c>
      <c r="O182" s="435"/>
      <c r="P182" s="435">
        <f t="shared" si="143"/>
        <v>0</v>
      </c>
      <c r="Q182" s="435">
        <v>0</v>
      </c>
      <c r="R182" s="435"/>
      <c r="S182" s="435">
        <f t="shared" si="144"/>
        <v>0</v>
      </c>
      <c r="T182" s="435">
        <v>0</v>
      </c>
      <c r="U182" s="435"/>
      <c r="V182" s="435">
        <f t="shared" si="135"/>
        <v>0</v>
      </c>
      <c r="X182" s="435"/>
      <c r="Z182" s="435">
        <f t="shared" si="145"/>
        <v>0</v>
      </c>
      <c r="AA182" s="435"/>
      <c r="AB182" s="435">
        <f t="shared" si="140"/>
        <v>0</v>
      </c>
    </row>
    <row r="183" spans="3:28" s="423" customFormat="1">
      <c r="D183" s="423" t="s">
        <v>553</v>
      </c>
      <c r="E183" s="435">
        <v>-322108461.67500001</v>
      </c>
      <c r="F183" s="435"/>
      <c r="G183" s="435">
        <f t="shared" si="131"/>
        <v>-322108461.67500001</v>
      </c>
      <c r="H183" s="435">
        <v>0</v>
      </c>
      <c r="I183" s="435"/>
      <c r="J183" s="435">
        <f t="shared" si="141"/>
        <v>0</v>
      </c>
      <c r="K183" s="435">
        <v>0</v>
      </c>
      <c r="L183" s="435"/>
      <c r="M183" s="435">
        <f t="shared" si="142"/>
        <v>0</v>
      </c>
      <c r="N183" s="435">
        <v>0</v>
      </c>
      <c r="O183" s="435"/>
      <c r="P183" s="435">
        <f t="shared" si="143"/>
        <v>0</v>
      </c>
      <c r="Q183" s="435">
        <v>0</v>
      </c>
      <c r="R183" s="435"/>
      <c r="S183" s="435">
        <f t="shared" si="144"/>
        <v>0</v>
      </c>
      <c r="T183" s="435">
        <v>0</v>
      </c>
      <c r="U183" s="435"/>
      <c r="V183" s="435">
        <f t="shared" si="135"/>
        <v>0</v>
      </c>
      <c r="X183" s="435"/>
      <c r="Z183" s="435">
        <f t="shared" si="145"/>
        <v>-322108461.67500001</v>
      </c>
      <c r="AA183" s="435"/>
      <c r="AB183" s="435">
        <f t="shared" si="140"/>
        <v>-322108461.67500001</v>
      </c>
    </row>
    <row r="184" spans="3:28" s="423" customFormat="1">
      <c r="D184" s="423" t="s">
        <v>554</v>
      </c>
      <c r="E184" s="435">
        <v>0</v>
      </c>
      <c r="F184" s="435"/>
      <c r="G184" s="435">
        <f t="shared" si="131"/>
        <v>0</v>
      </c>
      <c r="H184" s="435">
        <v>0</v>
      </c>
      <c r="I184" s="435"/>
      <c r="J184" s="435">
        <f t="shared" ref="J184:J191" si="146">SUM(H184:I184)</f>
        <v>0</v>
      </c>
      <c r="K184" s="435">
        <v>0</v>
      </c>
      <c r="L184" s="435"/>
      <c r="M184" s="435">
        <f t="shared" si="142"/>
        <v>0</v>
      </c>
      <c r="N184" s="435">
        <v>0</v>
      </c>
      <c r="O184" s="435"/>
      <c r="P184" s="435">
        <f t="shared" si="143"/>
        <v>0</v>
      </c>
      <c r="Q184" s="435">
        <v>0</v>
      </c>
      <c r="R184" s="435"/>
      <c r="S184" s="435">
        <f t="shared" si="144"/>
        <v>0</v>
      </c>
      <c r="T184" s="435">
        <v>0</v>
      </c>
      <c r="U184" s="435"/>
      <c r="V184" s="435">
        <f t="shared" si="135"/>
        <v>0</v>
      </c>
      <c r="X184" s="435"/>
      <c r="Z184" s="435">
        <f t="shared" si="145"/>
        <v>0</v>
      </c>
      <c r="AA184" s="435"/>
      <c r="AB184" s="435">
        <f t="shared" ref="AB184:AB191" si="147">SUM(Z184:AA184)</f>
        <v>0</v>
      </c>
    </row>
    <row r="185" spans="3:28" s="423" customFormat="1">
      <c r="D185" s="434"/>
      <c r="E185" s="435">
        <v>0</v>
      </c>
      <c r="F185" s="435"/>
      <c r="G185" s="435">
        <f t="shared" si="131"/>
        <v>0</v>
      </c>
      <c r="H185" s="435">
        <v>0</v>
      </c>
      <c r="I185" s="435"/>
      <c r="J185" s="435">
        <f t="shared" si="146"/>
        <v>0</v>
      </c>
      <c r="K185" s="435">
        <v>0</v>
      </c>
      <c r="L185" s="435"/>
      <c r="M185" s="435">
        <f t="shared" si="142"/>
        <v>0</v>
      </c>
      <c r="N185" s="435">
        <v>0</v>
      </c>
      <c r="O185" s="435"/>
      <c r="P185" s="435">
        <f t="shared" si="143"/>
        <v>0</v>
      </c>
      <c r="Q185" s="435">
        <v>0</v>
      </c>
      <c r="R185" s="435"/>
      <c r="S185" s="435">
        <f t="shared" si="144"/>
        <v>0</v>
      </c>
      <c r="T185" s="435">
        <v>0</v>
      </c>
      <c r="U185" s="435"/>
      <c r="V185" s="435">
        <f t="shared" si="135"/>
        <v>0</v>
      </c>
      <c r="X185" s="435"/>
      <c r="Z185" s="435">
        <f t="shared" si="145"/>
        <v>0</v>
      </c>
      <c r="AA185" s="435"/>
      <c r="AB185" s="435">
        <f t="shared" si="147"/>
        <v>0</v>
      </c>
    </row>
    <row r="186" spans="3:28" s="423" customFormat="1">
      <c r="D186" s="434"/>
      <c r="E186" s="435">
        <v>0</v>
      </c>
      <c r="F186" s="435"/>
      <c r="G186" s="435">
        <f t="shared" si="131"/>
        <v>0</v>
      </c>
      <c r="H186" s="435">
        <v>0</v>
      </c>
      <c r="I186" s="435"/>
      <c r="J186" s="435">
        <f t="shared" si="146"/>
        <v>0</v>
      </c>
      <c r="K186" s="435">
        <v>0</v>
      </c>
      <c r="L186" s="435"/>
      <c r="M186" s="435">
        <f t="shared" si="142"/>
        <v>0</v>
      </c>
      <c r="N186" s="435">
        <v>0</v>
      </c>
      <c r="O186" s="435"/>
      <c r="P186" s="435">
        <f t="shared" si="143"/>
        <v>0</v>
      </c>
      <c r="Q186" s="435">
        <v>0</v>
      </c>
      <c r="R186" s="435"/>
      <c r="S186" s="435">
        <f t="shared" si="144"/>
        <v>0</v>
      </c>
      <c r="T186" s="435">
        <v>0</v>
      </c>
      <c r="U186" s="435"/>
      <c r="V186" s="435">
        <f t="shared" si="135"/>
        <v>0</v>
      </c>
      <c r="X186" s="435"/>
      <c r="Z186" s="435">
        <f t="shared" si="145"/>
        <v>0</v>
      </c>
      <c r="AA186" s="435"/>
      <c r="AB186" s="435">
        <f t="shared" si="147"/>
        <v>0</v>
      </c>
    </row>
    <row r="187" spans="3:28" s="423" customFormat="1">
      <c r="D187" s="434"/>
      <c r="E187" s="435">
        <v>0</v>
      </c>
      <c r="F187" s="435"/>
      <c r="G187" s="435">
        <f t="shared" si="131"/>
        <v>0</v>
      </c>
      <c r="H187" s="435">
        <v>0</v>
      </c>
      <c r="I187" s="435"/>
      <c r="J187" s="435">
        <f t="shared" si="146"/>
        <v>0</v>
      </c>
      <c r="K187" s="435">
        <v>0</v>
      </c>
      <c r="L187" s="435"/>
      <c r="M187" s="435">
        <f t="shared" si="142"/>
        <v>0</v>
      </c>
      <c r="N187" s="435">
        <v>0</v>
      </c>
      <c r="O187" s="435"/>
      <c r="P187" s="435">
        <f t="shared" si="143"/>
        <v>0</v>
      </c>
      <c r="Q187" s="435">
        <v>0</v>
      </c>
      <c r="R187" s="435"/>
      <c r="S187" s="435">
        <f t="shared" si="144"/>
        <v>0</v>
      </c>
      <c r="T187" s="435">
        <v>0</v>
      </c>
      <c r="U187" s="435"/>
      <c r="V187" s="435">
        <f t="shared" si="135"/>
        <v>0</v>
      </c>
      <c r="X187" s="435"/>
      <c r="Z187" s="435">
        <f t="shared" si="145"/>
        <v>0</v>
      </c>
      <c r="AA187" s="435">
        <f>-Z187</f>
        <v>0</v>
      </c>
      <c r="AB187" s="435">
        <f t="shared" si="147"/>
        <v>0</v>
      </c>
    </row>
    <row r="188" spans="3:28" s="423" customFormat="1">
      <c r="D188" s="434"/>
      <c r="E188" s="435">
        <v>0</v>
      </c>
      <c r="F188" s="435"/>
      <c r="G188" s="435">
        <f t="shared" si="131"/>
        <v>0</v>
      </c>
      <c r="H188" s="435">
        <v>0</v>
      </c>
      <c r="I188" s="435"/>
      <c r="J188" s="435">
        <f t="shared" si="146"/>
        <v>0</v>
      </c>
      <c r="K188" s="435">
        <v>0</v>
      </c>
      <c r="L188" s="435"/>
      <c r="M188" s="435">
        <f t="shared" si="142"/>
        <v>0</v>
      </c>
      <c r="N188" s="435">
        <v>0</v>
      </c>
      <c r="O188" s="435"/>
      <c r="P188" s="435">
        <f t="shared" si="143"/>
        <v>0</v>
      </c>
      <c r="Q188" s="435">
        <v>0</v>
      </c>
      <c r="R188" s="435"/>
      <c r="S188" s="435">
        <f t="shared" si="144"/>
        <v>0</v>
      </c>
      <c r="T188" s="435">
        <v>0</v>
      </c>
      <c r="U188" s="435"/>
      <c r="V188" s="435">
        <f t="shared" si="135"/>
        <v>0</v>
      </c>
      <c r="X188" s="435"/>
      <c r="Z188" s="435">
        <f t="shared" si="145"/>
        <v>0</v>
      </c>
      <c r="AA188" s="435"/>
      <c r="AB188" s="435">
        <f t="shared" si="147"/>
        <v>0</v>
      </c>
    </row>
    <row r="189" spans="3:28" s="423" customFormat="1">
      <c r="D189" s="434"/>
      <c r="E189" s="435">
        <v>0</v>
      </c>
      <c r="F189" s="435"/>
      <c r="G189" s="435">
        <f t="shared" si="131"/>
        <v>0</v>
      </c>
      <c r="H189" s="435">
        <v>0</v>
      </c>
      <c r="I189" s="435"/>
      <c r="J189" s="435">
        <f t="shared" si="146"/>
        <v>0</v>
      </c>
      <c r="K189" s="435">
        <v>0</v>
      </c>
      <c r="L189" s="435"/>
      <c r="M189" s="435">
        <f t="shared" si="142"/>
        <v>0</v>
      </c>
      <c r="N189" s="435">
        <v>0</v>
      </c>
      <c r="O189" s="435"/>
      <c r="P189" s="435">
        <f t="shared" si="143"/>
        <v>0</v>
      </c>
      <c r="Q189" s="435">
        <v>0</v>
      </c>
      <c r="R189" s="435"/>
      <c r="S189" s="435">
        <f t="shared" si="144"/>
        <v>0</v>
      </c>
      <c r="T189" s="435">
        <v>0</v>
      </c>
      <c r="U189" s="435"/>
      <c r="V189" s="435">
        <f t="shared" si="135"/>
        <v>0</v>
      </c>
      <c r="X189" s="435"/>
      <c r="Z189" s="435">
        <f t="shared" si="145"/>
        <v>0</v>
      </c>
      <c r="AA189" s="435"/>
      <c r="AB189" s="435">
        <f t="shared" si="147"/>
        <v>0</v>
      </c>
    </row>
    <row r="190" spans="3:28" s="423" customFormat="1">
      <c r="D190" s="434"/>
      <c r="E190" s="435">
        <v>0</v>
      </c>
      <c r="F190" s="435"/>
      <c r="G190" s="435">
        <f t="shared" si="131"/>
        <v>0</v>
      </c>
      <c r="H190" s="435">
        <v>0</v>
      </c>
      <c r="I190" s="435"/>
      <c r="J190" s="435">
        <f t="shared" si="146"/>
        <v>0</v>
      </c>
      <c r="K190" s="435">
        <v>0</v>
      </c>
      <c r="L190" s="435"/>
      <c r="M190" s="435">
        <f t="shared" si="142"/>
        <v>0</v>
      </c>
      <c r="N190" s="435">
        <v>0</v>
      </c>
      <c r="O190" s="435"/>
      <c r="P190" s="435">
        <f t="shared" si="143"/>
        <v>0</v>
      </c>
      <c r="Q190" s="435">
        <v>0</v>
      </c>
      <c r="R190" s="435"/>
      <c r="S190" s="435">
        <f t="shared" si="144"/>
        <v>0</v>
      </c>
      <c r="T190" s="435">
        <v>0</v>
      </c>
      <c r="U190" s="435"/>
      <c r="V190" s="435">
        <f t="shared" si="135"/>
        <v>0</v>
      </c>
      <c r="X190" s="435"/>
      <c r="Z190" s="435">
        <f t="shared" si="145"/>
        <v>0</v>
      </c>
      <c r="AA190" s="435"/>
      <c r="AB190" s="435">
        <f t="shared" si="147"/>
        <v>0</v>
      </c>
    </row>
    <row r="191" spans="3:28" s="423" customFormat="1">
      <c r="D191" s="434"/>
      <c r="E191" s="435">
        <v>0</v>
      </c>
      <c r="F191" s="435"/>
      <c r="G191" s="435">
        <f t="shared" si="131"/>
        <v>0</v>
      </c>
      <c r="H191" s="435">
        <v>0</v>
      </c>
      <c r="I191" s="435"/>
      <c r="J191" s="435">
        <f t="shared" si="146"/>
        <v>0</v>
      </c>
      <c r="K191" s="435">
        <v>0</v>
      </c>
      <c r="L191" s="435"/>
      <c r="M191" s="435">
        <f t="shared" si="142"/>
        <v>0</v>
      </c>
      <c r="N191" s="435">
        <v>0</v>
      </c>
      <c r="O191" s="435"/>
      <c r="P191" s="435">
        <f t="shared" si="143"/>
        <v>0</v>
      </c>
      <c r="Q191" s="435">
        <v>0</v>
      </c>
      <c r="R191" s="435"/>
      <c r="S191" s="435">
        <f t="shared" si="144"/>
        <v>0</v>
      </c>
      <c r="T191" s="435">
        <v>0</v>
      </c>
      <c r="U191" s="435"/>
      <c r="V191" s="435">
        <f t="shared" si="135"/>
        <v>0</v>
      </c>
      <c r="X191" s="435"/>
      <c r="Z191" s="435">
        <f t="shared" si="145"/>
        <v>0</v>
      </c>
      <c r="AA191" s="435"/>
      <c r="AB191" s="435">
        <f t="shared" si="147"/>
        <v>0</v>
      </c>
    </row>
    <row r="192" spans="3:28" s="423" customFormat="1">
      <c r="D192" s="423"/>
      <c r="E192" s="435">
        <v>0</v>
      </c>
      <c r="F192" s="435"/>
      <c r="G192" s="435">
        <f t="shared" si="131"/>
        <v>0</v>
      </c>
      <c r="H192" s="435">
        <v>0</v>
      </c>
      <c r="I192" s="435"/>
      <c r="J192" s="435">
        <f t="shared" si="141"/>
        <v>0</v>
      </c>
      <c r="K192" s="435">
        <v>0</v>
      </c>
      <c r="L192" s="435"/>
      <c r="M192" s="435">
        <f t="shared" si="142"/>
        <v>0</v>
      </c>
      <c r="N192" s="435"/>
      <c r="O192" s="435"/>
      <c r="P192" s="435">
        <f t="shared" si="143"/>
        <v>0</v>
      </c>
      <c r="Q192" s="435">
        <v>0</v>
      </c>
      <c r="R192" s="435"/>
      <c r="S192" s="435">
        <f t="shared" si="144"/>
        <v>0</v>
      </c>
      <c r="T192" s="435"/>
      <c r="U192" s="435"/>
      <c r="V192" s="435">
        <f t="shared" si="135"/>
        <v>0</v>
      </c>
      <c r="X192" s="435"/>
      <c r="Z192" s="435">
        <f t="shared" si="145"/>
        <v>0</v>
      </c>
      <c r="AA192" s="435"/>
      <c r="AB192" s="435">
        <f t="shared" si="140"/>
        <v>0</v>
      </c>
    </row>
    <row r="194" spans="2:28" s="417" customFormat="1" ht="13.5" thickBot="1">
      <c r="E194" s="458">
        <f t="shared" ref="E194:V194" si="148">SUM(E169:E192)</f>
        <v>-16677146924.911617</v>
      </c>
      <c r="F194" s="458">
        <f t="shared" si="148"/>
        <v>0</v>
      </c>
      <c r="G194" s="458">
        <f t="shared" si="148"/>
        <v>-16677146924.911617</v>
      </c>
      <c r="H194" s="458">
        <f t="shared" si="148"/>
        <v>0</v>
      </c>
      <c r="I194" s="458">
        <f t="shared" si="148"/>
        <v>0</v>
      </c>
      <c r="J194" s="458">
        <f t="shared" si="148"/>
        <v>0</v>
      </c>
      <c r="K194" s="458">
        <f t="shared" si="148"/>
        <v>0</v>
      </c>
      <c r="L194" s="458">
        <f t="shared" si="148"/>
        <v>0</v>
      </c>
      <c r="M194" s="458">
        <f t="shared" si="148"/>
        <v>0</v>
      </c>
      <c r="N194" s="458">
        <f t="shared" si="148"/>
        <v>-64992375</v>
      </c>
      <c r="O194" s="458">
        <f t="shared" si="148"/>
        <v>0</v>
      </c>
      <c r="P194" s="458">
        <f t="shared" si="148"/>
        <v>-64992375</v>
      </c>
      <c r="Q194" s="458">
        <f t="shared" si="148"/>
        <v>-757589512.04999995</v>
      </c>
      <c r="R194" s="458">
        <f t="shared" si="148"/>
        <v>0</v>
      </c>
      <c r="S194" s="458">
        <f t="shared" si="148"/>
        <v>-757589512.04999995</v>
      </c>
      <c r="T194" s="458">
        <f t="shared" si="148"/>
        <v>0</v>
      </c>
      <c r="U194" s="458">
        <f t="shared" si="148"/>
        <v>0</v>
      </c>
      <c r="V194" s="458">
        <f t="shared" si="148"/>
        <v>0</v>
      </c>
      <c r="X194" s="458">
        <f>SUM(X169:X192)</f>
        <v>0</v>
      </c>
      <c r="Z194" s="458">
        <f>SUM(Z169:Z192)</f>
        <v>-17499728811.961617</v>
      </c>
      <c r="AA194" s="458">
        <f>SUM(AA169:AA192)</f>
        <v>16724757163.636618</v>
      </c>
      <c r="AB194" s="458">
        <f>SUM(AB169:AB192)</f>
        <v>-774971648.32500005</v>
      </c>
    </row>
    <row r="195" spans="2:28" s="417" customFormat="1" ht="13.5" thickTop="1">
      <c r="E195" s="443"/>
      <c r="F195" s="443"/>
      <c r="G195" s="443"/>
      <c r="H195" s="443"/>
      <c r="I195" s="443"/>
      <c r="J195" s="443"/>
      <c r="K195" s="443"/>
      <c r="L195" s="443"/>
      <c r="M195" s="443"/>
      <c r="N195" s="443"/>
      <c r="O195" s="443"/>
      <c r="P195" s="443"/>
      <c r="Q195" s="443"/>
      <c r="R195" s="443"/>
      <c r="S195" s="443"/>
      <c r="T195" s="443"/>
      <c r="U195" s="443"/>
      <c r="V195" s="443"/>
      <c r="X195" s="443"/>
      <c r="Z195" s="443"/>
      <c r="AA195" s="443"/>
      <c r="AB195" s="443"/>
    </row>
    <row r="196" spans="2:28" s="417" customFormat="1" ht="13">
      <c r="D196" s="445" t="s">
        <v>435</v>
      </c>
      <c r="E196" s="446">
        <f>'Consol SoFP 23 &amp; 22'!E61</f>
        <v>-16677146926</v>
      </c>
      <c r="F196" s="446">
        <f>'Consol SoFP 23 &amp; 22'!G61</f>
        <v>0</v>
      </c>
      <c r="G196" s="446">
        <f>'Consol SoFP 23 &amp; 22'!H61</f>
        <v>-16677146926</v>
      </c>
      <c r="H196" s="446">
        <f>'Consol SoFP 23 &amp; 22'!I61</f>
        <v>0</v>
      </c>
      <c r="I196" s="446">
        <f>'Consol SoFP 23 &amp; 22'!J61</f>
        <v>0</v>
      </c>
      <c r="J196" s="446">
        <f>'Consol SoFP 23 &amp; 22'!K61</f>
        <v>0</v>
      </c>
      <c r="K196" s="446">
        <f>'Consol SoFP 23 &amp; 22'!L61</f>
        <v>0</v>
      </c>
      <c r="L196" s="446">
        <f>'Consol SoFP 23 &amp; 22'!M61</f>
        <v>0</v>
      </c>
      <c r="M196" s="446">
        <f>'Consol SoFP 23 &amp; 22'!N61</f>
        <v>0</v>
      </c>
      <c r="N196" s="446">
        <f>'Consol SoFP 23 &amp; 22'!O61</f>
        <v>-64992375</v>
      </c>
      <c r="O196" s="446">
        <f>'Consol SoFP 23 &amp; 22'!P61</f>
        <v>0</v>
      </c>
      <c r="P196" s="446">
        <f>'Consol SoFP 23 &amp; 22'!Q61</f>
        <v>-64992375</v>
      </c>
      <c r="Q196" s="446">
        <f>'Consol SoFP 23 &amp; 22'!R61</f>
        <v>-757589512</v>
      </c>
      <c r="R196" s="446">
        <f>'Consol SoFP 23 &amp; 22'!S61</f>
        <v>0</v>
      </c>
      <c r="S196" s="446">
        <f>'Consol SoFP 23 &amp; 22'!T61</f>
        <v>-757589512</v>
      </c>
      <c r="T196" s="446">
        <f>'Consol SoFP 23 &amp; 22'!U61</f>
        <v>0</v>
      </c>
      <c r="U196" s="446">
        <f>'Consol SoFP 23 &amp; 22'!V61</f>
        <v>0</v>
      </c>
      <c r="V196" s="446">
        <f>'Consol SoFP 23 &amp; 22'!W61</f>
        <v>0</v>
      </c>
      <c r="X196" s="204">
        <v>0</v>
      </c>
      <c r="Z196" s="204">
        <f>SUM('Consol SoFP 23 &amp; 22'!AB61)</f>
        <v>-17499728813</v>
      </c>
      <c r="AA196" s="204">
        <f>SUM('Consol SoFP 23 &amp; 22'!AC61:AD61)</f>
        <v>16724757163.636618</v>
      </c>
      <c r="AB196" s="204">
        <f>SUM('Consol SoFP 23 &amp; 22'!AE61)</f>
        <v>-774971649</v>
      </c>
    </row>
    <row r="197" spans="2:28" s="417" customFormat="1" ht="13">
      <c r="D197" s="445" t="s">
        <v>111</v>
      </c>
      <c r="E197" s="442">
        <f>ROUND(E194-E196,0)</f>
        <v>1</v>
      </c>
      <c r="F197" s="442"/>
      <c r="G197" s="442">
        <f>ROUND(G194-G196,0)</f>
        <v>1</v>
      </c>
      <c r="H197" s="442">
        <f t="shared" ref="H197:M197" si="149">ROUND(H194-H196,0)</f>
        <v>0</v>
      </c>
      <c r="I197" s="442">
        <f t="shared" si="149"/>
        <v>0</v>
      </c>
      <c r="J197" s="442">
        <f t="shared" si="149"/>
        <v>0</v>
      </c>
      <c r="K197" s="442">
        <f t="shared" si="149"/>
        <v>0</v>
      </c>
      <c r="L197" s="442">
        <f t="shared" si="149"/>
        <v>0</v>
      </c>
      <c r="M197" s="442">
        <f t="shared" si="149"/>
        <v>0</v>
      </c>
      <c r="N197" s="442">
        <f t="shared" ref="N197" si="150">N194-N196</f>
        <v>0</v>
      </c>
      <c r="O197" s="442"/>
      <c r="P197" s="442">
        <f t="shared" ref="P197" si="151">P194-P196</f>
        <v>0</v>
      </c>
      <c r="Q197" s="442">
        <f t="shared" ref="Q197:S197" si="152">ROUND(Q194-Q196,0)</f>
        <v>0</v>
      </c>
      <c r="R197" s="442">
        <f t="shared" si="152"/>
        <v>0</v>
      </c>
      <c r="S197" s="442">
        <f t="shared" si="152"/>
        <v>0</v>
      </c>
      <c r="T197" s="442">
        <f t="shared" ref="T197" si="153">T194-T196</f>
        <v>0</v>
      </c>
      <c r="U197" s="442"/>
      <c r="V197" s="442">
        <f t="shared" ref="V197" si="154">V194-V196</f>
        <v>0</v>
      </c>
      <c r="X197" s="442">
        <f t="shared" ref="X197" si="155">X194-X196</f>
        <v>0</v>
      </c>
      <c r="Z197" s="442">
        <f>ROUND(Z194-Z196,0)</f>
        <v>1</v>
      </c>
      <c r="AA197" s="442">
        <f t="shared" ref="AA197:AB197" si="156">ROUND(AA194-AA196,0)</f>
        <v>0</v>
      </c>
      <c r="AB197" s="442">
        <f t="shared" si="156"/>
        <v>1</v>
      </c>
    </row>
    <row r="198" spans="2:28" s="417" customFormat="1" ht="13">
      <c r="D198" s="445"/>
      <c r="E198" s="443"/>
      <c r="F198" s="443"/>
      <c r="G198" s="443"/>
      <c r="H198" s="443"/>
      <c r="I198" s="443"/>
      <c r="J198" s="443"/>
      <c r="K198" s="443"/>
      <c r="L198" s="443"/>
      <c r="M198" s="443"/>
      <c r="N198" s="443"/>
      <c r="O198" s="443"/>
      <c r="P198" s="443"/>
      <c r="Q198" s="443"/>
      <c r="R198" s="443"/>
      <c r="S198" s="443"/>
      <c r="T198" s="443"/>
      <c r="U198" s="443"/>
      <c r="V198" s="443"/>
      <c r="X198" s="443"/>
      <c r="Z198" s="443"/>
      <c r="AA198" s="443"/>
      <c r="AB198" s="443"/>
    </row>
    <row r="199" spans="2:28" s="417" customFormat="1" ht="13" thickBot="1">
      <c r="B199" s="447"/>
      <c r="C199" s="447"/>
      <c r="D199" s="447"/>
      <c r="E199" s="447"/>
      <c r="F199" s="447"/>
      <c r="G199" s="447"/>
      <c r="H199" s="447"/>
      <c r="I199" s="447"/>
      <c r="J199" s="447"/>
      <c r="K199" s="447"/>
      <c r="L199" s="447"/>
      <c r="M199" s="447"/>
      <c r="N199" s="447"/>
      <c r="O199" s="447"/>
      <c r="P199" s="447"/>
      <c r="Q199" s="447"/>
      <c r="R199" s="447"/>
      <c r="S199" s="447"/>
      <c r="T199" s="447"/>
      <c r="U199" s="447"/>
      <c r="V199" s="447"/>
      <c r="X199" s="447"/>
      <c r="Z199" s="447"/>
      <c r="AA199" s="447"/>
      <c r="AB199" s="447"/>
    </row>
    <row r="200" spans="2:28" s="417" customFormat="1" ht="13">
      <c r="B200" s="414" t="s">
        <v>447</v>
      </c>
    </row>
    <row r="201" spans="2:28" s="417" customFormat="1" ht="13">
      <c r="B201" s="423"/>
      <c r="C201" s="423"/>
      <c r="D201" s="423"/>
      <c r="E201" s="428" t="s">
        <v>426</v>
      </c>
      <c r="F201" s="428" t="s">
        <v>334</v>
      </c>
      <c r="G201" s="428" t="s">
        <v>427</v>
      </c>
      <c r="H201" s="428" t="s">
        <v>426</v>
      </c>
      <c r="I201" s="428" t="s">
        <v>334</v>
      </c>
      <c r="J201" s="428" t="s">
        <v>427</v>
      </c>
      <c r="K201" s="428" t="s">
        <v>426</v>
      </c>
      <c r="L201" s="428" t="s">
        <v>334</v>
      </c>
      <c r="M201" s="428" t="s">
        <v>427</v>
      </c>
      <c r="N201" s="428" t="s">
        <v>426</v>
      </c>
      <c r="O201" s="428" t="s">
        <v>334</v>
      </c>
      <c r="P201" s="428" t="s">
        <v>427</v>
      </c>
      <c r="Q201" s="428" t="s">
        <v>426</v>
      </c>
      <c r="R201" s="428" t="s">
        <v>334</v>
      </c>
      <c r="S201" s="428" t="s">
        <v>427</v>
      </c>
      <c r="T201" s="428" t="s">
        <v>426</v>
      </c>
      <c r="U201" s="428" t="s">
        <v>334</v>
      </c>
      <c r="V201" s="428" t="s">
        <v>427</v>
      </c>
      <c r="X201" s="428" t="s">
        <v>428</v>
      </c>
      <c r="Z201" s="428" t="s">
        <v>11</v>
      </c>
      <c r="AA201" s="428" t="s">
        <v>429</v>
      </c>
      <c r="AB201" s="428" t="s">
        <v>13</v>
      </c>
    </row>
    <row r="202" spans="2:28" s="417" customFormat="1" ht="13">
      <c r="B202" s="423"/>
      <c r="C202" s="423"/>
      <c r="D202" s="423"/>
      <c r="E202" s="429">
        <v>45291</v>
      </c>
      <c r="F202" s="429"/>
      <c r="G202" s="429">
        <v>45291</v>
      </c>
      <c r="H202" s="429">
        <v>45291</v>
      </c>
      <c r="I202" s="429"/>
      <c r="J202" s="429">
        <v>45291</v>
      </c>
      <c r="K202" s="429">
        <v>45291</v>
      </c>
      <c r="L202" s="429"/>
      <c r="M202" s="429">
        <v>45291</v>
      </c>
      <c r="N202" s="429">
        <v>45291</v>
      </c>
      <c r="O202" s="429"/>
      <c r="P202" s="429">
        <v>45291</v>
      </c>
      <c r="Q202" s="429">
        <v>45291</v>
      </c>
      <c r="R202" s="429"/>
      <c r="S202" s="429">
        <v>45291</v>
      </c>
      <c r="T202" s="429">
        <v>45291</v>
      </c>
      <c r="U202" s="429"/>
      <c r="V202" s="429">
        <v>45291</v>
      </c>
      <c r="X202" s="429">
        <v>45291</v>
      </c>
      <c r="Z202" s="429">
        <v>45291</v>
      </c>
      <c r="AA202" s="429">
        <v>45291</v>
      </c>
      <c r="AB202" s="429">
        <v>45291</v>
      </c>
    </row>
    <row r="203" spans="2:28" s="423" customFormat="1" ht="13" customHeight="1">
      <c r="C203" s="430"/>
      <c r="E203" s="431"/>
      <c r="F203" s="431"/>
      <c r="G203" s="431"/>
      <c r="H203" s="431"/>
      <c r="I203" s="431"/>
      <c r="J203" s="431"/>
      <c r="K203" s="431"/>
      <c r="L203" s="431"/>
      <c r="M203" s="431"/>
      <c r="N203" s="431"/>
      <c r="O203" s="431"/>
      <c r="P203" s="431"/>
      <c r="Q203" s="431"/>
      <c r="R203" s="431"/>
      <c r="S203" s="431"/>
      <c r="T203" s="431"/>
      <c r="U203" s="431"/>
      <c r="V203" s="431"/>
      <c r="X203" s="432"/>
      <c r="Z203" s="432"/>
      <c r="AA203" s="432"/>
      <c r="AB203" s="432"/>
    </row>
    <row r="204" spans="2:28" s="423" customFormat="1">
      <c r="C204" s="423" t="s">
        <v>543</v>
      </c>
      <c r="D204" s="434"/>
      <c r="E204" s="435">
        <v>0</v>
      </c>
      <c r="F204" s="435"/>
      <c r="G204" s="435">
        <f>SUM(E204:F204)</f>
        <v>0</v>
      </c>
      <c r="H204" s="435">
        <v>0</v>
      </c>
      <c r="I204" s="435"/>
      <c r="J204" s="435">
        <f>SUM(H204:I204)</f>
        <v>0</v>
      </c>
      <c r="K204" s="435">
        <v>0</v>
      </c>
      <c r="L204" s="435"/>
      <c r="M204" s="435">
        <f>SUM(K204:L204)</f>
        <v>0</v>
      </c>
      <c r="N204" s="435">
        <v>0</v>
      </c>
      <c r="O204" s="435"/>
      <c r="P204" s="435">
        <f>SUM(N204:O204)</f>
        <v>0</v>
      </c>
      <c r="Q204" s="435">
        <v>-8417149098.75</v>
      </c>
      <c r="R204" s="435"/>
      <c r="S204" s="435">
        <f>SUM(Q204:R204)</f>
        <v>-8417149098.75</v>
      </c>
      <c r="T204" s="435">
        <v>0</v>
      </c>
      <c r="U204" s="435"/>
      <c r="V204" s="435">
        <f>SUM(T204:U204)</f>
        <v>0</v>
      </c>
      <c r="W204" s="435">
        <v>0</v>
      </c>
      <c r="X204" s="435">
        <v>0</v>
      </c>
      <c r="Y204" s="435">
        <v>0</v>
      </c>
      <c r="Z204" s="435">
        <f t="shared" ref="Z204:Z211" si="157">SUM(G204,J204,M204,P204,S204,V204)</f>
        <v>-8417149098.75</v>
      </c>
      <c r="AA204" s="435">
        <f>-Z204</f>
        <v>8417149098.75</v>
      </c>
      <c r="AB204" s="435">
        <f>SUM(Z204:AA204)</f>
        <v>0</v>
      </c>
    </row>
    <row r="205" spans="2:28" s="423" customFormat="1">
      <c r="D205" s="423" t="s">
        <v>546</v>
      </c>
      <c r="E205" s="435">
        <v>0</v>
      </c>
      <c r="F205" s="435"/>
      <c r="G205" s="435">
        <f t="shared" ref="G205:G214" si="158">SUM(E205:F205)</f>
        <v>0</v>
      </c>
      <c r="H205" s="435">
        <v>0</v>
      </c>
      <c r="I205" s="435"/>
      <c r="J205" s="435">
        <f t="shared" ref="J205:J207" si="159">SUM(H205:I205)</f>
        <v>0</v>
      </c>
      <c r="K205" s="435">
        <v>0</v>
      </c>
      <c r="L205" s="435"/>
      <c r="M205" s="435">
        <f t="shared" ref="M205:M207" si="160">SUM(K205:L205)</f>
        <v>0</v>
      </c>
      <c r="N205" s="435">
        <v>0</v>
      </c>
      <c r="O205" s="435"/>
      <c r="P205" s="435">
        <f t="shared" ref="P205:P207" si="161">SUM(N205:O205)</f>
        <v>0</v>
      </c>
      <c r="Q205" s="435">
        <v>0</v>
      </c>
      <c r="R205" s="435"/>
      <c r="S205" s="435">
        <f t="shared" ref="S205:S211" si="162">SUM(Q205:R205)</f>
        <v>0</v>
      </c>
      <c r="T205" s="435">
        <v>0</v>
      </c>
      <c r="U205" s="435"/>
      <c r="V205" s="435">
        <f t="shared" ref="V205:V214" si="163">SUM(T205:U205)</f>
        <v>0</v>
      </c>
      <c r="W205" s="435">
        <v>0</v>
      </c>
      <c r="X205" s="435">
        <v>0</v>
      </c>
      <c r="Y205" s="435">
        <v>0</v>
      </c>
      <c r="Z205" s="435">
        <f t="shared" si="157"/>
        <v>0</v>
      </c>
      <c r="AA205" s="435">
        <v>0</v>
      </c>
      <c r="AB205" s="435">
        <f t="shared" ref="AB205:AB211" si="164">SUM(Z205:AA205)</f>
        <v>0</v>
      </c>
    </row>
    <row r="206" spans="2:28" s="423" customFormat="1">
      <c r="D206" s="423" t="s">
        <v>552</v>
      </c>
      <c r="E206" s="435">
        <v>0</v>
      </c>
      <c r="F206" s="435"/>
      <c r="G206" s="435">
        <f t="shared" si="158"/>
        <v>0</v>
      </c>
      <c r="H206" s="435">
        <v>0</v>
      </c>
      <c r="I206" s="435"/>
      <c r="J206" s="435">
        <f t="shared" si="159"/>
        <v>0</v>
      </c>
      <c r="K206" s="435">
        <v>0</v>
      </c>
      <c r="L206" s="435"/>
      <c r="M206" s="435">
        <f t="shared" si="160"/>
        <v>0</v>
      </c>
      <c r="N206" s="435">
        <v>0</v>
      </c>
      <c r="O206" s="435"/>
      <c r="P206" s="435">
        <f t="shared" si="161"/>
        <v>0</v>
      </c>
      <c r="Q206" s="435">
        <v>0</v>
      </c>
      <c r="R206" s="435"/>
      <c r="S206" s="435">
        <f t="shared" si="162"/>
        <v>0</v>
      </c>
      <c r="T206" s="435">
        <v>0</v>
      </c>
      <c r="U206" s="435"/>
      <c r="V206" s="435">
        <f t="shared" si="163"/>
        <v>0</v>
      </c>
      <c r="W206" s="435">
        <v>0</v>
      </c>
      <c r="X206" s="435">
        <v>0</v>
      </c>
      <c r="Y206" s="435">
        <v>0</v>
      </c>
      <c r="Z206" s="435">
        <f t="shared" si="157"/>
        <v>0</v>
      </c>
      <c r="AA206" s="435">
        <f t="shared" ref="AA206" si="165">-Z206</f>
        <v>0</v>
      </c>
      <c r="AB206" s="435">
        <f t="shared" si="164"/>
        <v>0</v>
      </c>
    </row>
    <row r="207" spans="2:28" s="423" customFormat="1">
      <c r="D207" s="423" t="s">
        <v>547</v>
      </c>
      <c r="E207" s="435">
        <v>0</v>
      </c>
      <c r="F207" s="435"/>
      <c r="G207" s="435">
        <f t="shared" si="158"/>
        <v>0</v>
      </c>
      <c r="H207" s="435">
        <v>0</v>
      </c>
      <c r="I207" s="435"/>
      <c r="J207" s="435">
        <f t="shared" si="159"/>
        <v>0</v>
      </c>
      <c r="K207" s="435">
        <v>0</v>
      </c>
      <c r="L207" s="435"/>
      <c r="M207" s="435">
        <f t="shared" si="160"/>
        <v>0</v>
      </c>
      <c r="N207" s="435">
        <v>0</v>
      </c>
      <c r="O207" s="435"/>
      <c r="P207" s="435">
        <f t="shared" si="161"/>
        <v>0</v>
      </c>
      <c r="Q207" s="435">
        <v>0</v>
      </c>
      <c r="R207" s="435"/>
      <c r="S207" s="435">
        <f t="shared" si="162"/>
        <v>0</v>
      </c>
      <c r="T207" s="435">
        <v>0</v>
      </c>
      <c r="U207" s="435"/>
      <c r="V207" s="435">
        <f t="shared" si="163"/>
        <v>0</v>
      </c>
      <c r="W207" s="435">
        <v>0</v>
      </c>
      <c r="X207" s="435">
        <v>0</v>
      </c>
      <c r="Y207" s="435">
        <v>0</v>
      </c>
      <c r="Z207" s="435">
        <f t="shared" si="157"/>
        <v>0</v>
      </c>
      <c r="AA207" s="435"/>
      <c r="AB207" s="435">
        <f t="shared" si="164"/>
        <v>0</v>
      </c>
    </row>
    <row r="208" spans="2:28" s="423" customFormat="1">
      <c r="D208" s="423" t="s">
        <v>548</v>
      </c>
      <c r="E208" s="435">
        <v>0</v>
      </c>
      <c r="F208" s="435"/>
      <c r="G208" s="435">
        <f t="shared" si="158"/>
        <v>0</v>
      </c>
      <c r="H208" s="435">
        <v>0</v>
      </c>
      <c r="I208" s="435"/>
      <c r="J208" s="435">
        <f t="shared" ref="J208:J211" si="166">SUM(H208:I208)</f>
        <v>0</v>
      </c>
      <c r="K208" s="435">
        <v>0</v>
      </c>
      <c r="L208" s="435"/>
      <c r="M208" s="435">
        <f t="shared" ref="M208:M211" si="167">SUM(K208:L208)</f>
        <v>0</v>
      </c>
      <c r="N208" s="435">
        <v>0</v>
      </c>
      <c r="O208" s="435"/>
      <c r="P208" s="435">
        <f t="shared" ref="P208:P211" si="168">SUM(N208:O208)</f>
        <v>0</v>
      </c>
      <c r="Q208" s="435">
        <v>0</v>
      </c>
      <c r="R208" s="435"/>
      <c r="S208" s="435">
        <f t="shared" si="162"/>
        <v>0</v>
      </c>
      <c r="T208" s="435">
        <v>0</v>
      </c>
      <c r="U208" s="435"/>
      <c r="V208" s="435">
        <f t="shared" si="163"/>
        <v>0</v>
      </c>
      <c r="W208" s="435">
        <v>0</v>
      </c>
      <c r="X208" s="435">
        <v>0</v>
      </c>
      <c r="Y208" s="435">
        <v>0</v>
      </c>
      <c r="Z208" s="435">
        <f t="shared" si="157"/>
        <v>0</v>
      </c>
      <c r="AA208" s="435"/>
      <c r="AB208" s="435">
        <f t="shared" si="164"/>
        <v>0</v>
      </c>
    </row>
    <row r="209" spans="2:28" s="423" customFormat="1">
      <c r="D209" s="423" t="s">
        <v>545</v>
      </c>
      <c r="E209" s="435">
        <v>0</v>
      </c>
      <c r="F209" s="435"/>
      <c r="G209" s="435">
        <f t="shared" si="158"/>
        <v>0</v>
      </c>
      <c r="H209" s="435">
        <v>0</v>
      </c>
      <c r="I209" s="435"/>
      <c r="J209" s="435">
        <f t="shared" si="166"/>
        <v>0</v>
      </c>
      <c r="K209" s="435">
        <v>0</v>
      </c>
      <c r="L209" s="435"/>
      <c r="M209" s="435">
        <f t="shared" si="167"/>
        <v>0</v>
      </c>
      <c r="N209" s="435">
        <v>0</v>
      </c>
      <c r="O209" s="435"/>
      <c r="P209" s="435">
        <f t="shared" si="168"/>
        <v>0</v>
      </c>
      <c r="Q209" s="435">
        <v>0</v>
      </c>
      <c r="R209" s="435"/>
      <c r="S209" s="435">
        <f t="shared" si="162"/>
        <v>0</v>
      </c>
      <c r="T209" s="435">
        <v>0</v>
      </c>
      <c r="U209" s="435"/>
      <c r="V209" s="435">
        <f t="shared" si="163"/>
        <v>0</v>
      </c>
      <c r="W209" s="435">
        <v>0</v>
      </c>
      <c r="X209" s="435">
        <v>0</v>
      </c>
      <c r="Y209" s="435">
        <v>0</v>
      </c>
      <c r="Z209" s="435">
        <f t="shared" si="157"/>
        <v>0</v>
      </c>
      <c r="AA209" s="435"/>
      <c r="AB209" s="435">
        <f t="shared" si="164"/>
        <v>0</v>
      </c>
    </row>
    <row r="210" spans="2:28" s="423" customFormat="1">
      <c r="D210" s="423" t="s">
        <v>549</v>
      </c>
      <c r="E210" s="435">
        <v>0</v>
      </c>
      <c r="F210" s="435"/>
      <c r="G210" s="435">
        <f t="shared" si="158"/>
        <v>0</v>
      </c>
      <c r="H210" s="435">
        <v>0</v>
      </c>
      <c r="I210" s="435"/>
      <c r="J210" s="435">
        <f t="shared" si="166"/>
        <v>0</v>
      </c>
      <c r="K210" s="435">
        <v>0</v>
      </c>
      <c r="L210" s="435"/>
      <c r="M210" s="435">
        <f t="shared" si="167"/>
        <v>0</v>
      </c>
      <c r="N210" s="435">
        <v>0</v>
      </c>
      <c r="O210" s="435"/>
      <c r="P210" s="435">
        <f t="shared" si="168"/>
        <v>0</v>
      </c>
      <c r="Q210" s="435">
        <v>0</v>
      </c>
      <c r="R210" s="435"/>
      <c r="S210" s="435">
        <f t="shared" si="162"/>
        <v>0</v>
      </c>
      <c r="T210" s="435">
        <v>0</v>
      </c>
      <c r="U210" s="435"/>
      <c r="V210" s="435">
        <f t="shared" si="163"/>
        <v>0</v>
      </c>
      <c r="W210" s="435">
        <v>0</v>
      </c>
      <c r="X210" s="435">
        <v>0</v>
      </c>
      <c r="Y210" s="435">
        <v>0</v>
      </c>
      <c r="Z210" s="435">
        <f t="shared" si="157"/>
        <v>0</v>
      </c>
      <c r="AA210" s="435"/>
      <c r="AB210" s="435">
        <f t="shared" si="164"/>
        <v>0</v>
      </c>
    </row>
    <row r="211" spans="2:28" s="423" customFormat="1">
      <c r="D211" s="434" t="s">
        <v>544</v>
      </c>
      <c r="E211" s="435">
        <v>0</v>
      </c>
      <c r="F211" s="435"/>
      <c r="G211" s="435">
        <f t="shared" si="158"/>
        <v>0</v>
      </c>
      <c r="H211" s="435">
        <v>0</v>
      </c>
      <c r="I211" s="435"/>
      <c r="J211" s="435">
        <f t="shared" si="166"/>
        <v>0</v>
      </c>
      <c r="K211" s="435">
        <v>0</v>
      </c>
      <c r="L211" s="435"/>
      <c r="M211" s="435">
        <f t="shared" si="167"/>
        <v>0</v>
      </c>
      <c r="N211" s="435">
        <v>0</v>
      </c>
      <c r="O211" s="435"/>
      <c r="P211" s="435">
        <f t="shared" si="168"/>
        <v>0</v>
      </c>
      <c r="Q211" s="435">
        <v>0</v>
      </c>
      <c r="R211" s="435"/>
      <c r="S211" s="435">
        <f t="shared" si="162"/>
        <v>0</v>
      </c>
      <c r="T211" s="435">
        <v>0</v>
      </c>
      <c r="U211" s="435"/>
      <c r="V211" s="435">
        <f t="shared" si="163"/>
        <v>0</v>
      </c>
      <c r="W211" s="435">
        <v>0</v>
      </c>
      <c r="X211" s="435">
        <v>0</v>
      </c>
      <c r="Y211" s="435">
        <v>0</v>
      </c>
      <c r="Z211" s="435">
        <f t="shared" si="157"/>
        <v>0</v>
      </c>
      <c r="AA211" s="435"/>
      <c r="AB211" s="435">
        <f t="shared" si="164"/>
        <v>0</v>
      </c>
    </row>
    <row r="212" spans="2:28" s="423" customFormat="1">
      <c r="D212" s="434"/>
      <c r="E212" s="435"/>
      <c r="F212" s="435"/>
      <c r="G212" s="435"/>
      <c r="H212" s="435"/>
      <c r="I212" s="435"/>
      <c r="J212" s="435"/>
      <c r="K212" s="435"/>
      <c r="L212" s="435"/>
      <c r="M212" s="435"/>
      <c r="N212" s="435"/>
      <c r="O212" s="435"/>
      <c r="P212" s="435"/>
      <c r="Q212" s="435"/>
      <c r="R212" s="435"/>
      <c r="S212" s="435"/>
      <c r="T212" s="435"/>
      <c r="U212" s="435"/>
      <c r="V212" s="435"/>
      <c r="X212" s="435"/>
      <c r="Z212" s="435"/>
      <c r="AA212" s="435"/>
      <c r="AB212" s="435"/>
    </row>
    <row r="213" spans="2:28" s="423" customFormat="1">
      <c r="C213" s="438" t="s">
        <v>532</v>
      </c>
      <c r="D213" s="439"/>
      <c r="E213" s="435"/>
      <c r="F213" s="435"/>
      <c r="G213" s="435"/>
      <c r="H213" s="435"/>
      <c r="I213" s="435"/>
      <c r="J213" s="435"/>
      <c r="K213" s="435"/>
      <c r="L213" s="435"/>
      <c r="M213" s="435"/>
      <c r="N213" s="435"/>
      <c r="O213" s="435"/>
      <c r="P213" s="435"/>
      <c r="Q213" s="435"/>
      <c r="R213" s="435"/>
      <c r="S213" s="435"/>
      <c r="T213" s="435"/>
      <c r="U213" s="435"/>
      <c r="V213" s="435"/>
      <c r="X213" s="435"/>
      <c r="Z213" s="435"/>
      <c r="AA213" s="435"/>
      <c r="AB213" s="435"/>
    </row>
    <row r="214" spans="2:28" s="423" customFormat="1">
      <c r="D214" s="423" t="s">
        <v>442</v>
      </c>
      <c r="E214" s="435">
        <v>0</v>
      </c>
      <c r="F214" s="435"/>
      <c r="G214" s="435">
        <f t="shared" si="158"/>
        <v>0</v>
      </c>
      <c r="H214" s="435">
        <v>0</v>
      </c>
      <c r="I214" s="435"/>
      <c r="J214" s="435">
        <f t="shared" ref="J214" si="169">SUM(H214:I214)</f>
        <v>0</v>
      </c>
      <c r="K214" s="435">
        <v>0</v>
      </c>
      <c r="L214" s="435"/>
      <c r="M214" s="435">
        <f t="shared" ref="M214" si="170">SUM(K214:L214)</f>
        <v>0</v>
      </c>
      <c r="N214" s="435">
        <v>0</v>
      </c>
      <c r="O214" s="435"/>
      <c r="P214" s="435">
        <f t="shared" ref="P214" si="171">SUM(N214:O214)</f>
        <v>0</v>
      </c>
      <c r="Q214" s="435">
        <v>0</v>
      </c>
      <c r="R214" s="435"/>
      <c r="S214" s="435">
        <f t="shared" ref="S214" si="172">SUM(Q214:R214)</f>
        <v>0</v>
      </c>
      <c r="T214" s="435">
        <v>0</v>
      </c>
      <c r="U214" s="435"/>
      <c r="V214" s="435">
        <f t="shared" si="163"/>
        <v>0</v>
      </c>
      <c r="W214" s="435">
        <v>0</v>
      </c>
      <c r="X214" s="435">
        <v>0</v>
      </c>
      <c r="Y214" s="435">
        <v>0</v>
      </c>
      <c r="Z214" s="435">
        <f>SUM(G214,J214,M214,P214,S214,V214)</f>
        <v>0</v>
      </c>
      <c r="AA214" s="435"/>
      <c r="AB214" s="435">
        <f t="shared" ref="AB214" si="173">SUM(Z214:AA214)</f>
        <v>0</v>
      </c>
    </row>
    <row r="215" spans="2:28" s="423" customFormat="1">
      <c r="B215" s="417"/>
      <c r="C215" s="417"/>
      <c r="D215" s="417"/>
      <c r="E215" s="435"/>
      <c r="F215" s="435"/>
      <c r="G215" s="435"/>
      <c r="H215" s="435"/>
      <c r="I215" s="435"/>
      <c r="J215" s="435"/>
      <c r="K215" s="435"/>
      <c r="L215" s="435"/>
      <c r="M215" s="435"/>
      <c r="N215" s="435"/>
      <c r="O215" s="435"/>
      <c r="P215" s="435"/>
      <c r="Q215" s="435"/>
      <c r="R215" s="435"/>
      <c r="S215" s="435"/>
      <c r="T215" s="435"/>
      <c r="U215" s="435"/>
      <c r="V215" s="435"/>
      <c r="X215" s="417"/>
      <c r="Z215" s="417"/>
      <c r="AA215" s="417"/>
      <c r="AB215" s="417"/>
    </row>
    <row r="216" spans="2:28" s="417" customFormat="1" ht="13.5" thickBot="1">
      <c r="E216" s="458">
        <f>SUM(E203:E215)</f>
        <v>0</v>
      </c>
      <c r="F216" s="458"/>
      <c r="G216" s="458">
        <f>SUM(G203:G215)</f>
        <v>0</v>
      </c>
      <c r="H216" s="458">
        <f>SUM(H203:H215)</f>
        <v>0</v>
      </c>
      <c r="I216" s="458"/>
      <c r="J216" s="458">
        <f>SUM(J203:J215)</f>
        <v>0</v>
      </c>
      <c r="K216" s="458">
        <f>SUM(K203:K215)</f>
        <v>0</v>
      </c>
      <c r="L216" s="458"/>
      <c r="M216" s="458">
        <f>SUM(M203:M215)</f>
        <v>0</v>
      </c>
      <c r="N216" s="458">
        <f>SUM(N203:N215)</f>
        <v>0</v>
      </c>
      <c r="O216" s="458"/>
      <c r="P216" s="458">
        <f>SUM(P203:P215)</f>
        <v>0</v>
      </c>
      <c r="Q216" s="458">
        <f>SUM(Q203:Q215)</f>
        <v>-8417149098.75</v>
      </c>
      <c r="R216" s="458"/>
      <c r="S216" s="458">
        <f>SUM(S203:S215)</f>
        <v>-8417149098.75</v>
      </c>
      <c r="T216" s="458">
        <f>SUM(T203:T215)</f>
        <v>0</v>
      </c>
      <c r="U216" s="458"/>
      <c r="V216" s="458">
        <f>SUM(V203:V215)</f>
        <v>0</v>
      </c>
      <c r="X216" s="458">
        <f>SUM(X203:X215)</f>
        <v>0</v>
      </c>
      <c r="Z216" s="458">
        <f>SUM(Z203:Z215)</f>
        <v>-8417149098.75</v>
      </c>
      <c r="AA216" s="458">
        <f>SUM(AA203:AA215)</f>
        <v>8417149098.75</v>
      </c>
      <c r="AB216" s="458">
        <f>SUM(AB203:AB215)</f>
        <v>0</v>
      </c>
    </row>
    <row r="217" spans="2:28" s="417" customFormat="1" ht="13.5" thickTop="1">
      <c r="E217" s="443"/>
      <c r="F217" s="443"/>
      <c r="G217" s="443"/>
      <c r="H217" s="443"/>
      <c r="I217" s="443"/>
      <c r="J217" s="443"/>
      <c r="K217" s="443"/>
      <c r="L217" s="443"/>
      <c r="M217" s="443"/>
      <c r="N217" s="443"/>
      <c r="O217" s="443"/>
      <c r="P217" s="443"/>
      <c r="Q217" s="443"/>
      <c r="R217" s="443"/>
      <c r="S217" s="443"/>
      <c r="T217" s="443"/>
      <c r="U217" s="443"/>
      <c r="V217" s="443"/>
      <c r="X217" s="443"/>
      <c r="Z217" s="443"/>
      <c r="AA217" s="443"/>
      <c r="AB217" s="443"/>
    </row>
    <row r="218" spans="2:28" s="417" customFormat="1" ht="13">
      <c r="D218" s="445" t="s">
        <v>435</v>
      </c>
      <c r="E218" s="446">
        <f>'Consol SoFP 23 &amp; 22'!F64</f>
        <v>0</v>
      </c>
      <c r="F218" s="446">
        <f>'Consol SoFP 23 &amp; 22'!G64</f>
        <v>0</v>
      </c>
      <c r="G218" s="446">
        <f>'Consol SoFP 23 &amp; 22'!H64</f>
        <v>0</v>
      </c>
      <c r="H218" s="446">
        <f>'Consol SoFP 23 &amp; 22'!I64</f>
        <v>0</v>
      </c>
      <c r="I218" s="446">
        <f>'Consol SoFP 23 &amp; 22'!J64</f>
        <v>0</v>
      </c>
      <c r="J218" s="446">
        <f>'Consol SoFP 23 &amp; 22'!K64</f>
        <v>0</v>
      </c>
      <c r="K218" s="446">
        <f>'Consol SoFP 23 &amp; 22'!L64</f>
        <v>0</v>
      </c>
      <c r="L218" s="446">
        <f>'Consol SoFP 23 &amp; 22'!M64</f>
        <v>0</v>
      </c>
      <c r="M218" s="446">
        <f>'Consol SoFP 23 &amp; 22'!N64</f>
        <v>0</v>
      </c>
      <c r="N218" s="446">
        <f>'Consol SoFP 23 &amp; 22'!O64</f>
        <v>0</v>
      </c>
      <c r="O218" s="446">
        <f>'Consol SoFP 23 &amp; 22'!P64</f>
        <v>0</v>
      </c>
      <c r="P218" s="446">
        <f>'Consol SoFP 23 &amp; 22'!Q64</f>
        <v>0</v>
      </c>
      <c r="Q218" s="446">
        <f>'Consol SoFP 23 &amp; 22'!R64</f>
        <v>-8417149098.9674196</v>
      </c>
      <c r="R218" s="446">
        <f>'Consol SoFP 23 &amp; 22'!S64</f>
        <v>0</v>
      </c>
      <c r="S218" s="446">
        <f>'Consol SoFP 23 &amp; 22'!T64</f>
        <v>-8417149098.9674196</v>
      </c>
      <c r="T218" s="446">
        <f>'Consol SoFP 23 &amp; 22'!U64</f>
        <v>0</v>
      </c>
      <c r="U218" s="446">
        <f>'Consol SoFP 23 &amp; 22'!V64</f>
        <v>0</v>
      </c>
      <c r="V218" s="446">
        <f>'Consol SoFP 23 &amp; 22'!W64</f>
        <v>0</v>
      </c>
      <c r="X218" s="446">
        <v>0</v>
      </c>
      <c r="Z218" s="446">
        <f>'Consol SoFP 23 &amp; 22'!AB64</f>
        <v>-8417149098.9674196</v>
      </c>
      <c r="AA218" s="446">
        <f>SUM('Consol SoFP 23 &amp; 22'!AC64:AD64)</f>
        <v>8417149098.75</v>
      </c>
      <c r="AB218" s="446">
        <f>'Consol SoFP 23 &amp; 22'!AE64</f>
        <v>0</v>
      </c>
    </row>
    <row r="219" spans="2:28" s="417" customFormat="1" ht="13">
      <c r="D219" s="445" t="s">
        <v>111</v>
      </c>
      <c r="E219" s="442">
        <f>ROUND(E216-E218,0)</f>
        <v>0</v>
      </c>
      <c r="F219" s="442">
        <f t="shared" ref="F219:S219" si="174">ROUND(F216-F218,0)</f>
        <v>0</v>
      </c>
      <c r="G219" s="442">
        <f t="shared" si="174"/>
        <v>0</v>
      </c>
      <c r="H219" s="442">
        <f t="shared" si="174"/>
        <v>0</v>
      </c>
      <c r="I219" s="442">
        <f t="shared" si="174"/>
        <v>0</v>
      </c>
      <c r="J219" s="442">
        <f t="shared" si="174"/>
        <v>0</v>
      </c>
      <c r="K219" s="442">
        <f t="shared" si="174"/>
        <v>0</v>
      </c>
      <c r="L219" s="442">
        <f t="shared" si="174"/>
        <v>0</v>
      </c>
      <c r="M219" s="442">
        <f t="shared" si="174"/>
        <v>0</v>
      </c>
      <c r="N219" s="442">
        <f t="shared" si="174"/>
        <v>0</v>
      </c>
      <c r="O219" s="442">
        <f t="shared" si="174"/>
        <v>0</v>
      </c>
      <c r="P219" s="442">
        <f t="shared" si="174"/>
        <v>0</v>
      </c>
      <c r="Q219" s="442">
        <f t="shared" si="174"/>
        <v>0</v>
      </c>
      <c r="R219" s="442">
        <f t="shared" si="174"/>
        <v>0</v>
      </c>
      <c r="S219" s="442">
        <f t="shared" si="174"/>
        <v>0</v>
      </c>
      <c r="T219" s="442">
        <f t="shared" ref="T219" si="175">T216-T218</f>
        <v>0</v>
      </c>
      <c r="U219" s="442"/>
      <c r="V219" s="442"/>
      <c r="X219" s="442">
        <f t="shared" ref="X219" si="176">X216-X218</f>
        <v>0</v>
      </c>
      <c r="Z219" s="442">
        <f t="shared" ref="Z219:AB219" si="177">Z216-Z218</f>
        <v>0.21741962432861328</v>
      </c>
      <c r="AA219" s="442">
        <f t="shared" si="177"/>
        <v>0</v>
      </c>
      <c r="AB219" s="442">
        <f t="shared" si="177"/>
        <v>0</v>
      </c>
    </row>
    <row r="220" spans="2:28" s="417" customFormat="1" ht="13">
      <c r="D220" s="445"/>
      <c r="E220" s="443"/>
      <c r="F220" s="443"/>
      <c r="G220" s="443"/>
      <c r="H220" s="443"/>
      <c r="I220" s="443"/>
      <c r="J220" s="443"/>
      <c r="K220" s="443"/>
      <c r="L220" s="443"/>
      <c r="M220" s="443"/>
      <c r="N220" s="443"/>
      <c r="O220" s="443"/>
      <c r="P220" s="443"/>
      <c r="Q220" s="443"/>
      <c r="R220" s="443"/>
      <c r="S220" s="443"/>
      <c r="T220" s="443"/>
      <c r="U220" s="443"/>
      <c r="V220" s="443"/>
      <c r="X220" s="443"/>
      <c r="Z220" s="443"/>
      <c r="AA220" s="443"/>
      <c r="AB220" s="443"/>
    </row>
    <row r="221" spans="2:28" s="417" customFormat="1" ht="13" thickBot="1">
      <c r="B221" s="447"/>
      <c r="C221" s="447"/>
      <c r="D221" s="447"/>
      <c r="E221" s="447"/>
      <c r="F221" s="447"/>
      <c r="G221" s="447"/>
      <c r="H221" s="447"/>
      <c r="I221" s="447"/>
      <c r="J221" s="447"/>
      <c r="K221" s="447"/>
      <c r="L221" s="447"/>
      <c r="M221" s="447"/>
      <c r="N221" s="447"/>
      <c r="O221" s="447"/>
      <c r="P221" s="447"/>
      <c r="Q221" s="447"/>
      <c r="R221" s="447"/>
      <c r="S221" s="447"/>
      <c r="T221" s="447"/>
      <c r="U221" s="447"/>
      <c r="V221" s="447"/>
      <c r="X221" s="447"/>
      <c r="Z221" s="447"/>
      <c r="AA221" s="447"/>
      <c r="AB221" s="447"/>
    </row>
    <row r="222" spans="2:28" s="417" customFormat="1" ht="13">
      <c r="B222" s="414" t="s">
        <v>448</v>
      </c>
      <c r="G222" s="425" t="s">
        <v>530</v>
      </c>
    </row>
    <row r="223" spans="2:28" s="417" customFormat="1" ht="13">
      <c r="B223" s="423"/>
      <c r="C223" s="423"/>
      <c r="D223" s="423"/>
      <c r="E223" s="428" t="s">
        <v>426</v>
      </c>
      <c r="F223" s="428" t="s">
        <v>334</v>
      </c>
      <c r="G223" s="428" t="s">
        <v>427</v>
      </c>
      <c r="H223" s="428" t="s">
        <v>426</v>
      </c>
      <c r="I223" s="428" t="s">
        <v>334</v>
      </c>
      <c r="J223" s="428" t="s">
        <v>427</v>
      </c>
      <c r="K223" s="428" t="s">
        <v>426</v>
      </c>
      <c r="L223" s="428" t="s">
        <v>334</v>
      </c>
      <c r="M223" s="428" t="s">
        <v>427</v>
      </c>
      <c r="N223" s="428" t="s">
        <v>426</v>
      </c>
      <c r="O223" s="428" t="s">
        <v>334</v>
      </c>
      <c r="P223" s="428" t="s">
        <v>427</v>
      </c>
      <c r="Q223" s="428" t="s">
        <v>426</v>
      </c>
      <c r="R223" s="428" t="s">
        <v>334</v>
      </c>
      <c r="S223" s="428" t="s">
        <v>427</v>
      </c>
      <c r="T223" s="428" t="s">
        <v>426</v>
      </c>
      <c r="U223" s="428" t="s">
        <v>334</v>
      </c>
      <c r="V223" s="428" t="s">
        <v>427</v>
      </c>
      <c r="X223" s="428" t="s">
        <v>428</v>
      </c>
      <c r="Z223" s="428" t="s">
        <v>11</v>
      </c>
      <c r="AA223" s="428" t="s">
        <v>429</v>
      </c>
      <c r="AB223" s="428" t="s">
        <v>13</v>
      </c>
    </row>
    <row r="224" spans="2:28" s="417" customFormat="1" ht="13">
      <c r="B224" s="423"/>
      <c r="C224" s="423"/>
      <c r="D224" s="423"/>
      <c r="E224" s="429">
        <v>45291</v>
      </c>
      <c r="F224" s="429"/>
      <c r="G224" s="429">
        <v>45291</v>
      </c>
      <c r="H224" s="429">
        <v>45291</v>
      </c>
      <c r="I224" s="429"/>
      <c r="J224" s="429">
        <v>45291</v>
      </c>
      <c r="K224" s="429">
        <v>45291</v>
      </c>
      <c r="L224" s="429"/>
      <c r="M224" s="429">
        <v>45291</v>
      </c>
      <c r="N224" s="429">
        <v>45291</v>
      </c>
      <c r="O224" s="429"/>
      <c r="P224" s="429">
        <v>45291</v>
      </c>
      <c r="Q224" s="429">
        <v>45291</v>
      </c>
      <c r="R224" s="429"/>
      <c r="S224" s="429">
        <v>45291</v>
      </c>
      <c r="T224" s="429">
        <v>45291</v>
      </c>
      <c r="U224" s="429"/>
      <c r="V224" s="429">
        <v>45291</v>
      </c>
      <c r="X224" s="429">
        <v>45291</v>
      </c>
      <c r="Z224" s="429">
        <v>45291</v>
      </c>
      <c r="AA224" s="429">
        <v>45291</v>
      </c>
      <c r="AB224" s="429">
        <v>45291</v>
      </c>
    </row>
    <row r="226" spans="3:28" s="423" customFormat="1">
      <c r="C226" s="423" t="s">
        <v>543</v>
      </c>
      <c r="D226" s="434"/>
      <c r="E226" s="435">
        <v>0</v>
      </c>
      <c r="F226" s="435"/>
      <c r="G226" s="435">
        <f>SUM(E226:F226)</f>
        <v>0</v>
      </c>
      <c r="H226" s="435">
        <v>-602607420010.57495</v>
      </c>
      <c r="I226" s="435"/>
      <c r="J226" s="435">
        <f>SUM(H226:I226)</f>
        <v>-602607420010.57495</v>
      </c>
      <c r="K226" s="435">
        <v>-9187565842.3500004</v>
      </c>
      <c r="L226" s="435"/>
      <c r="M226" s="435">
        <f>SUM(K226:L226)</f>
        <v>-9187565842.3500004</v>
      </c>
      <c r="N226" s="435">
        <v>-33728578502.849998</v>
      </c>
      <c r="O226" s="435"/>
      <c r="P226" s="435">
        <f>SUM(N226:O226)</f>
        <v>-33728578502.849998</v>
      </c>
      <c r="Q226" s="435">
        <v>-144237470598.89999</v>
      </c>
      <c r="R226" s="435"/>
      <c r="S226" s="435">
        <f t="shared" ref="S226:S237" si="178">SUM(Q226:R226)</f>
        <v>-144237470598.89999</v>
      </c>
      <c r="T226" s="435">
        <v>0</v>
      </c>
      <c r="U226" s="435"/>
      <c r="V226" s="435">
        <f>SUM(T226:U226)</f>
        <v>0</v>
      </c>
      <c r="W226" s="435">
        <v>0</v>
      </c>
      <c r="X226" s="435">
        <v>0</v>
      </c>
      <c r="Y226" s="435">
        <v>0</v>
      </c>
      <c r="Z226" s="435">
        <f t="shared" ref="Z226:Z233" si="179">SUM(G226,J226,M226,P226,S226,V226)</f>
        <v>-789761034954.67493</v>
      </c>
      <c r="AA226" s="435">
        <f>SUM('Elimination 23'!G60:G61)+'Elimination 23'!G71+'Elimination 23'!G70</f>
        <v>789761034954.32068</v>
      </c>
      <c r="AB226" s="435">
        <f>SUM(Z226:AA226)</f>
        <v>-0.354248046875</v>
      </c>
    </row>
    <row r="227" spans="3:28" s="423" customFormat="1">
      <c r="D227" s="423" t="s">
        <v>546</v>
      </c>
      <c r="E227" s="435">
        <v>0</v>
      </c>
      <c r="F227" s="435"/>
      <c r="G227" s="435">
        <f t="shared" ref="G227:G237" si="180">SUM(E227:F227)</f>
        <v>0</v>
      </c>
      <c r="H227" s="435">
        <v>0</v>
      </c>
      <c r="I227" s="435"/>
      <c r="J227" s="435">
        <f t="shared" ref="J227:J233" si="181">SUM(H227:I227)</f>
        <v>0</v>
      </c>
      <c r="K227" s="435">
        <v>0</v>
      </c>
      <c r="L227" s="435"/>
      <c r="M227" s="435">
        <f t="shared" ref="M227:M233" si="182">SUM(K227:L227)</f>
        <v>0</v>
      </c>
      <c r="N227" s="435">
        <v>-5206392965.0249996</v>
      </c>
      <c r="O227" s="435">
        <f>'Consol SoFP 23 &amp; 22'!P67</f>
        <v>5120912990.3293056</v>
      </c>
      <c r="P227" s="435">
        <f t="shared" ref="P227:P233" si="183">SUM(N227:O227)</f>
        <v>-85479974.69569397</v>
      </c>
      <c r="Q227" s="435">
        <v>-40883219692.875</v>
      </c>
      <c r="R227" s="435"/>
      <c r="S227" s="435">
        <f t="shared" si="178"/>
        <v>-40883219692.875</v>
      </c>
      <c r="T227" s="435">
        <v>0</v>
      </c>
      <c r="U227" s="435"/>
      <c r="V227" s="435">
        <f t="shared" ref="V227:V236" si="184">SUM(T227:U227)</f>
        <v>0</v>
      </c>
      <c r="W227" s="435">
        <v>0</v>
      </c>
      <c r="X227" s="435">
        <v>0</v>
      </c>
      <c r="Y227" s="435">
        <v>0</v>
      </c>
      <c r="Z227" s="435">
        <f t="shared" si="179"/>
        <v>-40968699667.570694</v>
      </c>
      <c r="AA227" s="435">
        <f>'Elimination 23'!G79+'Elimination 23'!G81</f>
        <v>40968699667.570694</v>
      </c>
      <c r="AB227" s="435">
        <f t="shared" ref="AB227:AB236" si="185">SUM(Z227:AA227)</f>
        <v>0</v>
      </c>
    </row>
    <row r="228" spans="3:28" s="423" customFormat="1">
      <c r="D228" s="423" t="s">
        <v>552</v>
      </c>
      <c r="E228" s="435">
        <v>0</v>
      </c>
      <c r="F228" s="435"/>
      <c r="G228" s="435">
        <f t="shared" si="180"/>
        <v>0</v>
      </c>
      <c r="H228" s="435">
        <v>0</v>
      </c>
      <c r="I228" s="435"/>
      <c r="J228" s="435">
        <f t="shared" si="181"/>
        <v>0</v>
      </c>
      <c r="K228" s="435">
        <v>0</v>
      </c>
      <c r="L228" s="435"/>
      <c r="M228" s="435">
        <f t="shared" si="182"/>
        <v>0</v>
      </c>
      <c r="N228" s="435">
        <v>0</v>
      </c>
      <c r="O228" s="435"/>
      <c r="P228" s="435">
        <f t="shared" si="183"/>
        <v>0</v>
      </c>
      <c r="Q228" s="435">
        <v>0</v>
      </c>
      <c r="R228" s="435"/>
      <c r="S228" s="435">
        <f t="shared" si="178"/>
        <v>0</v>
      </c>
      <c r="T228" s="435">
        <v>0</v>
      </c>
      <c r="U228" s="435"/>
      <c r="V228" s="435">
        <f t="shared" si="184"/>
        <v>0</v>
      </c>
      <c r="W228" s="435">
        <v>0</v>
      </c>
      <c r="X228" s="435">
        <v>0</v>
      </c>
      <c r="Y228" s="435">
        <v>0</v>
      </c>
      <c r="Z228" s="435">
        <f t="shared" si="179"/>
        <v>0</v>
      </c>
      <c r="AA228" s="435"/>
      <c r="AB228" s="435">
        <f t="shared" si="185"/>
        <v>0</v>
      </c>
    </row>
    <row r="229" spans="3:28" s="423" customFormat="1">
      <c r="D229" s="423" t="s">
        <v>547</v>
      </c>
      <c r="E229" s="435">
        <v>0</v>
      </c>
      <c r="F229" s="435"/>
      <c r="G229" s="435">
        <f t="shared" si="180"/>
        <v>0</v>
      </c>
      <c r="H229" s="435">
        <v>0</v>
      </c>
      <c r="I229" s="435"/>
      <c r="J229" s="435">
        <f t="shared" si="181"/>
        <v>0</v>
      </c>
      <c r="K229" s="435">
        <v>0</v>
      </c>
      <c r="L229" s="435"/>
      <c r="M229" s="435">
        <f t="shared" si="182"/>
        <v>0</v>
      </c>
      <c r="N229" s="435">
        <v>0</v>
      </c>
      <c r="O229" s="435"/>
      <c r="P229" s="435">
        <f t="shared" si="183"/>
        <v>0</v>
      </c>
      <c r="Q229" s="435">
        <v>0</v>
      </c>
      <c r="R229" s="435"/>
      <c r="S229" s="435">
        <f t="shared" si="178"/>
        <v>0</v>
      </c>
      <c r="T229" s="435">
        <v>0</v>
      </c>
      <c r="U229" s="435"/>
      <c r="V229" s="435">
        <f t="shared" si="184"/>
        <v>0</v>
      </c>
      <c r="W229" s="435">
        <v>0</v>
      </c>
      <c r="X229" s="435">
        <v>0</v>
      </c>
      <c r="Y229" s="435">
        <v>0</v>
      </c>
      <c r="Z229" s="435">
        <f t="shared" si="179"/>
        <v>0</v>
      </c>
      <c r="AA229" s="435"/>
      <c r="AB229" s="435">
        <f t="shared" si="185"/>
        <v>0</v>
      </c>
    </row>
    <row r="230" spans="3:28" s="423" customFormat="1">
      <c r="D230" s="423" t="s">
        <v>548</v>
      </c>
      <c r="E230" s="435">
        <v>0</v>
      </c>
      <c r="F230" s="435"/>
      <c r="G230" s="435">
        <f t="shared" si="180"/>
        <v>0</v>
      </c>
      <c r="H230" s="435">
        <v>0</v>
      </c>
      <c r="I230" s="435"/>
      <c r="J230" s="435">
        <f t="shared" si="181"/>
        <v>0</v>
      </c>
      <c r="K230" s="435">
        <v>0</v>
      </c>
      <c r="L230" s="435"/>
      <c r="M230" s="435">
        <f t="shared" si="182"/>
        <v>0</v>
      </c>
      <c r="N230" s="435">
        <v>0</v>
      </c>
      <c r="O230" s="435"/>
      <c r="P230" s="435">
        <f t="shared" si="183"/>
        <v>0</v>
      </c>
      <c r="Q230" s="435">
        <v>0</v>
      </c>
      <c r="R230" s="435"/>
      <c r="S230" s="435">
        <f t="shared" si="178"/>
        <v>0</v>
      </c>
      <c r="T230" s="435">
        <v>0</v>
      </c>
      <c r="U230" s="435"/>
      <c r="V230" s="435">
        <f t="shared" si="184"/>
        <v>0</v>
      </c>
      <c r="W230" s="435">
        <v>0</v>
      </c>
      <c r="X230" s="435">
        <v>0</v>
      </c>
      <c r="Y230" s="435">
        <v>0</v>
      </c>
      <c r="Z230" s="435">
        <f t="shared" si="179"/>
        <v>0</v>
      </c>
      <c r="AA230" s="435"/>
      <c r="AB230" s="435">
        <f t="shared" si="185"/>
        <v>0</v>
      </c>
    </row>
    <row r="231" spans="3:28" s="423" customFormat="1">
      <c r="D231" s="423" t="s">
        <v>545</v>
      </c>
      <c r="E231" s="435">
        <v>0</v>
      </c>
      <c r="F231" s="435"/>
      <c r="G231" s="435">
        <f t="shared" si="180"/>
        <v>0</v>
      </c>
      <c r="H231" s="435">
        <v>0</v>
      </c>
      <c r="I231" s="435"/>
      <c r="J231" s="435">
        <f t="shared" si="181"/>
        <v>0</v>
      </c>
      <c r="K231" s="435">
        <v>0</v>
      </c>
      <c r="L231" s="435"/>
      <c r="M231" s="435">
        <f t="shared" si="182"/>
        <v>0</v>
      </c>
      <c r="N231" s="435">
        <v>0</v>
      </c>
      <c r="O231" s="435"/>
      <c r="P231" s="435">
        <f t="shared" si="183"/>
        <v>0</v>
      </c>
      <c r="Q231" s="435">
        <v>0</v>
      </c>
      <c r="R231" s="435"/>
      <c r="S231" s="435">
        <f t="shared" si="178"/>
        <v>0</v>
      </c>
      <c r="T231" s="435">
        <v>0</v>
      </c>
      <c r="U231" s="435"/>
      <c r="V231" s="435">
        <f t="shared" si="184"/>
        <v>0</v>
      </c>
      <c r="W231" s="435">
        <v>0</v>
      </c>
      <c r="X231" s="435">
        <v>0</v>
      </c>
      <c r="Y231" s="435">
        <v>0</v>
      </c>
      <c r="Z231" s="435">
        <f t="shared" si="179"/>
        <v>0</v>
      </c>
      <c r="AA231" s="435"/>
      <c r="AB231" s="435">
        <f t="shared" si="185"/>
        <v>0</v>
      </c>
    </row>
    <row r="232" spans="3:28" s="423" customFormat="1">
      <c r="D232" s="423" t="s">
        <v>549</v>
      </c>
      <c r="E232" s="435">
        <v>0</v>
      </c>
      <c r="F232" s="435"/>
      <c r="G232" s="435">
        <f t="shared" si="180"/>
        <v>0</v>
      </c>
      <c r="H232" s="435">
        <v>0</v>
      </c>
      <c r="I232" s="435"/>
      <c r="J232" s="435">
        <f t="shared" si="181"/>
        <v>0</v>
      </c>
      <c r="K232" s="435">
        <v>0</v>
      </c>
      <c r="L232" s="435"/>
      <c r="M232" s="435">
        <f t="shared" si="182"/>
        <v>0</v>
      </c>
      <c r="N232" s="435">
        <v>0</v>
      </c>
      <c r="O232" s="435"/>
      <c r="P232" s="435">
        <f t="shared" si="183"/>
        <v>0</v>
      </c>
      <c r="Q232" s="435">
        <v>0</v>
      </c>
      <c r="R232" s="435"/>
      <c r="S232" s="435">
        <f t="shared" si="178"/>
        <v>0</v>
      </c>
      <c r="T232" s="435">
        <v>0</v>
      </c>
      <c r="U232" s="435"/>
      <c r="V232" s="435">
        <f t="shared" si="184"/>
        <v>0</v>
      </c>
      <c r="W232" s="435">
        <v>0</v>
      </c>
      <c r="X232" s="435">
        <v>0</v>
      </c>
      <c r="Y232" s="435">
        <v>0</v>
      </c>
      <c r="Z232" s="435">
        <f t="shared" si="179"/>
        <v>0</v>
      </c>
      <c r="AA232" s="435">
        <f>-Z232</f>
        <v>0</v>
      </c>
      <c r="AB232" s="435">
        <f t="shared" si="185"/>
        <v>0</v>
      </c>
    </row>
    <row r="233" spans="3:28" s="423" customFormat="1">
      <c r="D233" s="434" t="s">
        <v>544</v>
      </c>
      <c r="E233" s="435">
        <v>0</v>
      </c>
      <c r="F233" s="435"/>
      <c r="G233" s="435">
        <f t="shared" si="180"/>
        <v>0</v>
      </c>
      <c r="H233" s="435">
        <v>0</v>
      </c>
      <c r="I233" s="435"/>
      <c r="J233" s="435">
        <f t="shared" si="181"/>
        <v>0</v>
      </c>
      <c r="K233" s="435">
        <v>0</v>
      </c>
      <c r="L233" s="435"/>
      <c r="M233" s="435">
        <f t="shared" si="182"/>
        <v>0</v>
      </c>
      <c r="N233" s="435">
        <v>0</v>
      </c>
      <c r="O233" s="435"/>
      <c r="P233" s="435">
        <f t="shared" si="183"/>
        <v>0</v>
      </c>
      <c r="Q233" s="435">
        <v>0</v>
      </c>
      <c r="R233" s="435"/>
      <c r="S233" s="435">
        <f t="shared" si="178"/>
        <v>0</v>
      </c>
      <c r="T233" s="435">
        <v>0</v>
      </c>
      <c r="U233" s="435"/>
      <c r="V233" s="435">
        <f t="shared" si="184"/>
        <v>0</v>
      </c>
      <c r="W233" s="435">
        <v>0</v>
      </c>
      <c r="X233" s="435">
        <v>0</v>
      </c>
      <c r="Y233" s="435">
        <v>0</v>
      </c>
      <c r="Z233" s="435">
        <f t="shared" si="179"/>
        <v>0</v>
      </c>
      <c r="AA233" s="435"/>
      <c r="AB233" s="435">
        <f t="shared" si="185"/>
        <v>0</v>
      </c>
    </row>
    <row r="234" spans="3:28" s="423" customFormat="1">
      <c r="D234" s="434"/>
      <c r="E234" s="435"/>
      <c r="F234" s="435"/>
      <c r="G234" s="435"/>
      <c r="H234" s="435"/>
      <c r="I234" s="435"/>
      <c r="J234" s="435"/>
      <c r="K234" s="435"/>
      <c r="L234" s="435"/>
      <c r="M234" s="435"/>
      <c r="N234" s="435"/>
      <c r="O234" s="435"/>
      <c r="P234" s="435"/>
      <c r="Q234" s="435"/>
      <c r="R234" s="435"/>
      <c r="S234" s="435"/>
      <c r="T234" s="435"/>
      <c r="U234" s="435"/>
      <c r="V234" s="435"/>
      <c r="W234" s="435"/>
      <c r="X234" s="435"/>
      <c r="Y234" s="435"/>
      <c r="Z234" s="435"/>
      <c r="AA234" s="435"/>
      <c r="AB234" s="435"/>
    </row>
    <row r="235" spans="3:28" s="423" customFormat="1">
      <c r="C235" s="438" t="s">
        <v>532</v>
      </c>
      <c r="D235" s="439"/>
      <c r="E235" s="435"/>
      <c r="F235" s="435"/>
      <c r="G235" s="435"/>
      <c r="H235" s="435"/>
      <c r="I235" s="435"/>
      <c r="J235" s="435"/>
      <c r="K235" s="435"/>
      <c r="L235" s="435"/>
      <c r="M235" s="435"/>
      <c r="N235" s="435"/>
      <c r="O235" s="435"/>
      <c r="P235" s="435"/>
      <c r="Q235" s="435"/>
      <c r="R235" s="435"/>
      <c r="S235" s="435"/>
      <c r="T235" s="435"/>
      <c r="U235" s="435"/>
      <c r="V235" s="435"/>
      <c r="W235" s="435"/>
      <c r="X235" s="435"/>
      <c r="Y235" s="435"/>
      <c r="Z235" s="457"/>
      <c r="AA235" s="435"/>
      <c r="AB235" s="435"/>
    </row>
    <row r="236" spans="3:28" s="423" customFormat="1">
      <c r="D236" s="423" t="s">
        <v>551</v>
      </c>
      <c r="E236" s="435">
        <v>-2289691252.7999997</v>
      </c>
      <c r="F236" s="435"/>
      <c r="G236" s="435">
        <f t="shared" si="180"/>
        <v>-2289691252.7999997</v>
      </c>
      <c r="H236" s="435">
        <v>0</v>
      </c>
      <c r="I236" s="435"/>
      <c r="J236" s="435">
        <f t="shared" ref="J236:J237" si="186">SUM(H236:I236)</f>
        <v>0</v>
      </c>
      <c r="K236" s="435">
        <v>0</v>
      </c>
      <c r="L236" s="435"/>
      <c r="M236" s="435">
        <f t="shared" ref="M236:M237" si="187">SUM(K236:L236)</f>
        <v>0</v>
      </c>
      <c r="N236" s="435">
        <v>-40302224.549999997</v>
      </c>
      <c r="O236" s="435"/>
      <c r="P236" s="435">
        <f t="shared" ref="P236:P237" si="188">SUM(N236:O236)</f>
        <v>-40302224.549999997</v>
      </c>
      <c r="Q236" s="435">
        <v>0</v>
      </c>
      <c r="R236" s="435"/>
      <c r="S236" s="435">
        <f t="shared" si="178"/>
        <v>0</v>
      </c>
      <c r="T236" s="435">
        <v>0</v>
      </c>
      <c r="U236" s="435"/>
      <c r="V236" s="435">
        <f t="shared" si="184"/>
        <v>0</v>
      </c>
      <c r="W236" s="435">
        <v>0</v>
      </c>
      <c r="X236" s="435">
        <v>0</v>
      </c>
      <c r="Y236" s="435">
        <v>0</v>
      </c>
      <c r="Z236" s="435">
        <f>SUM(G236,J236,M236,P236,S236,V236)</f>
        <v>-2329993477.3499999</v>
      </c>
      <c r="AA236" s="435"/>
      <c r="AB236" s="435">
        <f t="shared" si="185"/>
        <v>-2329993477.3499999</v>
      </c>
    </row>
    <row r="237" spans="3:28" s="423" customFormat="1">
      <c r="D237" s="423" t="s">
        <v>553</v>
      </c>
      <c r="E237" s="435">
        <v>-13587349018.949999</v>
      </c>
      <c r="F237" s="435"/>
      <c r="G237" s="435">
        <f t="shared" si="180"/>
        <v>-13587349018.949999</v>
      </c>
      <c r="H237" s="435">
        <v>0</v>
      </c>
      <c r="I237" s="435"/>
      <c r="J237" s="435">
        <f t="shared" si="186"/>
        <v>0</v>
      </c>
      <c r="K237" s="435">
        <v>0</v>
      </c>
      <c r="L237" s="435"/>
      <c r="M237" s="435">
        <f t="shared" si="187"/>
        <v>0</v>
      </c>
      <c r="N237" s="435">
        <v>0</v>
      </c>
      <c r="O237" s="435"/>
      <c r="P237" s="435">
        <f t="shared" si="188"/>
        <v>0</v>
      </c>
      <c r="Q237" s="435">
        <v>0</v>
      </c>
      <c r="R237" s="435"/>
      <c r="S237" s="435">
        <f t="shared" si="178"/>
        <v>0</v>
      </c>
      <c r="T237" s="435">
        <v>0</v>
      </c>
      <c r="U237" s="435"/>
      <c r="V237" s="435">
        <f t="shared" ref="V237" si="189">SUM(T237:U237)</f>
        <v>0</v>
      </c>
      <c r="W237" s="435">
        <v>0</v>
      </c>
      <c r="X237" s="435">
        <v>0</v>
      </c>
      <c r="Y237" s="435">
        <v>0</v>
      </c>
      <c r="Z237" s="435">
        <f>SUM(G237,J237,M237,P237,S237,V237)</f>
        <v>-13587349018.949999</v>
      </c>
      <c r="AA237" s="435"/>
      <c r="AB237" s="435">
        <f t="shared" ref="AB237" si="190">SUM(Z237:AA237)</f>
        <v>-13587349018.949999</v>
      </c>
    </row>
    <row r="238" spans="3:28" s="423" customFormat="1">
      <c r="C238" s="417"/>
      <c r="D238" s="417"/>
      <c r="E238" s="435"/>
      <c r="F238" s="435"/>
      <c r="G238" s="435"/>
      <c r="H238" s="435"/>
      <c r="I238" s="435"/>
      <c r="J238" s="435"/>
      <c r="K238" s="435"/>
      <c r="L238" s="435"/>
      <c r="M238" s="435"/>
      <c r="N238" s="435"/>
      <c r="O238" s="435"/>
      <c r="P238" s="435"/>
      <c r="Q238" s="435"/>
      <c r="R238" s="435"/>
      <c r="S238" s="435"/>
      <c r="T238" s="435"/>
      <c r="U238" s="435"/>
      <c r="V238" s="435"/>
      <c r="X238" s="417"/>
      <c r="Z238" s="417"/>
      <c r="AA238" s="417"/>
      <c r="AB238" s="417"/>
    </row>
    <row r="239" spans="3:28" s="417" customFormat="1" ht="13.5" thickBot="1">
      <c r="E239" s="458">
        <f>SUM(E225:E238)</f>
        <v>-15877040271.749998</v>
      </c>
      <c r="F239" s="458"/>
      <c r="G239" s="458">
        <f>SUM(G225:G238)</f>
        <v>-15877040271.749998</v>
      </c>
      <c r="H239" s="458">
        <f>SUM(H225:H238)</f>
        <v>-602607420010.57495</v>
      </c>
      <c r="I239" s="458"/>
      <c r="J239" s="458">
        <f>SUM(J225:J238)</f>
        <v>-602607420010.57495</v>
      </c>
      <c r="K239" s="458">
        <f>SUM(K225:K238)</f>
        <v>-9187565842.3500004</v>
      </c>
      <c r="L239" s="458"/>
      <c r="M239" s="458">
        <f>SUM(M225:M238)</f>
        <v>-9187565842.3500004</v>
      </c>
      <c r="N239" s="458">
        <f>SUM(N225:N238)</f>
        <v>-38975273692.425003</v>
      </c>
      <c r="O239" s="458">
        <f>SUM(O225:O238)</f>
        <v>5120912990.3293056</v>
      </c>
      <c r="P239" s="458">
        <f>SUM(P225:P238)</f>
        <v>-33854360702.095692</v>
      </c>
      <c r="Q239" s="458">
        <f>SUM(Q225:Q238)</f>
        <v>-185120690291.77499</v>
      </c>
      <c r="R239" s="458"/>
      <c r="S239" s="458">
        <f>SUM(S225:S238)</f>
        <v>-185120690291.77499</v>
      </c>
      <c r="T239" s="458">
        <f>SUM(T225:T238)</f>
        <v>0</v>
      </c>
      <c r="U239" s="458"/>
      <c r="V239" s="458">
        <f>SUM(V225:V238)</f>
        <v>0</v>
      </c>
      <c r="X239" s="458">
        <f>SUM(X225:X238)</f>
        <v>0</v>
      </c>
      <c r="Z239" s="458">
        <f>SUM(Z225:Z238)</f>
        <v>-846647077118.54553</v>
      </c>
      <c r="AA239" s="458">
        <f>SUM(AA225:AA238)</f>
        <v>830729734621.89136</v>
      </c>
      <c r="AB239" s="458">
        <f>SUM(AB225:AB238)</f>
        <v>-15917342496.654247</v>
      </c>
    </row>
    <row r="241" spans="2:28" s="417" customFormat="1" ht="13">
      <c r="D241" s="445" t="s">
        <v>435</v>
      </c>
      <c r="E241" s="446">
        <f>'Consol SoFP 23 &amp; 22'!E67</f>
        <v>-15877040272</v>
      </c>
      <c r="F241" s="446"/>
      <c r="G241" s="446">
        <f>'Consol SoFP 23 &amp; 22'!H67+'Consol SoFP 23 &amp; 22'!H83</f>
        <v>-15877040272</v>
      </c>
      <c r="H241" s="446">
        <f>'Consol SoFP 23 &amp; 22'!I67+'Consol SoFP 23 &amp; 22'!I83</f>
        <v>-602607420011</v>
      </c>
      <c r="I241" s="446">
        <f>'Consol SoFP 23 &amp; 22'!J67+'Consol SoFP 23 &amp; 22'!J83</f>
        <v>0</v>
      </c>
      <c r="J241" s="446">
        <f>'Consol SoFP 23 &amp; 22'!K67+'Consol SoFP 23 &amp; 22'!K83</f>
        <v>-602607420011</v>
      </c>
      <c r="K241" s="446">
        <f>'Consol SoFP 23 &amp; 22'!L67+'Consol SoFP 23 &amp; 22'!L83</f>
        <v>-9187565842</v>
      </c>
      <c r="L241" s="446">
        <f>'Consol SoFP 23 &amp; 22'!M67+'Consol SoFP 23 &amp; 22'!M83</f>
        <v>0</v>
      </c>
      <c r="M241" s="446">
        <f>'Consol SoFP 23 &amp; 22'!N67+'Consol SoFP 23 &amp; 22'!N83</f>
        <v>-9187565842</v>
      </c>
      <c r="N241" s="446">
        <f>'Consol SoFP 23 &amp; 22'!O67+'Consol SoFP 23 &amp; 22'!O83</f>
        <v>-38975273693</v>
      </c>
      <c r="O241" s="446">
        <f>'Consol SoFP 23 &amp; 22'!P67+'Consol SoFP 23 &amp; 22'!P83</f>
        <v>5120912990.3293056</v>
      </c>
      <c r="P241" s="446">
        <f>'Consol SoFP 23 &amp; 22'!Q67+'Consol SoFP 23 &amp; 22'!Q83</f>
        <v>-33854360702.670692</v>
      </c>
      <c r="Q241" s="446">
        <f>'Consol SoFP 23 &amp; 22'!R67+'Consol SoFP 23 &amp; 22'!R83</f>
        <v>-185120690291</v>
      </c>
      <c r="R241" s="446">
        <f>'Consol SoFP 23 &amp; 22'!S67+'Consol SoFP 23 &amp; 22'!S83</f>
        <v>0</v>
      </c>
      <c r="S241" s="446">
        <f>'Consol SoFP 23 &amp; 22'!T67+'Consol SoFP 23 &amp; 22'!T83</f>
        <v>-185120690291</v>
      </c>
      <c r="T241" s="446">
        <f>'Consol SoFP 23 &amp; 22'!U67+'Consol SoFP 23 &amp; 22'!U83</f>
        <v>0</v>
      </c>
      <c r="U241" s="446">
        <f>'Consol SoFP 23 &amp; 22'!V67+'Consol SoFP 23 &amp; 22'!V83</f>
        <v>0</v>
      </c>
      <c r="V241" s="446">
        <f>'Consol SoFP 23 &amp; 22'!W67+'Consol SoFP 23 &amp; 22'!W83</f>
        <v>0</v>
      </c>
      <c r="X241" s="446">
        <v>0</v>
      </c>
      <c r="Z241" s="459">
        <f>'Consol SoFP 23 &amp; 22'!AB67+'Consol SoFP 23 &amp; 22'!AB83</f>
        <v>-846647077118.67065</v>
      </c>
      <c r="AA241" s="459">
        <f>SUM('Consol SoFP 23 &amp; 22'!AC83:AD83,'Consol SoFP 23 &amp; 22'!AC67:AD67)</f>
        <v>830729734620.89136</v>
      </c>
      <c r="AB241" s="459">
        <f>'Consol SoFP 23 &amp; 22'!AE67+'Consol SoFP 23 &amp; 22'!AE83</f>
        <v>-15917342497</v>
      </c>
    </row>
    <row r="242" spans="2:28" s="417" customFormat="1" ht="13">
      <c r="D242" s="445" t="s">
        <v>111</v>
      </c>
      <c r="E242" s="442">
        <f t="shared" ref="E242" si="191">E239-E241</f>
        <v>0.25000190734863281</v>
      </c>
      <c r="F242" s="442"/>
      <c r="G242" s="442">
        <f t="shared" ref="G242:V242" si="192">G239-G241</f>
        <v>0.25000190734863281</v>
      </c>
      <c r="H242" s="442">
        <f t="shared" si="192"/>
        <v>0.425048828125</v>
      </c>
      <c r="I242" s="442">
        <f t="shared" si="192"/>
        <v>0</v>
      </c>
      <c r="J242" s="442">
        <f t="shared" si="192"/>
        <v>0.425048828125</v>
      </c>
      <c r="K242" s="442">
        <f t="shared" si="192"/>
        <v>-0.35000038146972656</v>
      </c>
      <c r="L242" s="442">
        <f t="shared" si="192"/>
        <v>0</v>
      </c>
      <c r="M242" s="442">
        <f t="shared" si="192"/>
        <v>-0.35000038146972656</v>
      </c>
      <c r="N242" s="442">
        <f t="shared" si="192"/>
        <v>0.5749969482421875</v>
      </c>
      <c r="O242" s="442">
        <f t="shared" si="192"/>
        <v>0</v>
      </c>
      <c r="P242" s="442">
        <f t="shared" si="192"/>
        <v>0.57500076293945313</v>
      </c>
      <c r="Q242" s="442">
        <f t="shared" si="192"/>
        <v>-0.774993896484375</v>
      </c>
      <c r="R242" s="442">
        <f t="shared" si="192"/>
        <v>0</v>
      </c>
      <c r="S242" s="442">
        <f t="shared" si="192"/>
        <v>-0.774993896484375</v>
      </c>
      <c r="T242" s="442">
        <f t="shared" si="192"/>
        <v>0</v>
      </c>
      <c r="U242" s="442">
        <f t="shared" si="192"/>
        <v>0</v>
      </c>
      <c r="V242" s="442">
        <f t="shared" si="192"/>
        <v>0</v>
      </c>
      <c r="X242" s="442">
        <f t="shared" ref="X242" si="193">X239-X241</f>
        <v>0</v>
      </c>
      <c r="Z242" s="442">
        <f t="shared" ref="Z242:AB242" si="194">Z239-Z241</f>
        <v>0.1251220703125</v>
      </c>
      <c r="AA242" s="442">
        <f t="shared" si="194"/>
        <v>1</v>
      </c>
      <c r="AB242" s="442">
        <f t="shared" si="194"/>
        <v>0.34575271606445313</v>
      </c>
    </row>
    <row r="243" spans="2:28" s="417" customFormat="1" ht="13">
      <c r="D243" s="445"/>
      <c r="E243" s="443"/>
      <c r="F243" s="443"/>
      <c r="G243" s="443"/>
      <c r="H243" s="443"/>
      <c r="I243" s="443"/>
      <c r="J243" s="443"/>
      <c r="K243" s="443"/>
      <c r="L243" s="443"/>
      <c r="M243" s="443"/>
      <c r="N243" s="443"/>
      <c r="O243" s="443"/>
      <c r="P243" s="443"/>
      <c r="Q243" s="443"/>
      <c r="R243" s="443"/>
      <c r="S243" s="443"/>
      <c r="T243" s="443"/>
      <c r="U243" s="443"/>
      <c r="V243" s="443"/>
      <c r="X243" s="443"/>
      <c r="Z243" s="443"/>
      <c r="AA243" s="443"/>
      <c r="AB243" s="443"/>
    </row>
    <row r="244" spans="2:28" s="417" customFormat="1" ht="13" thickBot="1">
      <c r="B244" s="447"/>
      <c r="C244" s="447"/>
      <c r="D244" s="447"/>
      <c r="E244" s="447"/>
      <c r="F244" s="447"/>
      <c r="G244" s="447"/>
      <c r="H244" s="447"/>
      <c r="I244" s="447"/>
      <c r="J244" s="447"/>
      <c r="K244" s="447"/>
      <c r="L244" s="447"/>
      <c r="M244" s="447"/>
      <c r="N244" s="447"/>
      <c r="O244" s="447"/>
      <c r="P244" s="447"/>
      <c r="Q244" s="447"/>
      <c r="R244" s="447"/>
      <c r="S244" s="447"/>
      <c r="T244" s="447"/>
      <c r="U244" s="447"/>
      <c r="V244" s="447"/>
      <c r="X244" s="447"/>
      <c r="Z244" s="447"/>
      <c r="AA244" s="447"/>
      <c r="AB244" s="447"/>
    </row>
    <row r="245" spans="2:28" s="417" customFormat="1" ht="13">
      <c r="D245" s="445"/>
      <c r="E245" s="443"/>
      <c r="F245" s="443"/>
      <c r="G245" s="443"/>
      <c r="H245" s="443"/>
      <c r="I245" s="443"/>
      <c r="J245" s="443"/>
      <c r="K245" s="443"/>
      <c r="L245" s="443"/>
      <c r="M245" s="443"/>
      <c r="N245" s="443"/>
      <c r="O245" s="443"/>
      <c r="P245" s="443"/>
      <c r="Q245" s="443"/>
      <c r="R245" s="443"/>
      <c r="S245" s="443"/>
      <c r="T245" s="443"/>
      <c r="U245" s="443"/>
      <c r="V245" s="443"/>
      <c r="X245" s="443"/>
      <c r="Z245" s="443"/>
      <c r="AA245" s="443"/>
      <c r="AB245" s="443"/>
    </row>
    <row r="246" spans="2:28" s="417" customFormat="1" ht="13">
      <c r="B246" s="414" t="s">
        <v>450</v>
      </c>
    </row>
    <row r="247" spans="2:28" s="417" customFormat="1" ht="13">
      <c r="B247" s="423"/>
      <c r="C247" s="423"/>
      <c r="D247" s="423"/>
      <c r="E247" s="428" t="s">
        <v>426</v>
      </c>
      <c r="F247" s="428" t="s">
        <v>334</v>
      </c>
      <c r="G247" s="428" t="s">
        <v>427</v>
      </c>
      <c r="H247" s="428" t="s">
        <v>426</v>
      </c>
      <c r="I247" s="428" t="s">
        <v>334</v>
      </c>
      <c r="J247" s="428" t="s">
        <v>427</v>
      </c>
      <c r="K247" s="428" t="s">
        <v>426</v>
      </c>
      <c r="L247" s="428" t="s">
        <v>334</v>
      </c>
      <c r="M247" s="428" t="s">
        <v>427</v>
      </c>
      <c r="N247" s="428" t="s">
        <v>426</v>
      </c>
      <c r="O247" s="428" t="s">
        <v>334</v>
      </c>
      <c r="P247" s="428" t="s">
        <v>427</v>
      </c>
      <c r="Q247" s="428" t="s">
        <v>426</v>
      </c>
      <c r="R247" s="428" t="s">
        <v>334</v>
      </c>
      <c r="S247" s="428" t="s">
        <v>427</v>
      </c>
      <c r="T247" s="428" t="s">
        <v>426</v>
      </c>
      <c r="U247" s="428" t="s">
        <v>334</v>
      </c>
      <c r="V247" s="428" t="s">
        <v>427</v>
      </c>
      <c r="W247" s="423"/>
      <c r="X247" s="428" t="s">
        <v>428</v>
      </c>
      <c r="Y247" s="423"/>
      <c r="Z247" s="428" t="s">
        <v>11</v>
      </c>
      <c r="AA247" s="428" t="s">
        <v>429</v>
      </c>
      <c r="AB247" s="428" t="s">
        <v>13</v>
      </c>
    </row>
    <row r="248" spans="2:28" s="417" customFormat="1" ht="13">
      <c r="B248" s="423"/>
      <c r="C248" s="423"/>
      <c r="D248" s="423"/>
      <c r="E248" s="429">
        <v>45291</v>
      </c>
      <c r="F248" s="429"/>
      <c r="G248" s="429">
        <v>45291</v>
      </c>
      <c r="H248" s="429">
        <v>45291</v>
      </c>
      <c r="I248" s="429"/>
      <c r="J248" s="429">
        <v>45291</v>
      </c>
      <c r="K248" s="429">
        <v>45291</v>
      </c>
      <c r="L248" s="429"/>
      <c r="M248" s="429">
        <v>45291</v>
      </c>
      <c r="N248" s="429">
        <v>45291</v>
      </c>
      <c r="O248" s="429"/>
      <c r="P248" s="429">
        <v>45291</v>
      </c>
      <c r="Q248" s="429">
        <v>45291</v>
      </c>
      <c r="R248" s="429"/>
      <c r="S248" s="429">
        <v>45291</v>
      </c>
      <c r="T248" s="429">
        <v>45291</v>
      </c>
      <c r="U248" s="429"/>
      <c r="V248" s="429">
        <v>45291</v>
      </c>
      <c r="W248" s="423"/>
      <c r="X248" s="429">
        <v>45291</v>
      </c>
      <c r="Y248" s="423"/>
      <c r="Z248" s="429">
        <v>45291</v>
      </c>
      <c r="AA248" s="429">
        <v>45291</v>
      </c>
      <c r="AB248" s="429">
        <v>45291</v>
      </c>
    </row>
    <row r="249" spans="2:28" s="423" customFormat="1" ht="13" customHeight="1">
      <c r="C249" s="430"/>
      <c r="E249" s="431"/>
      <c r="F249" s="431"/>
      <c r="G249" s="431"/>
      <c r="H249" s="431"/>
      <c r="I249" s="431"/>
      <c r="J249" s="431"/>
      <c r="K249" s="431"/>
      <c r="L249" s="431"/>
      <c r="M249" s="431"/>
      <c r="N249" s="431"/>
      <c r="O249" s="431"/>
      <c r="P249" s="431"/>
      <c r="Q249" s="431"/>
      <c r="R249" s="431"/>
      <c r="S249" s="431"/>
      <c r="T249" s="431"/>
      <c r="U249" s="431"/>
      <c r="V249" s="431"/>
      <c r="X249" s="432"/>
      <c r="Z249" s="432"/>
      <c r="AA249" s="432"/>
      <c r="AB249" s="432"/>
    </row>
    <row r="250" spans="2:28" s="423" customFormat="1">
      <c r="C250" s="423" t="s">
        <v>543</v>
      </c>
      <c r="D250" s="434"/>
      <c r="E250" s="435">
        <v>0</v>
      </c>
      <c r="F250" s="435"/>
      <c r="G250" s="435">
        <f t="shared" ref="G250:G257" si="195">SUM(E250:F250)</f>
        <v>0</v>
      </c>
      <c r="H250" s="435">
        <v>-17087265241.199999</v>
      </c>
      <c r="I250" s="435"/>
      <c r="J250" s="435">
        <f t="shared" ref="J250:J257" si="196">SUM(H250:I250)</f>
        <v>-17087265241.199999</v>
      </c>
      <c r="K250" s="435"/>
      <c r="L250" s="435"/>
      <c r="M250" s="435">
        <f t="shared" ref="M250" si="197">SUM(K250:L250)</f>
        <v>0</v>
      </c>
      <c r="N250" s="435">
        <v>0</v>
      </c>
      <c r="O250" s="435"/>
      <c r="P250" s="435">
        <f t="shared" ref="P250:P257" si="198">SUM(N250:O250)</f>
        <v>0</v>
      </c>
      <c r="Q250" s="435">
        <v>0</v>
      </c>
      <c r="R250" s="435"/>
      <c r="S250" s="435">
        <f t="shared" ref="S250:S257" si="199">SUM(Q250:R250)</f>
        <v>0</v>
      </c>
      <c r="T250" s="435">
        <v>0</v>
      </c>
      <c r="U250" s="435"/>
      <c r="V250" s="435">
        <f t="shared" ref="V250:V257" si="200">SUM(T250:U250)</f>
        <v>0</v>
      </c>
      <c r="X250" s="435"/>
      <c r="Z250" s="435">
        <f>SUM(G250,J250,M250,P250,S250,V250)</f>
        <v>-17087265241.199999</v>
      </c>
      <c r="AA250" s="435">
        <f>'Elimination 23'!G59</f>
        <v>17087265241.199999</v>
      </c>
      <c r="AB250" s="435">
        <f>SUM(Z250:AA250)</f>
        <v>0</v>
      </c>
    </row>
    <row r="251" spans="2:28" s="423" customFormat="1">
      <c r="D251" s="423" t="s">
        <v>546</v>
      </c>
      <c r="E251" s="435">
        <v>0</v>
      </c>
      <c r="F251" s="435"/>
      <c r="G251" s="435">
        <f t="shared" si="195"/>
        <v>0</v>
      </c>
      <c r="H251" s="435">
        <v>0</v>
      </c>
      <c r="I251" s="435"/>
      <c r="J251" s="435">
        <f t="shared" si="196"/>
        <v>0</v>
      </c>
      <c r="K251" s="435">
        <v>0</v>
      </c>
      <c r="L251" s="435"/>
      <c r="M251" s="435">
        <f t="shared" ref="M251:M257" si="201">SUM(K251:L251)</f>
        <v>0</v>
      </c>
      <c r="N251" s="435">
        <v>0</v>
      </c>
      <c r="O251" s="435"/>
      <c r="P251" s="435">
        <f t="shared" si="198"/>
        <v>0</v>
      </c>
      <c r="Q251" s="435">
        <v>-30256823164.049999</v>
      </c>
      <c r="R251" s="435"/>
      <c r="S251" s="435">
        <f t="shared" si="199"/>
        <v>-30256823164.049999</v>
      </c>
      <c r="T251" s="435">
        <v>0</v>
      </c>
      <c r="U251" s="435"/>
      <c r="V251" s="435">
        <f t="shared" si="200"/>
        <v>0</v>
      </c>
      <c r="X251" s="435"/>
      <c r="Z251" s="435">
        <f>SUM(G251,J251,M251,P251,S251,V251)</f>
        <v>-30256823164.049999</v>
      </c>
      <c r="AA251" s="435">
        <f>'Elimination 23'!G80</f>
        <v>30256823164.049999</v>
      </c>
      <c r="AB251" s="435">
        <f>SUM(Z251:AA251)</f>
        <v>0</v>
      </c>
    </row>
    <row r="252" spans="2:28" s="423" customFormat="1">
      <c r="D252" s="423" t="s">
        <v>552</v>
      </c>
      <c r="E252" s="435">
        <v>0</v>
      </c>
      <c r="F252" s="435"/>
      <c r="G252" s="435">
        <f t="shared" si="195"/>
        <v>0</v>
      </c>
      <c r="H252" s="435">
        <v>0</v>
      </c>
      <c r="I252" s="435"/>
      <c r="J252" s="435">
        <f t="shared" si="196"/>
        <v>0</v>
      </c>
      <c r="K252" s="435">
        <v>0</v>
      </c>
      <c r="L252" s="435"/>
      <c r="M252" s="435">
        <f t="shared" si="201"/>
        <v>0</v>
      </c>
      <c r="N252" s="435">
        <v>0</v>
      </c>
      <c r="O252" s="435"/>
      <c r="P252" s="435">
        <f t="shared" si="198"/>
        <v>0</v>
      </c>
      <c r="Q252" s="435">
        <v>0</v>
      </c>
      <c r="R252" s="435"/>
      <c r="S252" s="435">
        <f t="shared" si="199"/>
        <v>0</v>
      </c>
      <c r="T252" s="435">
        <v>0</v>
      </c>
      <c r="U252" s="435"/>
      <c r="V252" s="435">
        <f t="shared" si="200"/>
        <v>0</v>
      </c>
      <c r="X252" s="435"/>
      <c r="Z252" s="435">
        <f t="shared" ref="Z252:Z257" si="202">SUM(G252,J252,M252,P252,S252,V252)</f>
        <v>0</v>
      </c>
      <c r="AA252" s="435">
        <f>-Z252</f>
        <v>0</v>
      </c>
      <c r="AB252" s="435">
        <f t="shared" ref="AB252:AB253" si="203">SUM(Z252:AA252)</f>
        <v>0</v>
      </c>
    </row>
    <row r="253" spans="2:28" s="423" customFormat="1">
      <c r="D253" s="423" t="s">
        <v>547</v>
      </c>
      <c r="E253" s="435">
        <v>0</v>
      </c>
      <c r="F253" s="435"/>
      <c r="G253" s="435">
        <f t="shared" si="195"/>
        <v>0</v>
      </c>
      <c r="H253" s="435">
        <v>0</v>
      </c>
      <c r="I253" s="435"/>
      <c r="J253" s="435">
        <f t="shared" si="196"/>
        <v>0</v>
      </c>
      <c r="K253" s="435">
        <v>0</v>
      </c>
      <c r="L253" s="435"/>
      <c r="M253" s="435">
        <f t="shared" si="201"/>
        <v>0</v>
      </c>
      <c r="N253" s="435">
        <v>0</v>
      </c>
      <c r="O253" s="435"/>
      <c r="P253" s="435">
        <f t="shared" si="198"/>
        <v>0</v>
      </c>
      <c r="Q253" s="435">
        <v>0</v>
      </c>
      <c r="R253" s="435"/>
      <c r="S253" s="435">
        <f t="shared" si="199"/>
        <v>0</v>
      </c>
      <c r="T253" s="435">
        <v>0</v>
      </c>
      <c r="U253" s="435"/>
      <c r="V253" s="435">
        <f t="shared" si="200"/>
        <v>0</v>
      </c>
      <c r="X253" s="435"/>
      <c r="Z253" s="435">
        <f t="shared" si="202"/>
        <v>0</v>
      </c>
      <c r="AA253" s="435"/>
      <c r="AB253" s="435">
        <f t="shared" si="203"/>
        <v>0</v>
      </c>
    </row>
    <row r="254" spans="2:28" s="423" customFormat="1">
      <c r="D254" s="423" t="s">
        <v>548</v>
      </c>
      <c r="E254" s="435">
        <v>0</v>
      </c>
      <c r="F254" s="435"/>
      <c r="G254" s="435">
        <f t="shared" si="195"/>
        <v>0</v>
      </c>
      <c r="H254" s="435">
        <v>0</v>
      </c>
      <c r="I254" s="435"/>
      <c r="J254" s="435">
        <f t="shared" si="196"/>
        <v>0</v>
      </c>
      <c r="K254" s="435">
        <v>0</v>
      </c>
      <c r="L254" s="435"/>
      <c r="M254" s="435">
        <f t="shared" si="201"/>
        <v>0</v>
      </c>
      <c r="N254" s="435">
        <v>0</v>
      </c>
      <c r="O254" s="435"/>
      <c r="P254" s="435">
        <f t="shared" si="198"/>
        <v>0</v>
      </c>
      <c r="Q254" s="435">
        <v>0</v>
      </c>
      <c r="R254" s="435"/>
      <c r="S254" s="435">
        <f t="shared" si="199"/>
        <v>0</v>
      </c>
      <c r="T254" s="435">
        <v>0</v>
      </c>
      <c r="U254" s="435"/>
      <c r="V254" s="435">
        <f t="shared" si="200"/>
        <v>0</v>
      </c>
      <c r="X254" s="435"/>
      <c r="Z254" s="435">
        <f t="shared" si="202"/>
        <v>0</v>
      </c>
      <c r="AA254" s="435"/>
      <c r="AB254" s="435">
        <f t="shared" ref="AB254:AB257" si="204">SUM(Z254:AA254)</f>
        <v>0</v>
      </c>
    </row>
    <row r="255" spans="2:28" s="423" customFormat="1">
      <c r="D255" s="423" t="s">
        <v>545</v>
      </c>
      <c r="E255" s="435">
        <v>0</v>
      </c>
      <c r="F255" s="435"/>
      <c r="G255" s="435">
        <f t="shared" si="195"/>
        <v>0</v>
      </c>
      <c r="H255" s="435">
        <v>0</v>
      </c>
      <c r="I255" s="435"/>
      <c r="J255" s="435">
        <f t="shared" si="196"/>
        <v>0</v>
      </c>
      <c r="K255" s="435">
        <v>0</v>
      </c>
      <c r="L255" s="435"/>
      <c r="M255" s="435">
        <f t="shared" si="201"/>
        <v>0</v>
      </c>
      <c r="N255" s="435">
        <v>0</v>
      </c>
      <c r="O255" s="435"/>
      <c r="P255" s="435">
        <f t="shared" si="198"/>
        <v>0</v>
      </c>
      <c r="Q255" s="435">
        <v>0</v>
      </c>
      <c r="R255" s="435"/>
      <c r="S255" s="435">
        <f t="shared" si="199"/>
        <v>0</v>
      </c>
      <c r="T255" s="435">
        <v>0</v>
      </c>
      <c r="U255" s="435"/>
      <c r="V255" s="435">
        <f t="shared" si="200"/>
        <v>0</v>
      </c>
      <c r="X255" s="435"/>
      <c r="Z255" s="435">
        <f t="shared" si="202"/>
        <v>0</v>
      </c>
      <c r="AA255" s="435">
        <f>-Z255</f>
        <v>0</v>
      </c>
      <c r="AB255" s="435">
        <f t="shared" si="204"/>
        <v>0</v>
      </c>
    </row>
    <row r="256" spans="2:28" s="423" customFormat="1">
      <c r="D256" s="423" t="s">
        <v>549</v>
      </c>
      <c r="E256" s="435">
        <v>0</v>
      </c>
      <c r="F256" s="435"/>
      <c r="G256" s="435">
        <f t="shared" si="195"/>
        <v>0</v>
      </c>
      <c r="H256" s="435">
        <v>0</v>
      </c>
      <c r="I256" s="435"/>
      <c r="J256" s="435">
        <f t="shared" si="196"/>
        <v>0</v>
      </c>
      <c r="K256" s="435">
        <v>0</v>
      </c>
      <c r="L256" s="435"/>
      <c r="M256" s="435">
        <f t="shared" si="201"/>
        <v>0</v>
      </c>
      <c r="N256" s="435">
        <v>0</v>
      </c>
      <c r="O256" s="435"/>
      <c r="P256" s="435">
        <f t="shared" si="198"/>
        <v>0</v>
      </c>
      <c r="Q256" s="435">
        <v>0</v>
      </c>
      <c r="R256" s="435"/>
      <c r="S256" s="435">
        <f t="shared" si="199"/>
        <v>0</v>
      </c>
      <c r="T256" s="435">
        <v>0</v>
      </c>
      <c r="U256" s="435"/>
      <c r="V256" s="435">
        <f t="shared" si="200"/>
        <v>0</v>
      </c>
      <c r="X256" s="435"/>
      <c r="Z256" s="435">
        <f t="shared" si="202"/>
        <v>0</v>
      </c>
      <c r="AA256" s="435"/>
      <c r="AB256" s="435">
        <f t="shared" si="204"/>
        <v>0</v>
      </c>
    </row>
    <row r="257" spans="1:28" s="423" customFormat="1">
      <c r="D257" s="434" t="s">
        <v>544</v>
      </c>
      <c r="E257" s="435">
        <v>0</v>
      </c>
      <c r="F257" s="435"/>
      <c r="G257" s="435">
        <f t="shared" si="195"/>
        <v>0</v>
      </c>
      <c r="H257" s="435">
        <v>0</v>
      </c>
      <c r="I257" s="435"/>
      <c r="J257" s="435">
        <f t="shared" si="196"/>
        <v>0</v>
      </c>
      <c r="K257" s="435">
        <v>0</v>
      </c>
      <c r="L257" s="435"/>
      <c r="M257" s="435">
        <f t="shared" si="201"/>
        <v>0</v>
      </c>
      <c r="N257" s="435">
        <v>0</v>
      </c>
      <c r="O257" s="435"/>
      <c r="P257" s="435">
        <f t="shared" si="198"/>
        <v>0</v>
      </c>
      <c r="Q257" s="435">
        <v>0</v>
      </c>
      <c r="R257" s="435"/>
      <c r="S257" s="435">
        <f t="shared" si="199"/>
        <v>0</v>
      </c>
      <c r="T257" s="435">
        <v>0</v>
      </c>
      <c r="U257" s="435"/>
      <c r="V257" s="435">
        <f t="shared" si="200"/>
        <v>0</v>
      </c>
      <c r="X257" s="435"/>
      <c r="Z257" s="435">
        <f t="shared" si="202"/>
        <v>0</v>
      </c>
      <c r="AA257" s="435"/>
      <c r="AB257" s="435">
        <f t="shared" si="204"/>
        <v>0</v>
      </c>
    </row>
    <row r="258" spans="1:28" s="423" customFormat="1">
      <c r="D258" s="434"/>
      <c r="E258" s="435"/>
      <c r="F258" s="435"/>
      <c r="G258" s="435"/>
      <c r="H258" s="435"/>
      <c r="I258" s="435"/>
      <c r="J258" s="435"/>
      <c r="K258" s="435"/>
      <c r="L258" s="435"/>
      <c r="M258" s="435"/>
      <c r="N258" s="435"/>
      <c r="O258" s="435"/>
      <c r="P258" s="435"/>
      <c r="Q258" s="435"/>
      <c r="R258" s="435"/>
      <c r="S258" s="435"/>
      <c r="T258" s="435"/>
      <c r="U258" s="435"/>
      <c r="V258" s="435"/>
      <c r="W258" s="435"/>
      <c r="X258" s="435"/>
      <c r="Y258" s="435"/>
      <c r="Z258" s="435"/>
      <c r="AA258" s="435"/>
      <c r="AB258" s="435"/>
    </row>
    <row r="259" spans="1:28" s="423" customFormat="1">
      <c r="C259" s="438" t="s">
        <v>532</v>
      </c>
      <c r="D259" s="439"/>
      <c r="E259" s="435"/>
      <c r="F259" s="435"/>
      <c r="G259" s="435"/>
      <c r="H259" s="435"/>
      <c r="I259" s="435"/>
      <c r="J259" s="435"/>
      <c r="K259" s="435"/>
      <c r="L259" s="435"/>
      <c r="M259" s="435"/>
      <c r="N259" s="435"/>
      <c r="O259" s="435"/>
      <c r="P259" s="435"/>
      <c r="Q259" s="435"/>
      <c r="R259" s="435"/>
      <c r="S259" s="435"/>
      <c r="T259" s="435"/>
      <c r="U259" s="435"/>
      <c r="V259" s="435"/>
      <c r="W259" s="435"/>
      <c r="X259" s="435"/>
      <c r="Y259" s="435"/>
      <c r="Z259" s="457"/>
      <c r="AA259" s="435"/>
      <c r="AB259" s="435"/>
    </row>
    <row r="260" spans="1:28" s="423" customFormat="1">
      <c r="D260" s="423" t="s">
        <v>550</v>
      </c>
      <c r="E260" s="435"/>
      <c r="F260" s="435"/>
      <c r="G260" s="435">
        <f t="shared" ref="G260:G262" si="205">SUM(E260:F260)</f>
        <v>0</v>
      </c>
      <c r="H260" s="435">
        <v>0</v>
      </c>
      <c r="I260" s="435"/>
      <c r="J260" s="435">
        <f t="shared" ref="J260:J262" si="206">SUM(H260:I260)</f>
        <v>0</v>
      </c>
      <c r="K260" s="435">
        <v>0</v>
      </c>
      <c r="L260" s="435"/>
      <c r="M260" s="435">
        <f t="shared" ref="M260:M262" si="207">SUM(K260:L260)</f>
        <v>0</v>
      </c>
      <c r="N260" s="435">
        <v>0</v>
      </c>
      <c r="O260" s="435"/>
      <c r="P260" s="435">
        <f t="shared" ref="P260:P262" si="208">SUM(N260:O260)</f>
        <v>0</v>
      </c>
      <c r="Q260" s="435">
        <v>0</v>
      </c>
      <c r="R260" s="435"/>
      <c r="S260" s="435">
        <f t="shared" ref="S260:S262" si="209">SUM(Q260:R260)</f>
        <v>0</v>
      </c>
      <c r="T260" s="435">
        <v>0</v>
      </c>
      <c r="U260" s="435"/>
      <c r="V260" s="435">
        <f t="shared" ref="V260:V262" si="210">SUM(T260:U260)</f>
        <v>0</v>
      </c>
      <c r="X260" s="435"/>
      <c r="Z260" s="435">
        <f t="shared" ref="Z260:Z262" si="211">SUM(G260,J260,M260,P260,S260,V260)</f>
        <v>0</v>
      </c>
      <c r="AA260" s="435"/>
      <c r="AB260" s="435">
        <f t="shared" ref="AB260:AB262" si="212">SUM(Z260:AA260)</f>
        <v>0</v>
      </c>
    </row>
    <row r="261" spans="1:28" s="423" customFormat="1">
      <c r="D261" s="423" t="s">
        <v>551</v>
      </c>
      <c r="E261" s="435"/>
      <c r="F261" s="435"/>
      <c r="G261" s="435">
        <f t="shared" si="205"/>
        <v>0</v>
      </c>
      <c r="H261" s="435">
        <v>0</v>
      </c>
      <c r="I261" s="435"/>
      <c r="J261" s="435">
        <f t="shared" si="206"/>
        <v>0</v>
      </c>
      <c r="K261" s="435">
        <v>0</v>
      </c>
      <c r="L261" s="435"/>
      <c r="M261" s="435">
        <f t="shared" si="207"/>
        <v>0</v>
      </c>
      <c r="N261" s="435">
        <v>0</v>
      </c>
      <c r="O261" s="435"/>
      <c r="P261" s="435">
        <f t="shared" si="208"/>
        <v>0</v>
      </c>
      <c r="Q261" s="435">
        <v>0</v>
      </c>
      <c r="R261" s="435"/>
      <c r="S261" s="435">
        <f t="shared" si="209"/>
        <v>0</v>
      </c>
      <c r="T261" s="435">
        <v>0</v>
      </c>
      <c r="U261" s="435"/>
      <c r="V261" s="435">
        <f t="shared" si="210"/>
        <v>0</v>
      </c>
      <c r="X261" s="435"/>
      <c r="Z261" s="435">
        <f t="shared" si="211"/>
        <v>0</v>
      </c>
      <c r="AA261" s="435"/>
      <c r="AB261" s="435">
        <f t="shared" si="212"/>
        <v>0</v>
      </c>
    </row>
    <row r="262" spans="1:28" s="423" customFormat="1">
      <c r="D262" s="423" t="s">
        <v>556</v>
      </c>
      <c r="E262" s="435"/>
      <c r="F262" s="435"/>
      <c r="G262" s="435">
        <f t="shared" si="205"/>
        <v>0</v>
      </c>
      <c r="H262" s="435">
        <v>0</v>
      </c>
      <c r="I262" s="435"/>
      <c r="J262" s="435">
        <f t="shared" si="206"/>
        <v>0</v>
      </c>
      <c r="K262" s="435">
        <v>0</v>
      </c>
      <c r="L262" s="435"/>
      <c r="M262" s="435">
        <f t="shared" si="207"/>
        <v>0</v>
      </c>
      <c r="N262" s="435">
        <v>0</v>
      </c>
      <c r="O262" s="435"/>
      <c r="P262" s="435">
        <f t="shared" si="208"/>
        <v>0</v>
      </c>
      <c r="Q262" s="435">
        <v>0</v>
      </c>
      <c r="R262" s="435"/>
      <c r="S262" s="435">
        <f t="shared" si="209"/>
        <v>0</v>
      </c>
      <c r="T262" s="435">
        <v>0</v>
      </c>
      <c r="U262" s="435"/>
      <c r="V262" s="435">
        <f t="shared" si="210"/>
        <v>0</v>
      </c>
      <c r="X262" s="435"/>
      <c r="Z262" s="435">
        <f t="shared" si="211"/>
        <v>0</v>
      </c>
      <c r="AA262" s="435"/>
      <c r="AB262" s="435">
        <f t="shared" si="212"/>
        <v>0</v>
      </c>
    </row>
    <row r="263" spans="1:28" s="417" customFormat="1">
      <c r="E263" s="435"/>
      <c r="F263" s="435"/>
      <c r="G263" s="435"/>
      <c r="H263" s="435"/>
      <c r="I263" s="435"/>
      <c r="J263" s="435"/>
      <c r="K263" s="435"/>
      <c r="L263" s="435"/>
      <c r="M263" s="435"/>
      <c r="N263" s="435"/>
      <c r="O263" s="435"/>
      <c r="P263" s="435"/>
      <c r="Q263" s="435"/>
      <c r="R263" s="435"/>
      <c r="S263" s="435"/>
      <c r="T263" s="435"/>
      <c r="U263" s="435"/>
      <c r="V263" s="435"/>
    </row>
    <row r="264" spans="1:28" s="417" customFormat="1">
      <c r="B264" s="416" t="s">
        <v>451</v>
      </c>
      <c r="G264" s="435"/>
      <c r="H264" s="435"/>
      <c r="I264" s="435"/>
      <c r="J264" s="435"/>
      <c r="K264" s="435"/>
      <c r="L264" s="435"/>
      <c r="M264" s="435"/>
      <c r="N264" s="435"/>
      <c r="O264" s="435"/>
      <c r="P264" s="435"/>
      <c r="Q264" s="435"/>
      <c r="R264" s="435"/>
      <c r="S264" s="435"/>
      <c r="T264" s="435"/>
      <c r="U264" s="435"/>
      <c r="V264" s="435"/>
      <c r="Z264" s="457"/>
    </row>
    <row r="265" spans="1:28" s="417" customFormat="1">
      <c r="D265" s="417" t="s">
        <v>555</v>
      </c>
      <c r="G265" s="435"/>
      <c r="H265" s="435"/>
      <c r="I265" s="435"/>
      <c r="J265" s="435"/>
      <c r="K265" s="435">
        <v>-289441436.83028245</v>
      </c>
      <c r="L265" s="435"/>
      <c r="M265" s="435">
        <f t="shared" ref="M265" si="213">SUM(K265:L265)</f>
        <v>-289441436.83028245</v>
      </c>
      <c r="N265" s="435">
        <v>0</v>
      </c>
      <c r="O265" s="435">
        <f>'Consol SoFP 23 &amp; 22'!P70</f>
        <v>-5120912990.3293056</v>
      </c>
      <c r="P265" s="435">
        <f t="shared" ref="P265:P270" si="214">SUM(N265:O265)</f>
        <v>-5120912990.3293056</v>
      </c>
      <c r="Q265" s="435"/>
      <c r="R265" s="435"/>
      <c r="S265" s="435"/>
      <c r="T265" s="435">
        <v>0</v>
      </c>
      <c r="U265" s="435"/>
      <c r="V265" s="435">
        <f t="shared" ref="V265:V270" si="215">SUM(T265:U265)</f>
        <v>0</v>
      </c>
      <c r="Z265" s="435">
        <f t="shared" ref="Z265:Z270" si="216">SUM(G265,J265,M265,P265,S265,V265)</f>
        <v>-5410354427.1595879</v>
      </c>
      <c r="AB265" s="435">
        <f t="shared" ref="AB265:AB270" si="217">SUM(Z265:AA265)</f>
        <v>-5410354427.1595879</v>
      </c>
    </row>
    <row r="266" spans="1:28" s="417" customFormat="1">
      <c r="D266" s="417" t="s">
        <v>602</v>
      </c>
      <c r="G266" s="435"/>
      <c r="H266" s="435"/>
      <c r="I266" s="435"/>
      <c r="J266" s="435"/>
      <c r="K266" s="435">
        <v>0</v>
      </c>
      <c r="L266" s="435"/>
      <c r="M266" s="435"/>
      <c r="N266" s="435">
        <v>0</v>
      </c>
      <c r="O266" s="435"/>
      <c r="P266" s="435">
        <f t="shared" si="214"/>
        <v>0</v>
      </c>
      <c r="Q266" s="435"/>
      <c r="R266" s="435"/>
      <c r="S266" s="435"/>
      <c r="T266" s="435">
        <v>0</v>
      </c>
      <c r="U266" s="435"/>
      <c r="V266" s="435">
        <f t="shared" si="215"/>
        <v>0</v>
      </c>
      <c r="Z266" s="435">
        <f t="shared" si="216"/>
        <v>0</v>
      </c>
      <c r="AB266" s="435">
        <f t="shared" si="217"/>
        <v>0</v>
      </c>
    </row>
    <row r="267" spans="1:28" s="417" customFormat="1">
      <c r="D267" s="417" t="s">
        <v>603</v>
      </c>
      <c r="G267" s="435"/>
      <c r="H267" s="435"/>
      <c r="I267" s="435"/>
      <c r="J267" s="435"/>
      <c r="K267" s="435">
        <v>0</v>
      </c>
      <c r="L267" s="435"/>
      <c r="M267" s="435"/>
      <c r="N267" s="435">
        <v>0</v>
      </c>
      <c r="O267" s="435"/>
      <c r="P267" s="435">
        <f t="shared" si="214"/>
        <v>0</v>
      </c>
      <c r="Q267" s="435"/>
      <c r="R267" s="435"/>
      <c r="S267" s="435"/>
      <c r="T267" s="435">
        <v>0</v>
      </c>
      <c r="U267" s="435"/>
      <c r="V267" s="435">
        <f t="shared" si="215"/>
        <v>0</v>
      </c>
      <c r="Z267" s="435">
        <f t="shared" si="216"/>
        <v>0</v>
      </c>
      <c r="AB267" s="435">
        <f t="shared" si="217"/>
        <v>0</v>
      </c>
    </row>
    <row r="268" spans="1:28" s="417" customFormat="1">
      <c r="D268" s="417" t="s">
        <v>604</v>
      </c>
      <c r="G268" s="435"/>
      <c r="H268" s="435"/>
      <c r="I268" s="435"/>
      <c r="J268" s="435"/>
      <c r="K268" s="435">
        <v>0</v>
      </c>
      <c r="L268" s="435"/>
      <c r="M268" s="435"/>
      <c r="N268" s="435">
        <v>0</v>
      </c>
      <c r="O268" s="435"/>
      <c r="P268" s="435">
        <f t="shared" si="214"/>
        <v>0</v>
      </c>
      <c r="Q268" s="435"/>
      <c r="R268" s="435"/>
      <c r="S268" s="435"/>
      <c r="T268" s="435">
        <v>0</v>
      </c>
      <c r="U268" s="435"/>
      <c r="V268" s="435">
        <f t="shared" si="215"/>
        <v>0</v>
      </c>
      <c r="Z268" s="435">
        <f t="shared" si="216"/>
        <v>0</v>
      </c>
      <c r="AB268" s="435">
        <f t="shared" si="217"/>
        <v>0</v>
      </c>
    </row>
    <row r="269" spans="1:28" s="417" customFormat="1">
      <c r="D269" s="417" t="s">
        <v>599</v>
      </c>
      <c r="G269" s="435"/>
      <c r="H269" s="435"/>
      <c r="I269" s="435"/>
      <c r="J269" s="435"/>
      <c r="K269" s="435">
        <v>0</v>
      </c>
      <c r="L269" s="435"/>
      <c r="M269" s="435"/>
      <c r="N269" s="435">
        <v>0</v>
      </c>
      <c r="O269" s="435"/>
      <c r="P269" s="435">
        <f t="shared" si="214"/>
        <v>0</v>
      </c>
      <c r="Q269" s="435"/>
      <c r="R269" s="435"/>
      <c r="S269" s="435"/>
      <c r="T269" s="435">
        <v>0</v>
      </c>
      <c r="U269" s="435"/>
      <c r="V269" s="435">
        <f t="shared" si="215"/>
        <v>0</v>
      </c>
      <c r="Z269" s="435">
        <f t="shared" si="216"/>
        <v>0</v>
      </c>
      <c r="AB269" s="435">
        <f t="shared" si="217"/>
        <v>0</v>
      </c>
    </row>
    <row r="270" spans="1:28" s="417" customFormat="1">
      <c r="D270" s="417" t="s">
        <v>606</v>
      </c>
      <c r="G270" s="435"/>
      <c r="H270" s="435"/>
      <c r="I270" s="435"/>
      <c r="J270" s="435"/>
      <c r="K270" s="435">
        <v>0</v>
      </c>
      <c r="L270" s="435"/>
      <c r="M270" s="435"/>
      <c r="N270" s="435">
        <v>0</v>
      </c>
      <c r="O270" s="435"/>
      <c r="P270" s="435">
        <f t="shared" si="214"/>
        <v>0</v>
      </c>
      <c r="Q270" s="435"/>
      <c r="R270" s="435"/>
      <c r="S270" s="435"/>
      <c r="T270" s="435">
        <v>0</v>
      </c>
      <c r="U270" s="435"/>
      <c r="V270" s="435">
        <f t="shared" si="215"/>
        <v>0</v>
      </c>
      <c r="Z270" s="435">
        <f t="shared" si="216"/>
        <v>0</v>
      </c>
      <c r="AB270" s="435">
        <f t="shared" si="217"/>
        <v>0</v>
      </c>
    </row>
    <row r="271" spans="1:28">
      <c r="A271" s="417"/>
      <c r="B271" s="417"/>
    </row>
    <row r="272" spans="1:28" s="417" customFormat="1" ht="13.5" thickBot="1">
      <c r="E272" s="458">
        <f t="shared" ref="E272:V272" si="218">SUM(E250:E270)</f>
        <v>0</v>
      </c>
      <c r="F272" s="458">
        <f t="shared" si="218"/>
        <v>0</v>
      </c>
      <c r="G272" s="458">
        <f t="shared" si="218"/>
        <v>0</v>
      </c>
      <c r="H272" s="458">
        <f t="shared" si="218"/>
        <v>-17087265241.199999</v>
      </c>
      <c r="I272" s="458">
        <f t="shared" si="218"/>
        <v>0</v>
      </c>
      <c r="J272" s="458">
        <f t="shared" si="218"/>
        <v>-17087265241.199999</v>
      </c>
      <c r="K272" s="458">
        <f t="shared" si="218"/>
        <v>-289441436.83028245</v>
      </c>
      <c r="L272" s="458">
        <f t="shared" si="218"/>
        <v>0</v>
      </c>
      <c r="M272" s="458">
        <f t="shared" si="218"/>
        <v>-289441436.83028245</v>
      </c>
      <c r="N272" s="458">
        <f t="shared" si="218"/>
        <v>0</v>
      </c>
      <c r="O272" s="458">
        <f t="shared" si="218"/>
        <v>-5120912990.3293056</v>
      </c>
      <c r="P272" s="458">
        <f t="shared" si="218"/>
        <v>-5120912990.3293056</v>
      </c>
      <c r="Q272" s="458">
        <f t="shared" si="218"/>
        <v>-30256823164.049999</v>
      </c>
      <c r="R272" s="458">
        <f t="shared" si="218"/>
        <v>0</v>
      </c>
      <c r="S272" s="458">
        <f t="shared" si="218"/>
        <v>-30256823164.049999</v>
      </c>
      <c r="T272" s="458">
        <f t="shared" si="218"/>
        <v>0</v>
      </c>
      <c r="U272" s="458">
        <f t="shared" si="218"/>
        <v>0</v>
      </c>
      <c r="V272" s="458">
        <f t="shared" si="218"/>
        <v>0</v>
      </c>
      <c r="X272" s="458">
        <f>SUM(X250:X262)</f>
        <v>0</v>
      </c>
      <c r="Z272" s="458">
        <f>SUM(Z250:Z262,Z265:Z270)</f>
        <v>-52754442832.409592</v>
      </c>
      <c r="AA272" s="458">
        <f>SUM(AA250:AA262)</f>
        <v>47344088405.25</v>
      </c>
      <c r="AB272" s="458">
        <f>SUM(AB250:AB262)</f>
        <v>0</v>
      </c>
    </row>
    <row r="273" spans="2:28" s="417" customFormat="1" ht="13.5" thickTop="1">
      <c r="D273" s="445"/>
      <c r="E273" s="443"/>
      <c r="F273" s="443"/>
      <c r="G273" s="443"/>
      <c r="H273" s="443"/>
      <c r="I273" s="443"/>
      <c r="J273" s="443"/>
      <c r="K273" s="443"/>
      <c r="L273" s="443"/>
      <c r="M273" s="443"/>
      <c r="N273" s="443"/>
      <c r="O273" s="443"/>
      <c r="P273" s="443"/>
      <c r="Q273" s="443"/>
      <c r="R273" s="443"/>
      <c r="S273" s="443"/>
      <c r="T273" s="443"/>
      <c r="U273" s="443"/>
      <c r="V273" s="443"/>
      <c r="X273" s="443"/>
      <c r="Z273" s="443"/>
      <c r="AA273" s="443"/>
      <c r="AB273" s="443"/>
    </row>
    <row r="274" spans="2:28" s="417" customFormat="1" ht="13">
      <c r="D274" s="445" t="s">
        <v>435</v>
      </c>
      <c r="E274" s="446">
        <f>'Consol SoFP 23 &amp; 22'!F70</f>
        <v>0</v>
      </c>
      <c r="F274" s="446">
        <f>'Consol SoFP 23 &amp; 22'!G70</f>
        <v>0</v>
      </c>
      <c r="G274" s="446">
        <f>'Consol SoFP 23 &amp; 22'!H70</f>
        <v>0</v>
      </c>
      <c r="H274" s="446">
        <f>'Consol SoFP 23 &amp; 22'!I70</f>
        <v>-17087265241</v>
      </c>
      <c r="I274" s="446">
        <f>'Consol SoFP 23 &amp; 22'!J70</f>
        <v>0</v>
      </c>
      <c r="J274" s="446">
        <f>'Consol SoFP 23 &amp; 22'!K70</f>
        <v>-17087265241</v>
      </c>
      <c r="K274" s="446">
        <f>'Consol SoFP 23 &amp; 22'!L70</f>
        <v>-289441437</v>
      </c>
      <c r="L274" s="446">
        <f>'Consol SoFP 23 &amp; 22'!M70</f>
        <v>0</v>
      </c>
      <c r="M274" s="446">
        <f>'Consol SoFP 23 &amp; 22'!N70</f>
        <v>-289441437</v>
      </c>
      <c r="N274" s="446">
        <f>'Consol SoFP 23 &amp; 22'!O70</f>
        <v>0</v>
      </c>
      <c r="O274" s="446">
        <f>'Consol SoFP 23 &amp; 22'!P70</f>
        <v>-5120912990.3293056</v>
      </c>
      <c r="P274" s="446">
        <f>'Consol SoFP 23 &amp; 22'!Q70</f>
        <v>-5120912990.3293056</v>
      </c>
      <c r="Q274" s="446">
        <f>'Consol SoFP 23 &amp; 22'!R70</f>
        <v>-30256823164</v>
      </c>
      <c r="R274" s="446">
        <f>'Consol SoFP 23 &amp; 22'!S70</f>
        <v>0</v>
      </c>
      <c r="S274" s="446">
        <f>'Consol SoFP 23 &amp; 22'!T70</f>
        <v>-30256823164</v>
      </c>
      <c r="T274" s="446">
        <f>'Consol SoFP 23 &amp; 22'!U70</f>
        <v>0</v>
      </c>
      <c r="U274" s="446">
        <f>'Consol SoFP 23 &amp; 22'!V70</f>
        <v>0</v>
      </c>
      <c r="V274" s="446">
        <f>'Consol SoFP 23 &amp; 22'!W70</f>
        <v>0</v>
      </c>
      <c r="X274" s="446">
        <v>0</v>
      </c>
      <c r="Z274" s="446">
        <f>'Consol SoFP 23 &amp; 22'!AB70</f>
        <v>-52754442832.329308</v>
      </c>
      <c r="AA274" s="446">
        <f>'Consol SoFP 23 &amp; 22'!AC70</f>
        <v>47344088405.25</v>
      </c>
      <c r="AB274" s="446">
        <f>'Consol SoFP 23 &amp; 22'!AD70</f>
        <v>0</v>
      </c>
    </row>
    <row r="275" spans="2:28" s="417" customFormat="1" ht="13">
      <c r="D275" s="445" t="s">
        <v>111</v>
      </c>
      <c r="E275" s="442">
        <f>ROUND(E272-E274,0)</f>
        <v>0</v>
      </c>
      <c r="F275" s="442">
        <f t="shared" ref="F275:V275" si="219">ROUND(F272-F274,0)</f>
        <v>0</v>
      </c>
      <c r="G275" s="442">
        <f t="shared" si="219"/>
        <v>0</v>
      </c>
      <c r="H275" s="442">
        <f t="shared" si="219"/>
        <v>0</v>
      </c>
      <c r="I275" s="442">
        <f t="shared" si="219"/>
        <v>0</v>
      </c>
      <c r="J275" s="442">
        <f t="shared" si="219"/>
        <v>0</v>
      </c>
      <c r="K275" s="442">
        <f t="shared" si="219"/>
        <v>0</v>
      </c>
      <c r="L275" s="442">
        <f t="shared" si="219"/>
        <v>0</v>
      </c>
      <c r="M275" s="442">
        <f t="shared" si="219"/>
        <v>0</v>
      </c>
      <c r="N275" s="442">
        <f t="shared" si="219"/>
        <v>0</v>
      </c>
      <c r="O275" s="442">
        <f t="shared" si="219"/>
        <v>0</v>
      </c>
      <c r="P275" s="442">
        <f t="shared" si="219"/>
        <v>0</v>
      </c>
      <c r="Q275" s="442">
        <f t="shared" si="219"/>
        <v>0</v>
      </c>
      <c r="R275" s="442">
        <f t="shared" si="219"/>
        <v>0</v>
      </c>
      <c r="S275" s="442">
        <f t="shared" si="219"/>
        <v>0</v>
      </c>
      <c r="T275" s="442">
        <f t="shared" si="219"/>
        <v>0</v>
      </c>
      <c r="U275" s="442">
        <f t="shared" si="219"/>
        <v>0</v>
      </c>
      <c r="V275" s="442">
        <f t="shared" si="219"/>
        <v>0</v>
      </c>
      <c r="X275" s="442">
        <f t="shared" ref="X275" si="220">X272-X274</f>
        <v>0</v>
      </c>
      <c r="Z275" s="442">
        <f t="shared" ref="Z275:AB275" si="221">Z272-Z274</f>
        <v>-8.028411865234375E-2</v>
      </c>
      <c r="AA275" s="442">
        <f t="shared" si="221"/>
        <v>0</v>
      </c>
      <c r="AB275" s="442">
        <f t="shared" si="221"/>
        <v>0</v>
      </c>
    </row>
    <row r="276" spans="2:28" s="417" customFormat="1" ht="13">
      <c r="D276" s="445"/>
      <c r="E276" s="443"/>
      <c r="F276" s="443"/>
      <c r="G276" s="443"/>
      <c r="H276" s="443"/>
      <c r="I276" s="443"/>
      <c r="J276" s="443"/>
      <c r="K276" s="443"/>
      <c r="L276" s="443"/>
      <c r="M276" s="443"/>
      <c r="N276" s="443"/>
      <c r="O276" s="443"/>
      <c r="P276" s="443"/>
      <c r="Q276" s="443"/>
      <c r="R276" s="443"/>
      <c r="S276" s="443"/>
      <c r="T276" s="443"/>
      <c r="U276" s="443"/>
      <c r="V276" s="443"/>
      <c r="X276" s="443"/>
      <c r="Z276" s="443"/>
      <c r="AA276" s="443"/>
      <c r="AB276" s="443"/>
    </row>
    <row r="277" spans="2:28" s="417" customFormat="1" ht="13" thickBot="1">
      <c r="B277" s="447"/>
      <c r="C277" s="447"/>
      <c r="D277" s="447"/>
      <c r="E277" s="447"/>
      <c r="F277" s="447"/>
      <c r="G277" s="447"/>
      <c r="H277" s="447"/>
      <c r="I277" s="447"/>
      <c r="J277" s="447"/>
      <c r="K277" s="447"/>
      <c r="L277" s="447"/>
      <c r="M277" s="447"/>
      <c r="N277" s="447"/>
      <c r="O277" s="447"/>
      <c r="P277" s="447"/>
      <c r="Q277" s="447"/>
      <c r="R277" s="447"/>
      <c r="S277" s="447"/>
      <c r="T277" s="447"/>
      <c r="U277" s="447"/>
      <c r="V277" s="447"/>
      <c r="X277" s="447"/>
      <c r="Z277" s="447"/>
      <c r="AA277" s="447"/>
      <c r="AB277" s="447"/>
    </row>
    <row r="278" spans="2:28" s="417" customFormat="1" ht="13">
      <c r="D278" s="445"/>
      <c r="E278" s="443"/>
      <c r="F278" s="443"/>
      <c r="G278" s="443"/>
      <c r="H278" s="443"/>
      <c r="I278" s="443"/>
      <c r="J278" s="443"/>
      <c r="K278" s="443"/>
      <c r="L278" s="443"/>
      <c r="M278" s="443"/>
      <c r="N278" s="443"/>
      <c r="O278" s="443"/>
      <c r="P278" s="443"/>
      <c r="Q278" s="443"/>
      <c r="R278" s="443"/>
      <c r="S278" s="443"/>
      <c r="T278" s="443"/>
      <c r="U278" s="443"/>
      <c r="V278" s="443"/>
      <c r="X278" s="443"/>
      <c r="Z278" s="443"/>
      <c r="AA278" s="443"/>
      <c r="AB278" s="443"/>
    </row>
    <row r="279" spans="2:28" s="417" customFormat="1" ht="13">
      <c r="B279" s="414" t="s">
        <v>452</v>
      </c>
    </row>
    <row r="280" spans="2:28" s="417" customFormat="1" ht="13">
      <c r="B280" s="423"/>
      <c r="C280" s="423"/>
      <c r="D280" s="423"/>
      <c r="E280" s="428" t="s">
        <v>426</v>
      </c>
      <c r="F280" s="428" t="s">
        <v>334</v>
      </c>
      <c r="G280" s="428" t="s">
        <v>427</v>
      </c>
      <c r="H280" s="428" t="s">
        <v>426</v>
      </c>
      <c r="I280" s="428" t="s">
        <v>334</v>
      </c>
      <c r="J280" s="428" t="s">
        <v>427</v>
      </c>
      <c r="K280" s="428" t="s">
        <v>426</v>
      </c>
      <c r="L280" s="428" t="s">
        <v>334</v>
      </c>
      <c r="M280" s="428" t="s">
        <v>427</v>
      </c>
      <c r="N280" s="428" t="s">
        <v>426</v>
      </c>
      <c r="O280" s="428" t="s">
        <v>334</v>
      </c>
      <c r="P280" s="428" t="s">
        <v>427</v>
      </c>
      <c r="Q280" s="428" t="s">
        <v>426</v>
      </c>
      <c r="R280" s="428" t="s">
        <v>334</v>
      </c>
      <c r="S280" s="428" t="s">
        <v>427</v>
      </c>
      <c r="T280" s="428" t="s">
        <v>426</v>
      </c>
      <c r="U280" s="428" t="s">
        <v>334</v>
      </c>
      <c r="V280" s="428" t="s">
        <v>427</v>
      </c>
      <c r="W280" s="423"/>
      <c r="X280" s="428" t="s">
        <v>428</v>
      </c>
      <c r="Y280" s="423"/>
      <c r="Z280" s="428" t="s">
        <v>11</v>
      </c>
      <c r="AA280" s="428" t="s">
        <v>429</v>
      </c>
      <c r="AB280" s="428" t="s">
        <v>13</v>
      </c>
    </row>
    <row r="281" spans="2:28" s="417" customFormat="1" ht="13">
      <c r="B281" s="423"/>
      <c r="C281" s="423"/>
      <c r="D281" s="423"/>
      <c r="E281" s="429">
        <v>45291</v>
      </c>
      <c r="F281" s="429"/>
      <c r="G281" s="429">
        <v>45291</v>
      </c>
      <c r="H281" s="429">
        <v>45291</v>
      </c>
      <c r="I281" s="429"/>
      <c r="J281" s="429">
        <v>45291</v>
      </c>
      <c r="K281" s="429">
        <v>45291</v>
      </c>
      <c r="L281" s="429"/>
      <c r="M281" s="429">
        <v>45291</v>
      </c>
      <c r="N281" s="429">
        <v>45291</v>
      </c>
      <c r="O281" s="429"/>
      <c r="P281" s="429">
        <v>45291</v>
      </c>
      <c r="Q281" s="429">
        <v>45291</v>
      </c>
      <c r="R281" s="429"/>
      <c r="S281" s="429">
        <v>45291</v>
      </c>
      <c r="T281" s="429">
        <v>45291</v>
      </c>
      <c r="U281" s="429"/>
      <c r="V281" s="429">
        <v>45291</v>
      </c>
      <c r="W281" s="423"/>
      <c r="X281" s="429">
        <v>45291</v>
      </c>
      <c r="Y281" s="423"/>
      <c r="Z281" s="429">
        <v>45291</v>
      </c>
      <c r="AA281" s="429">
        <v>45291</v>
      </c>
      <c r="AB281" s="429">
        <v>45291</v>
      </c>
    </row>
    <row r="282" spans="2:28" s="423" customFormat="1" ht="13" customHeight="1">
      <c r="C282" s="430"/>
      <c r="E282" s="431"/>
      <c r="F282" s="431"/>
      <c r="G282" s="431"/>
      <c r="H282" s="431"/>
      <c r="I282" s="431"/>
      <c r="J282" s="431"/>
      <c r="K282" s="431"/>
      <c r="L282" s="431"/>
      <c r="M282" s="431"/>
      <c r="N282" s="431"/>
      <c r="O282" s="431"/>
      <c r="P282" s="431"/>
      <c r="Q282" s="431"/>
      <c r="R282" s="431"/>
      <c r="S282" s="431"/>
      <c r="T282" s="431"/>
      <c r="U282" s="431"/>
      <c r="V282" s="431"/>
      <c r="X282" s="432"/>
      <c r="Z282" s="432"/>
      <c r="AA282" s="432"/>
      <c r="AB282" s="432"/>
    </row>
    <row r="283" spans="2:28" s="423" customFormat="1">
      <c r="C283" s="423" t="s">
        <v>543</v>
      </c>
      <c r="D283" s="434"/>
      <c r="E283" s="435"/>
      <c r="F283" s="435"/>
      <c r="G283" s="435">
        <f t="shared" ref="G283:G296" si="222">SUM(E283:F283)</f>
        <v>0</v>
      </c>
      <c r="H283" s="435">
        <v>0</v>
      </c>
      <c r="I283" s="435"/>
      <c r="J283" s="435">
        <f t="shared" ref="J283:J291" si="223">SUM(H283:I283)</f>
        <v>0</v>
      </c>
      <c r="K283" s="435">
        <v>0</v>
      </c>
      <c r="L283" s="435"/>
      <c r="M283" s="435">
        <f t="shared" ref="M283:M291" si="224">SUM(K283:L283)</f>
        <v>0</v>
      </c>
      <c r="N283" s="435">
        <v>0</v>
      </c>
      <c r="O283" s="435"/>
      <c r="P283" s="435">
        <f t="shared" ref="P283:P291" si="225">SUM(N283:O283)</f>
        <v>0</v>
      </c>
      <c r="Q283" s="435">
        <v>0</v>
      </c>
      <c r="R283" s="435"/>
      <c r="S283" s="435">
        <f t="shared" ref="S283:S296" si="226">SUM(Q283:R283)</f>
        <v>0</v>
      </c>
      <c r="T283" s="435">
        <v>0</v>
      </c>
      <c r="U283" s="435"/>
      <c r="V283" s="435">
        <f t="shared" ref="V283:V296" si="227">SUM(T283:U283)</f>
        <v>0</v>
      </c>
      <c r="X283" s="435"/>
      <c r="Z283" s="435">
        <f t="shared" ref="Z283:Z291" si="228">SUM(G283,J283,M283,P283,S283,V283)</f>
        <v>0</v>
      </c>
      <c r="AA283" s="435"/>
      <c r="AB283" s="435">
        <f>SUM(Z283:AA283)</f>
        <v>0</v>
      </c>
    </row>
    <row r="284" spans="2:28" s="423" customFormat="1">
      <c r="D284" s="423" t="s">
        <v>546</v>
      </c>
      <c r="E284" s="435"/>
      <c r="F284" s="435"/>
      <c r="G284" s="435">
        <f t="shared" si="222"/>
        <v>0</v>
      </c>
      <c r="H284" s="435">
        <v>0</v>
      </c>
      <c r="I284" s="435"/>
      <c r="J284" s="435">
        <f t="shared" si="223"/>
        <v>0</v>
      </c>
      <c r="K284" s="435">
        <v>0</v>
      </c>
      <c r="L284" s="435"/>
      <c r="M284" s="435">
        <f t="shared" si="224"/>
        <v>0</v>
      </c>
      <c r="N284" s="435">
        <v>0</v>
      </c>
      <c r="O284" s="435"/>
      <c r="P284" s="435">
        <f t="shared" si="225"/>
        <v>0</v>
      </c>
      <c r="Q284" s="435">
        <v>0</v>
      </c>
      <c r="R284" s="435"/>
      <c r="S284" s="435">
        <f t="shared" si="226"/>
        <v>0</v>
      </c>
      <c r="T284" s="435">
        <v>0</v>
      </c>
      <c r="U284" s="435"/>
      <c r="V284" s="435">
        <f t="shared" si="227"/>
        <v>0</v>
      </c>
      <c r="X284" s="435"/>
      <c r="Z284" s="435">
        <f t="shared" si="228"/>
        <v>0</v>
      </c>
      <c r="AA284" s="435"/>
      <c r="AB284" s="435">
        <f>SUM(Z284:AA284)</f>
        <v>0</v>
      </c>
    </row>
    <row r="285" spans="2:28" s="423" customFormat="1">
      <c r="D285" s="423" t="s">
        <v>552</v>
      </c>
      <c r="E285" s="435"/>
      <c r="F285" s="435"/>
      <c r="G285" s="435">
        <f t="shared" si="222"/>
        <v>0</v>
      </c>
      <c r="H285" s="435">
        <v>0</v>
      </c>
      <c r="I285" s="435"/>
      <c r="J285" s="435">
        <f t="shared" si="223"/>
        <v>0</v>
      </c>
      <c r="K285" s="435">
        <v>0</v>
      </c>
      <c r="L285" s="435"/>
      <c r="M285" s="435">
        <f t="shared" si="224"/>
        <v>0</v>
      </c>
      <c r="N285" s="435">
        <v>0</v>
      </c>
      <c r="O285" s="435"/>
      <c r="P285" s="435">
        <f t="shared" si="225"/>
        <v>0</v>
      </c>
      <c r="Q285" s="435">
        <v>0</v>
      </c>
      <c r="R285" s="435"/>
      <c r="S285" s="435">
        <f t="shared" si="226"/>
        <v>0</v>
      </c>
      <c r="T285" s="435">
        <v>0</v>
      </c>
      <c r="U285" s="435"/>
      <c r="V285" s="435">
        <f t="shared" si="227"/>
        <v>0</v>
      </c>
      <c r="X285" s="435"/>
      <c r="Z285" s="435">
        <f t="shared" si="228"/>
        <v>0</v>
      </c>
      <c r="AA285" s="435">
        <f>-Z285</f>
        <v>0</v>
      </c>
      <c r="AB285" s="435">
        <f t="shared" ref="AB285:AB296" si="229">SUM(Z285:AA285)</f>
        <v>0</v>
      </c>
    </row>
    <row r="286" spans="2:28" s="423" customFormat="1">
      <c r="D286" s="423" t="s">
        <v>547</v>
      </c>
      <c r="E286" s="435"/>
      <c r="F286" s="435"/>
      <c r="G286" s="435">
        <f t="shared" si="222"/>
        <v>0</v>
      </c>
      <c r="H286" s="435">
        <v>0</v>
      </c>
      <c r="I286" s="435"/>
      <c r="J286" s="435">
        <f t="shared" si="223"/>
        <v>0</v>
      </c>
      <c r="K286" s="435">
        <v>0</v>
      </c>
      <c r="L286" s="435"/>
      <c r="M286" s="435">
        <f t="shared" si="224"/>
        <v>0</v>
      </c>
      <c r="N286" s="435">
        <v>0</v>
      </c>
      <c r="O286" s="435"/>
      <c r="P286" s="435">
        <f t="shared" si="225"/>
        <v>0</v>
      </c>
      <c r="Q286" s="435">
        <v>0</v>
      </c>
      <c r="R286" s="435"/>
      <c r="S286" s="435">
        <f t="shared" si="226"/>
        <v>0</v>
      </c>
      <c r="T286" s="435">
        <v>0</v>
      </c>
      <c r="U286" s="435"/>
      <c r="V286" s="435">
        <f t="shared" si="227"/>
        <v>0</v>
      </c>
      <c r="X286" s="435"/>
      <c r="Z286" s="435">
        <f t="shared" si="228"/>
        <v>0</v>
      </c>
      <c r="AA286" s="435"/>
      <c r="AB286" s="435">
        <f t="shared" si="229"/>
        <v>0</v>
      </c>
    </row>
    <row r="287" spans="2:28" s="423" customFormat="1">
      <c r="D287" s="423" t="s">
        <v>548</v>
      </c>
      <c r="E287" s="435"/>
      <c r="F287" s="435"/>
      <c r="G287" s="435">
        <f t="shared" si="222"/>
        <v>0</v>
      </c>
      <c r="H287" s="435">
        <v>0</v>
      </c>
      <c r="I287" s="435"/>
      <c r="J287" s="435">
        <f t="shared" si="223"/>
        <v>0</v>
      </c>
      <c r="K287" s="435">
        <v>0</v>
      </c>
      <c r="L287" s="435"/>
      <c r="M287" s="435">
        <f t="shared" si="224"/>
        <v>0</v>
      </c>
      <c r="N287" s="435">
        <v>0</v>
      </c>
      <c r="O287" s="435"/>
      <c r="P287" s="435">
        <f t="shared" si="225"/>
        <v>0</v>
      </c>
      <c r="Q287" s="435">
        <v>0</v>
      </c>
      <c r="R287" s="435"/>
      <c r="S287" s="435">
        <f t="shared" si="226"/>
        <v>0</v>
      </c>
      <c r="T287" s="435">
        <v>0</v>
      </c>
      <c r="U287" s="435"/>
      <c r="V287" s="435">
        <f t="shared" si="227"/>
        <v>0</v>
      </c>
      <c r="X287" s="435"/>
      <c r="Z287" s="435">
        <f t="shared" si="228"/>
        <v>0</v>
      </c>
      <c r="AA287" s="435"/>
      <c r="AB287" s="435">
        <f t="shared" si="229"/>
        <v>0</v>
      </c>
    </row>
    <row r="288" spans="2:28" s="423" customFormat="1">
      <c r="D288" s="423" t="s">
        <v>554</v>
      </c>
      <c r="E288" s="435"/>
      <c r="F288" s="435"/>
      <c r="G288" s="435">
        <f t="shared" si="222"/>
        <v>0</v>
      </c>
      <c r="H288" s="435">
        <v>0</v>
      </c>
      <c r="I288" s="435"/>
      <c r="J288" s="435">
        <f t="shared" si="223"/>
        <v>0</v>
      </c>
      <c r="K288" s="435">
        <v>0</v>
      </c>
      <c r="L288" s="435"/>
      <c r="M288" s="435">
        <f t="shared" si="224"/>
        <v>0</v>
      </c>
      <c r="N288" s="435">
        <v>0</v>
      </c>
      <c r="O288" s="435"/>
      <c r="P288" s="435">
        <f t="shared" si="225"/>
        <v>0</v>
      </c>
      <c r="Q288" s="435">
        <v>0</v>
      </c>
      <c r="R288" s="435"/>
      <c r="S288" s="435">
        <f t="shared" si="226"/>
        <v>0</v>
      </c>
      <c r="T288" s="435">
        <v>0</v>
      </c>
      <c r="U288" s="435"/>
      <c r="V288" s="435">
        <f t="shared" si="227"/>
        <v>0</v>
      </c>
      <c r="X288" s="435"/>
      <c r="Z288" s="435">
        <f t="shared" si="228"/>
        <v>0</v>
      </c>
      <c r="AA288" s="435"/>
      <c r="AB288" s="435">
        <f t="shared" si="229"/>
        <v>0</v>
      </c>
    </row>
    <row r="289" spans="2:28" s="423" customFormat="1">
      <c r="D289" s="423" t="s">
        <v>545</v>
      </c>
      <c r="E289" s="435"/>
      <c r="F289" s="435"/>
      <c r="G289" s="435">
        <f t="shared" si="222"/>
        <v>0</v>
      </c>
      <c r="H289" s="435">
        <v>0</v>
      </c>
      <c r="I289" s="435"/>
      <c r="J289" s="435">
        <f t="shared" si="223"/>
        <v>0</v>
      </c>
      <c r="K289" s="435">
        <v>0</v>
      </c>
      <c r="L289" s="435"/>
      <c r="M289" s="435">
        <f t="shared" si="224"/>
        <v>0</v>
      </c>
      <c r="N289" s="435">
        <v>0</v>
      </c>
      <c r="O289" s="435"/>
      <c r="P289" s="435">
        <f t="shared" si="225"/>
        <v>0</v>
      </c>
      <c r="Q289" s="435">
        <v>0</v>
      </c>
      <c r="R289" s="435"/>
      <c r="S289" s="435">
        <f t="shared" si="226"/>
        <v>0</v>
      </c>
      <c r="T289" s="435">
        <v>0</v>
      </c>
      <c r="U289" s="435"/>
      <c r="V289" s="435">
        <f t="shared" si="227"/>
        <v>0</v>
      </c>
      <c r="X289" s="435"/>
      <c r="Z289" s="435">
        <f t="shared" si="228"/>
        <v>0</v>
      </c>
      <c r="AA289" s="435"/>
      <c r="AB289" s="435">
        <f t="shared" si="229"/>
        <v>0</v>
      </c>
    </row>
    <row r="290" spans="2:28" s="423" customFormat="1">
      <c r="D290" s="423" t="s">
        <v>549</v>
      </c>
      <c r="E290" s="435"/>
      <c r="F290" s="435"/>
      <c r="G290" s="435">
        <f t="shared" si="222"/>
        <v>0</v>
      </c>
      <c r="H290" s="435">
        <v>0</v>
      </c>
      <c r="I290" s="435"/>
      <c r="J290" s="435">
        <f t="shared" si="223"/>
        <v>0</v>
      </c>
      <c r="K290" s="435">
        <v>0</v>
      </c>
      <c r="L290" s="435"/>
      <c r="M290" s="435">
        <f t="shared" si="224"/>
        <v>0</v>
      </c>
      <c r="N290" s="435">
        <v>0</v>
      </c>
      <c r="O290" s="435"/>
      <c r="P290" s="435">
        <f t="shared" si="225"/>
        <v>0</v>
      </c>
      <c r="Q290" s="435">
        <v>0</v>
      </c>
      <c r="R290" s="435"/>
      <c r="S290" s="435">
        <f t="shared" si="226"/>
        <v>0</v>
      </c>
      <c r="T290" s="435">
        <v>0</v>
      </c>
      <c r="U290" s="435"/>
      <c r="V290" s="435">
        <f t="shared" si="227"/>
        <v>0</v>
      </c>
      <c r="X290" s="435"/>
      <c r="Z290" s="435">
        <f t="shared" si="228"/>
        <v>0</v>
      </c>
      <c r="AA290" s="435"/>
      <c r="AB290" s="435">
        <f t="shared" si="229"/>
        <v>0</v>
      </c>
    </row>
    <row r="291" spans="2:28" s="423" customFormat="1">
      <c r="D291" s="434" t="s">
        <v>544</v>
      </c>
      <c r="E291" s="435"/>
      <c r="F291" s="435"/>
      <c r="G291" s="435">
        <f t="shared" si="222"/>
        <v>0</v>
      </c>
      <c r="H291" s="435">
        <v>0</v>
      </c>
      <c r="I291" s="435"/>
      <c r="J291" s="435">
        <f t="shared" si="223"/>
        <v>0</v>
      </c>
      <c r="K291" s="435">
        <v>0</v>
      </c>
      <c r="L291" s="435"/>
      <c r="M291" s="435">
        <f t="shared" si="224"/>
        <v>0</v>
      </c>
      <c r="N291" s="435">
        <v>0</v>
      </c>
      <c r="O291" s="435"/>
      <c r="P291" s="435">
        <f t="shared" si="225"/>
        <v>0</v>
      </c>
      <c r="Q291" s="435">
        <v>0</v>
      </c>
      <c r="R291" s="435"/>
      <c r="S291" s="435">
        <f t="shared" si="226"/>
        <v>0</v>
      </c>
      <c r="T291" s="435">
        <v>0</v>
      </c>
      <c r="U291" s="435"/>
      <c r="V291" s="435">
        <f t="shared" si="227"/>
        <v>0</v>
      </c>
      <c r="X291" s="435"/>
      <c r="Z291" s="435">
        <f t="shared" si="228"/>
        <v>0</v>
      </c>
      <c r="AA291" s="435"/>
      <c r="AB291" s="435">
        <f t="shared" si="229"/>
        <v>0</v>
      </c>
    </row>
    <row r="292" spans="2:28" s="423" customFormat="1">
      <c r="D292" s="434"/>
      <c r="E292" s="435"/>
      <c r="F292" s="435"/>
      <c r="G292" s="435"/>
      <c r="H292" s="435"/>
      <c r="I292" s="435"/>
      <c r="J292" s="435"/>
      <c r="K292" s="435"/>
      <c r="L292" s="435"/>
      <c r="M292" s="435"/>
      <c r="N292" s="435"/>
      <c r="O292" s="435"/>
      <c r="P292" s="435"/>
      <c r="Q292" s="435"/>
      <c r="R292" s="435"/>
      <c r="S292" s="435"/>
      <c r="T292" s="435"/>
      <c r="U292" s="435"/>
      <c r="V292" s="435"/>
      <c r="X292" s="435"/>
      <c r="Z292" s="435"/>
      <c r="AA292" s="435"/>
      <c r="AB292" s="435"/>
    </row>
    <row r="293" spans="2:28" s="423" customFormat="1">
      <c r="C293" s="438" t="s">
        <v>532</v>
      </c>
      <c r="D293" s="439"/>
      <c r="E293" s="435"/>
      <c r="F293" s="435"/>
      <c r="G293" s="435"/>
      <c r="H293" s="435"/>
      <c r="I293" s="435"/>
      <c r="J293" s="435"/>
      <c r="K293" s="435"/>
      <c r="L293" s="435"/>
      <c r="M293" s="435"/>
      <c r="N293" s="435"/>
      <c r="O293" s="435"/>
      <c r="P293" s="435"/>
      <c r="Q293" s="435"/>
      <c r="R293" s="435"/>
      <c r="S293" s="435"/>
      <c r="T293" s="435"/>
      <c r="U293" s="435"/>
      <c r="V293" s="435"/>
      <c r="X293" s="435"/>
      <c r="Z293" s="457"/>
      <c r="AA293" s="435"/>
      <c r="AB293" s="435"/>
    </row>
    <row r="294" spans="2:28" s="423" customFormat="1">
      <c r="D294" s="423" t="s">
        <v>550</v>
      </c>
      <c r="E294" s="435"/>
      <c r="F294" s="435"/>
      <c r="G294" s="435">
        <f t="shared" si="222"/>
        <v>0</v>
      </c>
      <c r="H294" s="435">
        <v>0</v>
      </c>
      <c r="I294" s="435"/>
      <c r="J294" s="435">
        <f t="shared" ref="J294:J296" si="230">SUM(H294:I294)</f>
        <v>0</v>
      </c>
      <c r="K294" s="435">
        <v>0</v>
      </c>
      <c r="L294" s="435"/>
      <c r="M294" s="435">
        <f t="shared" ref="M294:M296" si="231">SUM(K294:L294)</f>
        <v>0</v>
      </c>
      <c r="N294" s="435">
        <v>0</v>
      </c>
      <c r="O294" s="435"/>
      <c r="P294" s="435">
        <f t="shared" ref="P294:P296" si="232">SUM(N294:O294)</f>
        <v>0</v>
      </c>
      <c r="Q294" s="435">
        <v>0</v>
      </c>
      <c r="R294" s="435"/>
      <c r="S294" s="435">
        <f t="shared" si="226"/>
        <v>0</v>
      </c>
      <c r="T294" s="435">
        <v>0</v>
      </c>
      <c r="U294" s="435"/>
      <c r="V294" s="435">
        <f t="shared" si="227"/>
        <v>0</v>
      </c>
      <c r="X294" s="435"/>
      <c r="Z294" s="435">
        <f t="shared" ref="Z294:Z304" si="233">SUM(G294,J294,M294,P294,S294,V294)</f>
        <v>0</v>
      </c>
      <c r="AA294" s="435"/>
      <c r="AB294" s="435">
        <f t="shared" si="229"/>
        <v>0</v>
      </c>
    </row>
    <row r="295" spans="2:28" s="423" customFormat="1">
      <c r="D295" s="423" t="s">
        <v>551</v>
      </c>
      <c r="E295" s="435"/>
      <c r="F295" s="435"/>
      <c r="G295" s="435">
        <f t="shared" si="222"/>
        <v>0</v>
      </c>
      <c r="H295" s="435">
        <v>0</v>
      </c>
      <c r="I295" s="435"/>
      <c r="J295" s="435">
        <f t="shared" si="230"/>
        <v>0</v>
      </c>
      <c r="K295" s="435">
        <v>0</v>
      </c>
      <c r="L295" s="435"/>
      <c r="M295" s="435">
        <f t="shared" si="231"/>
        <v>0</v>
      </c>
      <c r="N295" s="435">
        <v>0</v>
      </c>
      <c r="O295" s="435"/>
      <c r="P295" s="435">
        <f t="shared" si="232"/>
        <v>0</v>
      </c>
      <c r="Q295" s="435">
        <v>0</v>
      </c>
      <c r="R295" s="435"/>
      <c r="S295" s="435">
        <f t="shared" si="226"/>
        <v>0</v>
      </c>
      <c r="T295" s="435">
        <v>0</v>
      </c>
      <c r="U295" s="435"/>
      <c r="V295" s="435">
        <f t="shared" si="227"/>
        <v>0</v>
      </c>
      <c r="X295" s="435"/>
      <c r="Z295" s="435">
        <f t="shared" si="233"/>
        <v>0</v>
      </c>
      <c r="AA295" s="435"/>
      <c r="AB295" s="435">
        <f t="shared" si="229"/>
        <v>0</v>
      </c>
    </row>
    <row r="296" spans="2:28" s="423" customFormat="1">
      <c r="D296" s="423" t="s">
        <v>556</v>
      </c>
      <c r="E296" s="435"/>
      <c r="F296" s="435"/>
      <c r="G296" s="435">
        <f t="shared" si="222"/>
        <v>0</v>
      </c>
      <c r="H296" s="435">
        <v>0</v>
      </c>
      <c r="I296" s="435"/>
      <c r="J296" s="435">
        <f t="shared" si="230"/>
        <v>0</v>
      </c>
      <c r="K296" s="435">
        <v>0</v>
      </c>
      <c r="L296" s="435"/>
      <c r="M296" s="435">
        <f t="shared" si="231"/>
        <v>0</v>
      </c>
      <c r="N296" s="435">
        <v>0</v>
      </c>
      <c r="O296" s="435"/>
      <c r="P296" s="435">
        <f t="shared" si="232"/>
        <v>0</v>
      </c>
      <c r="Q296" s="435">
        <v>0</v>
      </c>
      <c r="R296" s="435"/>
      <c r="S296" s="435">
        <f t="shared" si="226"/>
        <v>0</v>
      </c>
      <c r="T296" s="435">
        <v>0</v>
      </c>
      <c r="U296" s="435"/>
      <c r="V296" s="435">
        <f t="shared" si="227"/>
        <v>0</v>
      </c>
      <c r="X296" s="435"/>
      <c r="Z296" s="435">
        <f t="shared" si="233"/>
        <v>0</v>
      </c>
      <c r="AA296" s="435"/>
      <c r="AB296" s="435">
        <f t="shared" si="229"/>
        <v>0</v>
      </c>
    </row>
    <row r="297" spans="2:28" s="417" customFormat="1">
      <c r="E297" s="435"/>
      <c r="F297" s="435"/>
      <c r="G297" s="435"/>
      <c r="H297" s="435"/>
      <c r="I297" s="435"/>
      <c r="J297" s="435"/>
      <c r="K297" s="435"/>
      <c r="L297" s="435"/>
      <c r="M297" s="435"/>
      <c r="N297" s="435"/>
      <c r="O297" s="435"/>
      <c r="P297" s="435"/>
      <c r="Q297" s="435"/>
      <c r="R297" s="435"/>
      <c r="S297" s="435"/>
      <c r="T297" s="435"/>
      <c r="U297" s="435"/>
      <c r="V297" s="435"/>
    </row>
    <row r="298" spans="2:28" s="417" customFormat="1">
      <c r="B298" s="416" t="s">
        <v>451</v>
      </c>
      <c r="G298" s="435"/>
      <c r="H298" s="435"/>
      <c r="I298" s="435"/>
      <c r="J298" s="435"/>
      <c r="K298" s="435"/>
      <c r="L298" s="435"/>
      <c r="M298" s="435"/>
      <c r="N298" s="435"/>
      <c r="O298" s="435"/>
      <c r="P298" s="435"/>
      <c r="Q298" s="435"/>
      <c r="R298" s="435"/>
      <c r="S298" s="435"/>
      <c r="T298" s="435"/>
      <c r="U298" s="435"/>
      <c r="V298" s="435"/>
      <c r="Z298" s="435">
        <f t="shared" si="233"/>
        <v>0</v>
      </c>
    </row>
    <row r="299" spans="2:28" s="417" customFormat="1">
      <c r="D299" s="417" t="s">
        <v>555</v>
      </c>
      <c r="G299" s="435"/>
      <c r="H299" s="435"/>
      <c r="I299" s="435"/>
      <c r="J299" s="435"/>
      <c r="K299" s="435"/>
      <c r="L299" s="435"/>
      <c r="M299" s="435"/>
      <c r="N299" s="435">
        <v>0</v>
      </c>
      <c r="O299" s="435"/>
      <c r="P299" s="435">
        <f t="shared" ref="P299:P304" si="234">SUM(N299:O299)</f>
        <v>0</v>
      </c>
      <c r="Q299" s="435"/>
      <c r="R299" s="435"/>
      <c r="S299" s="435"/>
      <c r="T299" s="435">
        <v>0</v>
      </c>
      <c r="U299" s="435"/>
      <c r="V299" s="435">
        <f t="shared" ref="V299:V304" si="235">SUM(T299:U299)</f>
        <v>0</v>
      </c>
      <c r="Z299" s="435">
        <f t="shared" si="233"/>
        <v>0</v>
      </c>
    </row>
    <row r="300" spans="2:28" s="417" customFormat="1">
      <c r="D300" s="417" t="s">
        <v>602</v>
      </c>
      <c r="G300" s="435"/>
      <c r="H300" s="435"/>
      <c r="I300" s="435"/>
      <c r="J300" s="435"/>
      <c r="K300" s="435"/>
      <c r="L300" s="435"/>
      <c r="M300" s="435"/>
      <c r="N300" s="435">
        <v>0</v>
      </c>
      <c r="O300" s="435"/>
      <c r="P300" s="435">
        <f t="shared" si="234"/>
        <v>0</v>
      </c>
      <c r="Q300" s="435"/>
      <c r="R300" s="435"/>
      <c r="S300" s="435"/>
      <c r="T300" s="435">
        <v>0</v>
      </c>
      <c r="U300" s="435"/>
      <c r="V300" s="435">
        <f t="shared" si="235"/>
        <v>0</v>
      </c>
      <c r="Z300" s="435">
        <f t="shared" si="233"/>
        <v>0</v>
      </c>
    </row>
    <row r="301" spans="2:28" s="417" customFormat="1">
      <c r="D301" s="417" t="s">
        <v>603</v>
      </c>
      <c r="G301" s="435"/>
      <c r="H301" s="435"/>
      <c r="I301" s="435"/>
      <c r="J301" s="435"/>
      <c r="K301" s="435"/>
      <c r="L301" s="435"/>
      <c r="M301" s="435"/>
      <c r="N301" s="435">
        <v>0</v>
      </c>
      <c r="O301" s="435"/>
      <c r="P301" s="435">
        <f t="shared" si="234"/>
        <v>0</v>
      </c>
      <c r="Q301" s="435"/>
      <c r="R301" s="435"/>
      <c r="S301" s="435"/>
      <c r="T301" s="435">
        <v>0</v>
      </c>
      <c r="U301" s="435"/>
      <c r="V301" s="435">
        <f t="shared" si="235"/>
        <v>0</v>
      </c>
      <c r="Z301" s="435">
        <f t="shared" si="233"/>
        <v>0</v>
      </c>
    </row>
    <row r="302" spans="2:28" s="417" customFormat="1">
      <c r="D302" s="417" t="s">
        <v>604</v>
      </c>
      <c r="G302" s="435"/>
      <c r="H302" s="435"/>
      <c r="I302" s="435"/>
      <c r="J302" s="435"/>
      <c r="K302" s="435"/>
      <c r="L302" s="435"/>
      <c r="M302" s="435"/>
      <c r="N302" s="435">
        <v>0</v>
      </c>
      <c r="O302" s="435"/>
      <c r="P302" s="435">
        <f t="shared" si="234"/>
        <v>0</v>
      </c>
      <c r="Q302" s="435"/>
      <c r="R302" s="435"/>
      <c r="S302" s="435"/>
      <c r="T302" s="435">
        <v>0</v>
      </c>
      <c r="U302" s="435"/>
      <c r="V302" s="435">
        <f t="shared" si="235"/>
        <v>0</v>
      </c>
      <c r="Z302" s="435">
        <f t="shared" si="233"/>
        <v>0</v>
      </c>
    </row>
    <row r="303" spans="2:28" s="417" customFormat="1">
      <c r="D303" s="417" t="s">
        <v>599</v>
      </c>
      <c r="G303" s="435"/>
      <c r="H303" s="435"/>
      <c r="I303" s="435"/>
      <c r="J303" s="435"/>
      <c r="K303" s="435"/>
      <c r="L303" s="435"/>
      <c r="M303" s="435"/>
      <c r="N303" s="435">
        <v>0</v>
      </c>
      <c r="O303" s="435"/>
      <c r="P303" s="435">
        <f t="shared" si="234"/>
        <v>0</v>
      </c>
      <c r="Q303" s="435"/>
      <c r="R303" s="435"/>
      <c r="S303" s="435"/>
      <c r="T303" s="435">
        <v>0</v>
      </c>
      <c r="U303" s="435"/>
      <c r="V303" s="435">
        <f t="shared" si="235"/>
        <v>0</v>
      </c>
      <c r="Z303" s="435">
        <f t="shared" si="233"/>
        <v>0</v>
      </c>
    </row>
    <row r="304" spans="2:28" s="417" customFormat="1">
      <c r="D304" s="417" t="s">
        <v>606</v>
      </c>
      <c r="G304" s="435"/>
      <c r="H304" s="435"/>
      <c r="I304" s="435"/>
      <c r="J304" s="435"/>
      <c r="K304" s="435"/>
      <c r="L304" s="435"/>
      <c r="M304" s="435"/>
      <c r="N304" s="435">
        <v>0</v>
      </c>
      <c r="O304" s="435"/>
      <c r="P304" s="435">
        <f t="shared" si="234"/>
        <v>0</v>
      </c>
      <c r="Q304" s="435"/>
      <c r="R304" s="435"/>
      <c r="S304" s="435"/>
      <c r="T304" s="435">
        <v>0</v>
      </c>
      <c r="U304" s="435"/>
      <c r="V304" s="435">
        <f t="shared" si="235"/>
        <v>0</v>
      </c>
      <c r="Z304" s="435">
        <f t="shared" si="233"/>
        <v>0</v>
      </c>
    </row>
    <row r="305" spans="2:28" s="417" customFormat="1">
      <c r="E305" s="435"/>
      <c r="F305" s="435"/>
      <c r="G305" s="435"/>
      <c r="H305" s="435"/>
      <c r="I305" s="435"/>
      <c r="J305" s="435"/>
      <c r="K305" s="435"/>
      <c r="L305" s="435"/>
      <c r="M305" s="435"/>
      <c r="N305" s="435"/>
      <c r="O305" s="435"/>
      <c r="P305" s="435"/>
      <c r="Q305" s="435"/>
      <c r="R305" s="435"/>
      <c r="S305" s="435"/>
      <c r="T305" s="435"/>
      <c r="U305" s="435"/>
      <c r="V305" s="435"/>
    </row>
    <row r="306" spans="2:28" s="417" customFormat="1">
      <c r="E306" s="435"/>
      <c r="F306" s="435"/>
      <c r="G306" s="435"/>
      <c r="H306" s="435"/>
      <c r="I306" s="435"/>
      <c r="J306" s="435"/>
      <c r="K306" s="435"/>
      <c r="L306" s="435"/>
      <c r="M306" s="435"/>
      <c r="N306" s="435"/>
      <c r="O306" s="435"/>
      <c r="P306" s="435"/>
      <c r="Q306" s="435"/>
      <c r="R306" s="435"/>
      <c r="S306" s="435"/>
      <c r="T306" s="435"/>
      <c r="U306" s="435"/>
      <c r="V306" s="435"/>
    </row>
    <row r="307" spans="2:28" s="417" customFormat="1" ht="13.5" thickBot="1">
      <c r="E307" s="458">
        <f t="shared" ref="E307:V307" si="236">SUM(E283:E304)</f>
        <v>0</v>
      </c>
      <c r="F307" s="458">
        <f t="shared" si="236"/>
        <v>0</v>
      </c>
      <c r="G307" s="458">
        <f t="shared" si="236"/>
        <v>0</v>
      </c>
      <c r="H307" s="458">
        <f t="shared" si="236"/>
        <v>0</v>
      </c>
      <c r="I307" s="458">
        <f t="shared" si="236"/>
        <v>0</v>
      </c>
      <c r="J307" s="458">
        <f t="shared" si="236"/>
        <v>0</v>
      </c>
      <c r="K307" s="458">
        <f t="shared" si="236"/>
        <v>0</v>
      </c>
      <c r="L307" s="458">
        <f t="shared" si="236"/>
        <v>0</v>
      </c>
      <c r="M307" s="458">
        <f t="shared" si="236"/>
        <v>0</v>
      </c>
      <c r="N307" s="458">
        <f t="shared" si="236"/>
        <v>0</v>
      </c>
      <c r="O307" s="458">
        <f t="shared" si="236"/>
        <v>0</v>
      </c>
      <c r="P307" s="458">
        <f t="shared" si="236"/>
        <v>0</v>
      </c>
      <c r="Q307" s="458">
        <f t="shared" si="236"/>
        <v>0</v>
      </c>
      <c r="R307" s="458">
        <f t="shared" si="236"/>
        <v>0</v>
      </c>
      <c r="S307" s="458">
        <f t="shared" si="236"/>
        <v>0</v>
      </c>
      <c r="T307" s="458">
        <f t="shared" si="236"/>
        <v>0</v>
      </c>
      <c r="U307" s="458">
        <f t="shared" si="236"/>
        <v>0</v>
      </c>
      <c r="V307" s="458">
        <f t="shared" si="236"/>
        <v>0</v>
      </c>
      <c r="X307" s="458">
        <f>SUM(X283:X296)</f>
        <v>0</v>
      </c>
      <c r="Z307" s="458">
        <f>SUM(Z283:Z296)</f>
        <v>0</v>
      </c>
      <c r="AA307" s="458">
        <f>SUM(AA284:AA296)</f>
        <v>0</v>
      </c>
      <c r="AB307" s="458">
        <f>SUM(AB284:AB296)</f>
        <v>0</v>
      </c>
    </row>
    <row r="308" spans="2:28" s="417" customFormat="1" ht="13.5" thickTop="1">
      <c r="D308" s="445"/>
      <c r="E308" s="443"/>
      <c r="F308" s="443"/>
      <c r="G308" s="443"/>
      <c r="H308" s="443"/>
      <c r="I308" s="443"/>
      <c r="J308" s="443"/>
      <c r="K308" s="443"/>
      <c r="L308" s="443"/>
      <c r="M308" s="443"/>
      <c r="N308" s="443"/>
      <c r="O308" s="443"/>
      <c r="P308" s="443"/>
      <c r="Q308" s="443"/>
      <c r="R308" s="443"/>
      <c r="S308" s="443"/>
      <c r="T308" s="443"/>
      <c r="U308" s="443"/>
      <c r="V308" s="443"/>
      <c r="X308" s="443"/>
      <c r="Z308" s="443"/>
      <c r="AA308" s="443"/>
      <c r="AB308" s="443"/>
    </row>
    <row r="309" spans="2:28" s="417" customFormat="1" ht="13">
      <c r="D309" s="445" t="s">
        <v>435</v>
      </c>
      <c r="E309" s="446">
        <v>0</v>
      </c>
      <c r="F309" s="446">
        <v>0</v>
      </c>
      <c r="G309" s="446">
        <f>'Consol SoFP 23 &amp; 22'!H40</f>
        <v>0</v>
      </c>
      <c r="H309" s="446">
        <f>'Consol SoFP 23 &amp; 22'!I40</f>
        <v>0</v>
      </c>
      <c r="I309" s="446">
        <f>'Consol SoFP 23 &amp; 22'!J40</f>
        <v>0</v>
      </c>
      <c r="J309" s="446">
        <f>'Consol SoFP 23 &amp; 22'!K40</f>
        <v>0</v>
      </c>
      <c r="K309" s="446">
        <f>'Consol SoFP 23 &amp; 22'!L40</f>
        <v>0</v>
      </c>
      <c r="L309" s="446">
        <f>'Consol SoFP 23 &amp; 22'!M40</f>
        <v>0</v>
      </c>
      <c r="M309" s="446">
        <f>'Consol SoFP 23 &amp; 22'!N40</f>
        <v>0</v>
      </c>
      <c r="N309" s="446">
        <f>'Consol SoFP 23 &amp; 22'!O40</f>
        <v>0</v>
      </c>
      <c r="O309" s="446">
        <f>'Consol SoFP 23 &amp; 22'!P40</f>
        <v>0</v>
      </c>
      <c r="P309" s="446">
        <f>'Consol SoFP 23 &amp; 22'!Q40</f>
        <v>0</v>
      </c>
      <c r="Q309" s="446">
        <f>'Consol SoFP 23 &amp; 22'!R40</f>
        <v>0</v>
      </c>
      <c r="R309" s="446">
        <f>'Consol SoFP 23 &amp; 22'!S40</f>
        <v>0</v>
      </c>
      <c r="S309" s="446">
        <f>'Consol SoFP 23 &amp; 22'!T40</f>
        <v>0</v>
      </c>
      <c r="T309" s="446">
        <f>'Consol SoFP 23 &amp; 22'!U40</f>
        <v>0</v>
      </c>
      <c r="U309" s="446">
        <f>'Consol SoFP 23 &amp; 22'!V40</f>
        <v>0</v>
      </c>
      <c r="V309" s="446">
        <f>'Consol SoFP 23 &amp; 22'!W40</f>
        <v>0</v>
      </c>
      <c r="X309" s="446">
        <v>0</v>
      </c>
      <c r="Z309" s="446">
        <f>'Consol SoFP 23 &amp; 22'!AE40</f>
        <v>0</v>
      </c>
      <c r="AA309" s="446">
        <v>0</v>
      </c>
      <c r="AB309" s="446">
        <f>'Consol SoFP 23 &amp; 22'!AE40</f>
        <v>0</v>
      </c>
    </row>
    <row r="310" spans="2:28" s="417" customFormat="1" ht="13">
      <c r="D310" s="445" t="s">
        <v>111</v>
      </c>
      <c r="E310" s="442">
        <f>ROUND(E307-E309,0)</f>
        <v>0</v>
      </c>
      <c r="F310" s="442">
        <f t="shared" ref="F310:V310" si="237">ROUND(F307-F309,0)</f>
        <v>0</v>
      </c>
      <c r="G310" s="442">
        <f t="shared" si="237"/>
        <v>0</v>
      </c>
      <c r="H310" s="442">
        <f t="shared" si="237"/>
        <v>0</v>
      </c>
      <c r="I310" s="442">
        <f t="shared" si="237"/>
        <v>0</v>
      </c>
      <c r="J310" s="442">
        <f t="shared" si="237"/>
        <v>0</v>
      </c>
      <c r="K310" s="442">
        <f t="shared" si="237"/>
        <v>0</v>
      </c>
      <c r="L310" s="442">
        <f t="shared" si="237"/>
        <v>0</v>
      </c>
      <c r="M310" s="442">
        <f t="shared" si="237"/>
        <v>0</v>
      </c>
      <c r="N310" s="442">
        <f t="shared" si="237"/>
        <v>0</v>
      </c>
      <c r="O310" s="442">
        <f t="shared" si="237"/>
        <v>0</v>
      </c>
      <c r="P310" s="442">
        <f t="shared" si="237"/>
        <v>0</v>
      </c>
      <c r="Q310" s="442">
        <f t="shared" si="237"/>
        <v>0</v>
      </c>
      <c r="R310" s="442">
        <f t="shared" si="237"/>
        <v>0</v>
      </c>
      <c r="S310" s="442">
        <f t="shared" si="237"/>
        <v>0</v>
      </c>
      <c r="T310" s="442">
        <f t="shared" si="237"/>
        <v>0</v>
      </c>
      <c r="U310" s="442">
        <f t="shared" si="237"/>
        <v>0</v>
      </c>
      <c r="V310" s="442">
        <f t="shared" si="237"/>
        <v>0</v>
      </c>
      <c r="X310" s="442">
        <f t="shared" ref="X310" si="238">X307-X309</f>
        <v>0</v>
      </c>
      <c r="Z310" s="442">
        <f t="shared" ref="Z310:AB310" si="239">Z307-Z309</f>
        <v>0</v>
      </c>
      <c r="AA310" s="442">
        <f t="shared" si="239"/>
        <v>0</v>
      </c>
      <c r="AB310" s="442">
        <f t="shared" si="239"/>
        <v>0</v>
      </c>
    </row>
    <row r="311" spans="2:28" s="417" customFormat="1" ht="13">
      <c r="D311" s="445"/>
      <c r="E311" s="443"/>
      <c r="F311" s="443"/>
      <c r="G311" s="443"/>
      <c r="H311" s="443"/>
      <c r="I311" s="443"/>
      <c r="J311" s="443"/>
      <c r="K311" s="443"/>
      <c r="L311" s="443"/>
      <c r="M311" s="443"/>
      <c r="N311" s="443"/>
      <c r="O311" s="443"/>
      <c r="P311" s="443"/>
      <c r="Q311" s="443"/>
      <c r="R311" s="443"/>
      <c r="S311" s="443"/>
      <c r="T311" s="443"/>
      <c r="U311" s="443"/>
      <c r="V311" s="443"/>
      <c r="X311" s="443"/>
      <c r="Z311" s="443"/>
      <c r="AA311" s="443"/>
      <c r="AB311" s="443"/>
    </row>
    <row r="312" spans="2:28" s="417" customFormat="1" ht="13" thickBot="1">
      <c r="B312" s="447"/>
      <c r="C312" s="447"/>
      <c r="D312" s="447"/>
      <c r="E312" s="447"/>
      <c r="F312" s="447"/>
      <c r="G312" s="447"/>
      <c r="H312" s="447"/>
      <c r="I312" s="447"/>
      <c r="J312" s="447"/>
      <c r="K312" s="447"/>
      <c r="L312" s="447"/>
      <c r="M312" s="447"/>
      <c r="N312" s="447"/>
      <c r="O312" s="447"/>
      <c r="P312" s="447"/>
      <c r="Q312" s="447"/>
      <c r="R312" s="447"/>
      <c r="S312" s="447"/>
      <c r="T312" s="447"/>
      <c r="U312" s="447"/>
      <c r="V312" s="447"/>
      <c r="X312" s="447"/>
      <c r="Z312" s="447"/>
      <c r="AA312" s="447"/>
      <c r="AB312" s="447"/>
    </row>
    <row r="313" spans="2:28" s="417" customFormat="1" ht="13">
      <c r="B313" s="414" t="s">
        <v>453</v>
      </c>
    </row>
    <row r="314" spans="2:28" s="417" customFormat="1" ht="13">
      <c r="B314" s="423"/>
      <c r="C314" s="423"/>
      <c r="D314" s="423"/>
      <c r="E314" s="428" t="s">
        <v>426</v>
      </c>
      <c r="F314" s="428" t="s">
        <v>334</v>
      </c>
      <c r="G314" s="428" t="s">
        <v>427</v>
      </c>
      <c r="H314" s="428" t="s">
        <v>426</v>
      </c>
      <c r="I314" s="428" t="s">
        <v>334</v>
      </c>
      <c r="J314" s="428" t="s">
        <v>427</v>
      </c>
      <c r="K314" s="428" t="s">
        <v>426</v>
      </c>
      <c r="L314" s="428" t="s">
        <v>334</v>
      </c>
      <c r="M314" s="428" t="s">
        <v>427</v>
      </c>
      <c r="N314" s="428" t="s">
        <v>426</v>
      </c>
      <c r="O314" s="428" t="s">
        <v>334</v>
      </c>
      <c r="P314" s="428" t="s">
        <v>427</v>
      </c>
      <c r="Q314" s="428" t="s">
        <v>426</v>
      </c>
      <c r="R314" s="428" t="s">
        <v>334</v>
      </c>
      <c r="S314" s="428" t="s">
        <v>427</v>
      </c>
      <c r="T314" s="428" t="s">
        <v>426</v>
      </c>
      <c r="U314" s="428" t="s">
        <v>334</v>
      </c>
      <c r="V314" s="428" t="s">
        <v>427</v>
      </c>
      <c r="W314" s="423"/>
      <c r="X314" s="428" t="s">
        <v>428</v>
      </c>
      <c r="Y314" s="423"/>
      <c r="Z314" s="428" t="s">
        <v>11</v>
      </c>
      <c r="AA314" s="428" t="s">
        <v>429</v>
      </c>
      <c r="AB314" s="428" t="s">
        <v>13</v>
      </c>
    </row>
    <row r="315" spans="2:28" s="417" customFormat="1" ht="13">
      <c r="B315" s="423"/>
      <c r="C315" s="423"/>
      <c r="D315" s="423"/>
      <c r="E315" s="429">
        <v>45291</v>
      </c>
      <c r="F315" s="429"/>
      <c r="G315" s="429">
        <v>45291</v>
      </c>
      <c r="H315" s="429">
        <v>45291</v>
      </c>
      <c r="I315" s="429"/>
      <c r="J315" s="429">
        <v>45291</v>
      </c>
      <c r="K315" s="429">
        <v>45291</v>
      </c>
      <c r="L315" s="429"/>
      <c r="M315" s="429">
        <v>45291</v>
      </c>
      <c r="N315" s="429">
        <v>45291</v>
      </c>
      <c r="O315" s="429"/>
      <c r="P315" s="429">
        <v>45291</v>
      </c>
      <c r="Q315" s="429">
        <v>45291</v>
      </c>
      <c r="R315" s="429"/>
      <c r="S315" s="429">
        <v>45291</v>
      </c>
      <c r="T315" s="429">
        <v>45291</v>
      </c>
      <c r="U315" s="429"/>
      <c r="V315" s="429">
        <v>45291</v>
      </c>
      <c r="W315" s="423"/>
      <c r="X315" s="429">
        <v>45291</v>
      </c>
      <c r="Y315" s="423"/>
      <c r="Z315" s="429">
        <v>45291</v>
      </c>
      <c r="AA315" s="429">
        <v>45291</v>
      </c>
      <c r="AB315" s="429">
        <v>45291</v>
      </c>
    </row>
    <row r="316" spans="2:28" s="423" customFormat="1" ht="13" customHeight="1">
      <c r="C316" s="430"/>
      <c r="E316" s="431"/>
      <c r="F316" s="431"/>
      <c r="G316" s="431"/>
      <c r="H316" s="431"/>
      <c r="I316" s="431"/>
      <c r="J316" s="431"/>
      <c r="K316" s="431"/>
      <c r="L316" s="431"/>
      <c r="M316" s="431"/>
      <c r="N316" s="431"/>
      <c r="O316" s="431"/>
      <c r="P316" s="431"/>
      <c r="Q316" s="431"/>
      <c r="R316" s="431"/>
      <c r="S316" s="431"/>
      <c r="T316" s="431"/>
      <c r="U316" s="431"/>
      <c r="V316" s="431"/>
      <c r="X316" s="432"/>
      <c r="Z316" s="432"/>
      <c r="AA316" s="432"/>
      <c r="AB316" s="432"/>
    </row>
    <row r="317" spans="2:28" s="423" customFormat="1">
      <c r="C317" s="423" t="s">
        <v>543</v>
      </c>
      <c r="D317" s="434"/>
      <c r="E317" s="435">
        <v>0</v>
      </c>
      <c r="F317" s="435"/>
      <c r="G317" s="435">
        <f t="shared" ref="G317:G330" si="240">SUM(E317:F317)</f>
        <v>0</v>
      </c>
      <c r="H317" s="435">
        <v>0</v>
      </c>
      <c r="I317" s="435"/>
      <c r="J317" s="435">
        <f t="shared" ref="J317:J325" si="241">SUM(H317:I317)</f>
        <v>0</v>
      </c>
      <c r="K317" s="435">
        <v>0</v>
      </c>
      <c r="L317" s="435"/>
      <c r="M317" s="435">
        <f t="shared" ref="M317:M325" si="242">SUM(K317:L317)</f>
        <v>0</v>
      </c>
      <c r="N317" s="435">
        <v>0</v>
      </c>
      <c r="O317" s="435"/>
      <c r="P317" s="435">
        <f t="shared" ref="P317:P325" si="243">SUM(N317:O317)</f>
        <v>0</v>
      </c>
      <c r="Q317" s="435">
        <v>0</v>
      </c>
      <c r="R317" s="435"/>
      <c r="S317" s="435">
        <f t="shared" ref="S317:S330" si="244">SUM(Q317:R317)</f>
        <v>0</v>
      </c>
      <c r="T317" s="435">
        <v>0</v>
      </c>
      <c r="U317" s="435"/>
      <c r="V317" s="435">
        <f t="shared" ref="V317:V330" si="245">SUM(T317:U317)</f>
        <v>0</v>
      </c>
      <c r="X317" s="435"/>
      <c r="Z317" s="435">
        <f t="shared" ref="Z317:Z325" si="246">SUM(G317,J317,M317,P317,S317,V317)</f>
        <v>0</v>
      </c>
      <c r="AA317" s="435">
        <f>-Z317</f>
        <v>0</v>
      </c>
      <c r="AB317" s="435">
        <f>SUM(Z317:AA317)</f>
        <v>0</v>
      </c>
    </row>
    <row r="318" spans="2:28" s="423" customFormat="1">
      <c r="D318" s="423" t="s">
        <v>546</v>
      </c>
      <c r="E318" s="435">
        <v>0</v>
      </c>
      <c r="F318" s="435"/>
      <c r="G318" s="435">
        <f t="shared" si="240"/>
        <v>0</v>
      </c>
      <c r="H318" s="435">
        <v>0</v>
      </c>
      <c r="I318" s="435"/>
      <c r="J318" s="435">
        <f t="shared" si="241"/>
        <v>0</v>
      </c>
      <c r="K318" s="435">
        <v>0</v>
      </c>
      <c r="L318" s="435"/>
      <c r="M318" s="435">
        <f t="shared" si="242"/>
        <v>0</v>
      </c>
      <c r="N318" s="435">
        <v>0</v>
      </c>
      <c r="O318" s="435"/>
      <c r="P318" s="435">
        <f t="shared" si="243"/>
        <v>0</v>
      </c>
      <c r="Q318" s="435">
        <v>0</v>
      </c>
      <c r="R318" s="435"/>
      <c r="S318" s="435">
        <f t="shared" si="244"/>
        <v>0</v>
      </c>
      <c r="T318" s="435">
        <v>0</v>
      </c>
      <c r="U318" s="435"/>
      <c r="V318" s="435">
        <f t="shared" si="245"/>
        <v>0</v>
      </c>
      <c r="X318" s="435"/>
      <c r="Z318" s="435">
        <f t="shared" si="246"/>
        <v>0</v>
      </c>
      <c r="AA318" s="435"/>
      <c r="AB318" s="435">
        <f t="shared" ref="AB318:AB330" si="247">SUM(Z318:AA318)</f>
        <v>0</v>
      </c>
    </row>
    <row r="319" spans="2:28" s="423" customFormat="1">
      <c r="D319" s="423" t="s">
        <v>552</v>
      </c>
      <c r="E319" s="435">
        <v>0</v>
      </c>
      <c r="F319" s="435">
        <f>-F77</f>
        <v>0</v>
      </c>
      <c r="G319" s="435">
        <f t="shared" si="240"/>
        <v>0</v>
      </c>
      <c r="H319" s="435">
        <v>0</v>
      </c>
      <c r="I319" s="435"/>
      <c r="J319" s="435">
        <f t="shared" si="241"/>
        <v>0</v>
      </c>
      <c r="K319" s="435">
        <v>0</v>
      </c>
      <c r="L319" s="435"/>
      <c r="M319" s="435">
        <f t="shared" si="242"/>
        <v>0</v>
      </c>
      <c r="N319" s="435">
        <v>0</v>
      </c>
      <c r="O319" s="435"/>
      <c r="P319" s="435">
        <f t="shared" si="243"/>
        <v>0</v>
      </c>
      <c r="Q319" s="435">
        <v>0</v>
      </c>
      <c r="R319" s="435"/>
      <c r="S319" s="435">
        <f t="shared" si="244"/>
        <v>0</v>
      </c>
      <c r="T319" s="435">
        <v>0</v>
      </c>
      <c r="U319" s="435"/>
      <c r="V319" s="435">
        <f t="shared" si="245"/>
        <v>0</v>
      </c>
      <c r="X319" s="435"/>
      <c r="Z319" s="435">
        <f t="shared" si="246"/>
        <v>0</v>
      </c>
      <c r="AA319" s="435">
        <f>-Z319</f>
        <v>0</v>
      </c>
      <c r="AB319" s="435">
        <f t="shared" si="247"/>
        <v>0</v>
      </c>
    </row>
    <row r="320" spans="2:28" s="423" customFormat="1">
      <c r="D320" s="423" t="s">
        <v>547</v>
      </c>
      <c r="E320" s="435">
        <v>0</v>
      </c>
      <c r="F320" s="435"/>
      <c r="G320" s="435">
        <f t="shared" si="240"/>
        <v>0</v>
      </c>
      <c r="H320" s="435">
        <v>0</v>
      </c>
      <c r="I320" s="435"/>
      <c r="J320" s="435">
        <f t="shared" si="241"/>
        <v>0</v>
      </c>
      <c r="K320" s="435">
        <v>0</v>
      </c>
      <c r="L320" s="435"/>
      <c r="M320" s="435">
        <f t="shared" si="242"/>
        <v>0</v>
      </c>
      <c r="N320" s="435">
        <v>0</v>
      </c>
      <c r="O320" s="435"/>
      <c r="P320" s="435">
        <f t="shared" si="243"/>
        <v>0</v>
      </c>
      <c r="Q320" s="435">
        <v>0</v>
      </c>
      <c r="R320" s="435"/>
      <c r="S320" s="435">
        <f t="shared" si="244"/>
        <v>0</v>
      </c>
      <c r="T320" s="435">
        <v>0</v>
      </c>
      <c r="U320" s="435"/>
      <c r="V320" s="435">
        <f t="shared" si="245"/>
        <v>0</v>
      </c>
      <c r="X320" s="435"/>
      <c r="Z320" s="435">
        <f t="shared" si="246"/>
        <v>0</v>
      </c>
      <c r="AA320" s="435">
        <f t="shared" ref="AA320" si="248">-Z320</f>
        <v>0</v>
      </c>
      <c r="AB320" s="435">
        <f t="shared" si="247"/>
        <v>0</v>
      </c>
    </row>
    <row r="321" spans="3:28" s="423" customFormat="1">
      <c r="D321" s="423" t="s">
        <v>548</v>
      </c>
      <c r="E321" s="435">
        <v>0</v>
      </c>
      <c r="F321" s="435">
        <f>-E321</f>
        <v>0</v>
      </c>
      <c r="G321" s="435">
        <f t="shared" si="240"/>
        <v>0</v>
      </c>
      <c r="H321" s="435">
        <v>0</v>
      </c>
      <c r="I321" s="435"/>
      <c r="J321" s="435">
        <f t="shared" si="241"/>
        <v>0</v>
      </c>
      <c r="K321" s="435">
        <v>0</v>
      </c>
      <c r="L321" s="435"/>
      <c r="M321" s="435">
        <f t="shared" si="242"/>
        <v>0</v>
      </c>
      <c r="N321" s="435">
        <v>0</v>
      </c>
      <c r="O321" s="435"/>
      <c r="P321" s="435">
        <f t="shared" si="243"/>
        <v>0</v>
      </c>
      <c r="Q321" s="435">
        <v>0</v>
      </c>
      <c r="R321" s="435"/>
      <c r="S321" s="435">
        <f t="shared" si="244"/>
        <v>0</v>
      </c>
      <c r="T321" s="435">
        <v>0</v>
      </c>
      <c r="U321" s="435"/>
      <c r="V321" s="435">
        <f t="shared" si="245"/>
        <v>0</v>
      </c>
      <c r="X321" s="435"/>
      <c r="Z321" s="435">
        <f t="shared" si="246"/>
        <v>0</v>
      </c>
      <c r="AA321" s="435"/>
      <c r="AB321" s="435">
        <f t="shared" si="247"/>
        <v>0</v>
      </c>
    </row>
    <row r="322" spans="3:28" s="423" customFormat="1">
      <c r="D322" s="423" t="s">
        <v>554</v>
      </c>
      <c r="E322" s="435">
        <v>0</v>
      </c>
      <c r="F322" s="435"/>
      <c r="G322" s="435">
        <f t="shared" si="240"/>
        <v>0</v>
      </c>
      <c r="H322" s="435">
        <v>0</v>
      </c>
      <c r="I322" s="435"/>
      <c r="J322" s="435">
        <f t="shared" si="241"/>
        <v>0</v>
      </c>
      <c r="K322" s="435">
        <v>0</v>
      </c>
      <c r="L322" s="435"/>
      <c r="M322" s="435">
        <f t="shared" si="242"/>
        <v>0</v>
      </c>
      <c r="N322" s="435">
        <v>0</v>
      </c>
      <c r="O322" s="435"/>
      <c r="P322" s="435">
        <f t="shared" si="243"/>
        <v>0</v>
      </c>
      <c r="Q322" s="435">
        <v>0</v>
      </c>
      <c r="R322" s="435"/>
      <c r="S322" s="435">
        <f t="shared" si="244"/>
        <v>0</v>
      </c>
      <c r="T322" s="435">
        <v>0</v>
      </c>
      <c r="U322" s="435"/>
      <c r="V322" s="435">
        <f t="shared" si="245"/>
        <v>0</v>
      </c>
      <c r="X322" s="435"/>
      <c r="Z322" s="435">
        <f t="shared" si="246"/>
        <v>0</v>
      </c>
      <c r="AA322" s="435">
        <v>0</v>
      </c>
      <c r="AB322" s="435">
        <f t="shared" si="247"/>
        <v>0</v>
      </c>
    </row>
    <row r="323" spans="3:28" s="423" customFormat="1">
      <c r="D323" s="423" t="s">
        <v>545</v>
      </c>
      <c r="E323" s="435">
        <v>0</v>
      </c>
      <c r="F323" s="435"/>
      <c r="G323" s="435">
        <f t="shared" si="240"/>
        <v>0</v>
      </c>
      <c r="H323" s="435">
        <v>0</v>
      </c>
      <c r="I323" s="435"/>
      <c r="J323" s="435">
        <f t="shared" si="241"/>
        <v>0</v>
      </c>
      <c r="K323" s="435">
        <v>0</v>
      </c>
      <c r="L323" s="435"/>
      <c r="M323" s="435">
        <f t="shared" si="242"/>
        <v>0</v>
      </c>
      <c r="N323" s="435">
        <v>0</v>
      </c>
      <c r="O323" s="435"/>
      <c r="P323" s="435">
        <f t="shared" si="243"/>
        <v>0</v>
      </c>
      <c r="Q323" s="435">
        <v>0</v>
      </c>
      <c r="R323" s="435"/>
      <c r="S323" s="435">
        <f t="shared" si="244"/>
        <v>0</v>
      </c>
      <c r="T323" s="435">
        <v>0</v>
      </c>
      <c r="U323" s="435"/>
      <c r="V323" s="435">
        <f t="shared" si="245"/>
        <v>0</v>
      </c>
      <c r="X323" s="435"/>
      <c r="Z323" s="435">
        <f t="shared" si="246"/>
        <v>0</v>
      </c>
      <c r="AA323" s="435"/>
      <c r="AB323" s="435">
        <f t="shared" si="247"/>
        <v>0</v>
      </c>
    </row>
    <row r="324" spans="3:28" s="423" customFormat="1">
      <c r="D324" s="423" t="s">
        <v>549</v>
      </c>
      <c r="E324" s="435">
        <v>0</v>
      </c>
      <c r="F324" s="435">
        <f>-E324</f>
        <v>0</v>
      </c>
      <c r="G324" s="435">
        <f t="shared" si="240"/>
        <v>0</v>
      </c>
      <c r="H324" s="435">
        <v>0</v>
      </c>
      <c r="I324" s="435"/>
      <c r="J324" s="435">
        <f t="shared" si="241"/>
        <v>0</v>
      </c>
      <c r="K324" s="435">
        <v>0</v>
      </c>
      <c r="L324" s="435"/>
      <c r="M324" s="435">
        <f t="shared" si="242"/>
        <v>0</v>
      </c>
      <c r="N324" s="435">
        <v>0</v>
      </c>
      <c r="O324" s="435"/>
      <c r="P324" s="435">
        <f t="shared" si="243"/>
        <v>0</v>
      </c>
      <c r="Q324" s="435">
        <v>0</v>
      </c>
      <c r="R324" s="435"/>
      <c r="S324" s="435">
        <f t="shared" si="244"/>
        <v>0</v>
      </c>
      <c r="T324" s="435">
        <v>0</v>
      </c>
      <c r="U324" s="435"/>
      <c r="V324" s="435">
        <f t="shared" si="245"/>
        <v>0</v>
      </c>
      <c r="X324" s="435"/>
      <c r="Z324" s="435">
        <f t="shared" si="246"/>
        <v>0</v>
      </c>
      <c r="AA324" s="435"/>
      <c r="AB324" s="435">
        <f t="shared" si="247"/>
        <v>0</v>
      </c>
    </row>
    <row r="325" spans="3:28" s="423" customFormat="1">
      <c r="D325" s="434" t="s">
        <v>544</v>
      </c>
      <c r="E325" s="435">
        <v>0</v>
      </c>
      <c r="F325" s="435"/>
      <c r="G325" s="435">
        <f t="shared" si="240"/>
        <v>0</v>
      </c>
      <c r="H325" s="435">
        <v>0</v>
      </c>
      <c r="I325" s="435"/>
      <c r="J325" s="435">
        <f t="shared" si="241"/>
        <v>0</v>
      </c>
      <c r="K325" s="435">
        <v>0</v>
      </c>
      <c r="L325" s="435"/>
      <c r="M325" s="435">
        <f t="shared" si="242"/>
        <v>0</v>
      </c>
      <c r="N325" s="435">
        <v>0</v>
      </c>
      <c r="O325" s="435"/>
      <c r="P325" s="435">
        <f t="shared" si="243"/>
        <v>0</v>
      </c>
      <c r="Q325" s="435">
        <v>0</v>
      </c>
      <c r="R325" s="435"/>
      <c r="S325" s="435">
        <f t="shared" si="244"/>
        <v>0</v>
      </c>
      <c r="T325" s="435">
        <v>0</v>
      </c>
      <c r="U325" s="435"/>
      <c r="V325" s="435">
        <f t="shared" si="245"/>
        <v>0</v>
      </c>
      <c r="X325" s="435"/>
      <c r="Z325" s="435">
        <f t="shared" si="246"/>
        <v>0</v>
      </c>
      <c r="AA325" s="435"/>
      <c r="AB325" s="435">
        <f t="shared" si="247"/>
        <v>0</v>
      </c>
    </row>
    <row r="326" spans="3:28" s="423" customFormat="1">
      <c r="D326" s="434"/>
      <c r="E326" s="435"/>
      <c r="F326" s="435"/>
      <c r="G326" s="435"/>
      <c r="H326" s="435"/>
      <c r="I326" s="435"/>
      <c r="J326" s="435"/>
      <c r="K326" s="435"/>
      <c r="L326" s="435"/>
      <c r="M326" s="435"/>
      <c r="N326" s="435"/>
      <c r="O326" s="435"/>
      <c r="P326" s="435"/>
      <c r="Q326" s="435"/>
      <c r="R326" s="435"/>
      <c r="S326" s="435"/>
      <c r="T326" s="435"/>
      <c r="U326" s="435"/>
      <c r="V326" s="435"/>
      <c r="X326" s="435"/>
      <c r="Z326" s="435"/>
      <c r="AA326" s="435"/>
      <c r="AB326" s="435"/>
    </row>
    <row r="327" spans="3:28" s="423" customFormat="1">
      <c r="C327" s="438" t="s">
        <v>532</v>
      </c>
      <c r="D327" s="439"/>
      <c r="E327" s="435"/>
      <c r="F327" s="435"/>
      <c r="G327" s="435"/>
      <c r="H327" s="435"/>
      <c r="I327" s="435"/>
      <c r="J327" s="435"/>
      <c r="K327" s="435"/>
      <c r="L327" s="435"/>
      <c r="M327" s="435"/>
      <c r="N327" s="435"/>
      <c r="O327" s="435"/>
      <c r="P327" s="435"/>
      <c r="Q327" s="435"/>
      <c r="R327" s="435"/>
      <c r="S327" s="435"/>
      <c r="T327" s="435"/>
      <c r="U327" s="435"/>
      <c r="V327" s="435"/>
      <c r="X327" s="435"/>
      <c r="Z327" s="457"/>
      <c r="AA327" s="435"/>
      <c r="AB327" s="435"/>
    </row>
    <row r="328" spans="3:28" s="423" customFormat="1">
      <c r="D328" s="423" t="s">
        <v>550</v>
      </c>
      <c r="E328" s="435">
        <v>0</v>
      </c>
      <c r="F328" s="435"/>
      <c r="G328" s="435">
        <f t="shared" si="240"/>
        <v>0</v>
      </c>
      <c r="H328" s="435">
        <v>0</v>
      </c>
      <c r="I328" s="435"/>
      <c r="J328" s="435">
        <f t="shared" ref="J328:J330" si="249">SUM(H328:I328)</f>
        <v>0</v>
      </c>
      <c r="K328" s="435">
        <v>0</v>
      </c>
      <c r="L328" s="435"/>
      <c r="M328" s="435">
        <f t="shared" ref="M328:M330" si="250">SUM(K328:L328)</f>
        <v>0</v>
      </c>
      <c r="N328" s="435">
        <v>0</v>
      </c>
      <c r="O328" s="435"/>
      <c r="P328" s="435">
        <f t="shared" ref="P328:P330" si="251">SUM(N328:O328)</f>
        <v>0</v>
      </c>
      <c r="Q328" s="435">
        <v>0</v>
      </c>
      <c r="R328" s="435"/>
      <c r="S328" s="435">
        <f t="shared" si="244"/>
        <v>0</v>
      </c>
      <c r="T328" s="435">
        <v>0</v>
      </c>
      <c r="U328" s="435"/>
      <c r="V328" s="435">
        <f t="shared" si="245"/>
        <v>0</v>
      </c>
      <c r="X328" s="435"/>
      <c r="Z328" s="435">
        <f t="shared" ref="Z328:Z330" si="252">SUM(G328,J328,M328,P328,S328,V328)</f>
        <v>0</v>
      </c>
      <c r="AA328" s="435"/>
      <c r="AB328" s="435">
        <f t="shared" si="247"/>
        <v>0</v>
      </c>
    </row>
    <row r="329" spans="3:28" s="423" customFormat="1">
      <c r="D329" s="423" t="s">
        <v>551</v>
      </c>
      <c r="E329" s="435">
        <v>0</v>
      </c>
      <c r="F329" s="435"/>
      <c r="G329" s="435">
        <f t="shared" si="240"/>
        <v>0</v>
      </c>
      <c r="H329" s="435">
        <v>0</v>
      </c>
      <c r="I329" s="435"/>
      <c r="J329" s="435">
        <f t="shared" si="249"/>
        <v>0</v>
      </c>
      <c r="K329" s="435">
        <v>0</v>
      </c>
      <c r="L329" s="435"/>
      <c r="M329" s="435">
        <f t="shared" si="250"/>
        <v>0</v>
      </c>
      <c r="N329" s="435">
        <v>0</v>
      </c>
      <c r="O329" s="435"/>
      <c r="P329" s="435">
        <f t="shared" si="251"/>
        <v>0</v>
      </c>
      <c r="Q329" s="435">
        <v>0</v>
      </c>
      <c r="R329" s="435"/>
      <c r="S329" s="435">
        <f t="shared" si="244"/>
        <v>0</v>
      </c>
      <c r="T329" s="435">
        <v>0</v>
      </c>
      <c r="U329" s="435"/>
      <c r="V329" s="435">
        <f t="shared" si="245"/>
        <v>0</v>
      </c>
      <c r="X329" s="435"/>
      <c r="Z329" s="435">
        <f t="shared" si="252"/>
        <v>0</v>
      </c>
      <c r="AA329" s="435"/>
      <c r="AB329" s="435">
        <f t="shared" si="247"/>
        <v>0</v>
      </c>
    </row>
    <row r="330" spans="3:28" s="423" customFormat="1">
      <c r="D330" s="423" t="s">
        <v>556</v>
      </c>
      <c r="E330" s="435">
        <v>0</v>
      </c>
      <c r="F330" s="435"/>
      <c r="G330" s="435">
        <f t="shared" si="240"/>
        <v>0</v>
      </c>
      <c r="H330" s="435">
        <v>0</v>
      </c>
      <c r="I330" s="435"/>
      <c r="J330" s="435">
        <f t="shared" si="249"/>
        <v>0</v>
      </c>
      <c r="K330" s="435">
        <v>0</v>
      </c>
      <c r="L330" s="435"/>
      <c r="M330" s="435">
        <f t="shared" si="250"/>
        <v>0</v>
      </c>
      <c r="N330" s="435">
        <v>0</v>
      </c>
      <c r="O330" s="435"/>
      <c r="P330" s="435">
        <f t="shared" si="251"/>
        <v>0</v>
      </c>
      <c r="Q330" s="435">
        <v>0</v>
      </c>
      <c r="R330" s="435"/>
      <c r="S330" s="435">
        <f t="shared" si="244"/>
        <v>0</v>
      </c>
      <c r="T330" s="435">
        <v>0</v>
      </c>
      <c r="U330" s="435"/>
      <c r="V330" s="435">
        <f t="shared" si="245"/>
        <v>0</v>
      </c>
      <c r="X330" s="435"/>
      <c r="Z330" s="435">
        <f t="shared" si="252"/>
        <v>0</v>
      </c>
      <c r="AA330" s="435"/>
      <c r="AB330" s="435">
        <f t="shared" si="247"/>
        <v>0</v>
      </c>
    </row>
    <row r="331" spans="3:28" s="417" customFormat="1">
      <c r="E331" s="435"/>
      <c r="F331" s="435"/>
      <c r="G331" s="435"/>
      <c r="H331" s="435"/>
      <c r="I331" s="435"/>
      <c r="J331" s="435"/>
      <c r="K331" s="435"/>
      <c r="L331" s="435"/>
      <c r="M331" s="435"/>
      <c r="N331" s="435"/>
      <c r="O331" s="435"/>
      <c r="P331" s="435"/>
      <c r="Q331" s="435"/>
      <c r="R331" s="435"/>
      <c r="S331" s="435"/>
      <c r="T331" s="435"/>
      <c r="U331" s="435"/>
      <c r="V331" s="435"/>
    </row>
    <row r="332" spans="3:28" s="417" customFormat="1" ht="13.5" thickBot="1">
      <c r="E332" s="458">
        <f>SUM(E317:E330)</f>
        <v>0</v>
      </c>
      <c r="F332" s="458"/>
      <c r="G332" s="458">
        <f>SUM(G317:G330)</f>
        <v>0</v>
      </c>
      <c r="H332" s="458">
        <f>SUM(H317:H330)</f>
        <v>0</v>
      </c>
      <c r="I332" s="458"/>
      <c r="J332" s="458">
        <f>SUM(J317:J330)</f>
        <v>0</v>
      </c>
      <c r="K332" s="458">
        <f>SUM(K317:K330)</f>
        <v>0</v>
      </c>
      <c r="L332" s="458"/>
      <c r="M332" s="458">
        <f>SUM(M317:M330)</f>
        <v>0</v>
      </c>
      <c r="N332" s="458">
        <f>SUM(N317:N330)</f>
        <v>0</v>
      </c>
      <c r="O332" s="458"/>
      <c r="P332" s="458">
        <f>SUM(P317:P330)</f>
        <v>0</v>
      </c>
      <c r="Q332" s="458">
        <f>SUM(Q317:Q330)</f>
        <v>0</v>
      </c>
      <c r="R332" s="458"/>
      <c r="S332" s="458">
        <f>SUM(S317:S330)</f>
        <v>0</v>
      </c>
      <c r="T332" s="458">
        <f>SUM(T317:T330)</f>
        <v>0</v>
      </c>
      <c r="U332" s="458"/>
      <c r="V332" s="458">
        <f>SUM(V317:V330)</f>
        <v>0</v>
      </c>
      <c r="X332" s="458">
        <f>SUM(X317:X330)</f>
        <v>0</v>
      </c>
      <c r="Z332" s="458">
        <f>SUM(Z317:Z330)</f>
        <v>0</v>
      </c>
      <c r="AA332" s="458">
        <f>SUM(AA317:AA330)</f>
        <v>0</v>
      </c>
      <c r="AB332" s="458">
        <f>SUM(AB317:AB330)</f>
        <v>0</v>
      </c>
    </row>
    <row r="333" spans="3:28" s="417" customFormat="1" ht="13.5" thickTop="1">
      <c r="D333" s="445"/>
      <c r="E333" s="443"/>
      <c r="F333" s="443"/>
      <c r="G333" s="443"/>
      <c r="H333" s="443"/>
      <c r="I333" s="443"/>
      <c r="J333" s="443"/>
      <c r="K333" s="443"/>
      <c r="L333" s="443"/>
      <c r="M333" s="443"/>
      <c r="N333" s="443"/>
      <c r="O333" s="443"/>
      <c r="P333" s="443"/>
      <c r="Q333" s="443"/>
      <c r="R333" s="443"/>
      <c r="S333" s="443"/>
      <c r="T333" s="443"/>
      <c r="U333" s="443"/>
      <c r="V333" s="443"/>
      <c r="X333" s="443"/>
      <c r="Z333" s="443"/>
      <c r="AA333" s="443"/>
      <c r="AB333" s="443"/>
    </row>
    <row r="334" spans="3:28" s="417" customFormat="1" ht="13">
      <c r="D334" s="445" t="s">
        <v>435</v>
      </c>
      <c r="E334" s="446">
        <v>0</v>
      </c>
      <c r="F334" s="446">
        <v>0</v>
      </c>
      <c r="G334" s="446">
        <v>0</v>
      </c>
      <c r="H334" s="446">
        <v>0</v>
      </c>
      <c r="I334" s="446">
        <v>0</v>
      </c>
      <c r="J334" s="446">
        <v>0</v>
      </c>
      <c r="K334" s="446">
        <v>0</v>
      </c>
      <c r="L334" s="446">
        <v>0</v>
      </c>
      <c r="M334" s="446">
        <v>0</v>
      </c>
      <c r="N334" s="446">
        <v>0</v>
      </c>
      <c r="O334" s="446">
        <v>0</v>
      </c>
      <c r="P334" s="446">
        <v>0</v>
      </c>
      <c r="Q334" s="446">
        <v>0</v>
      </c>
      <c r="R334" s="446">
        <v>0</v>
      </c>
      <c r="S334" s="446">
        <v>0</v>
      </c>
      <c r="T334" s="446">
        <v>0</v>
      </c>
      <c r="U334" s="446">
        <v>0</v>
      </c>
      <c r="V334" s="446">
        <v>0</v>
      </c>
      <c r="X334" s="446">
        <v>0</v>
      </c>
      <c r="Z334" s="446">
        <v>0</v>
      </c>
      <c r="AA334" s="446">
        <v>0</v>
      </c>
      <c r="AB334" s="446">
        <v>0</v>
      </c>
    </row>
    <row r="335" spans="3:28" s="417" customFormat="1" ht="13">
      <c r="D335" s="445" t="s">
        <v>111</v>
      </c>
      <c r="E335" s="442">
        <f t="shared" ref="E335:V335" si="253">E332-E334</f>
        <v>0</v>
      </c>
      <c r="F335" s="442"/>
      <c r="G335" s="442">
        <f t="shared" si="253"/>
        <v>0</v>
      </c>
      <c r="H335" s="442">
        <f t="shared" si="253"/>
        <v>0</v>
      </c>
      <c r="I335" s="442">
        <f t="shared" si="253"/>
        <v>0</v>
      </c>
      <c r="J335" s="442">
        <f t="shared" si="253"/>
        <v>0</v>
      </c>
      <c r="K335" s="442">
        <f t="shared" si="253"/>
        <v>0</v>
      </c>
      <c r="L335" s="442">
        <f t="shared" si="253"/>
        <v>0</v>
      </c>
      <c r="M335" s="442">
        <f t="shared" si="253"/>
        <v>0</v>
      </c>
      <c r="N335" s="442">
        <f t="shared" si="253"/>
        <v>0</v>
      </c>
      <c r="O335" s="442">
        <f t="shared" si="253"/>
        <v>0</v>
      </c>
      <c r="P335" s="442">
        <f t="shared" si="253"/>
        <v>0</v>
      </c>
      <c r="Q335" s="442">
        <f t="shared" si="253"/>
        <v>0</v>
      </c>
      <c r="R335" s="442">
        <f t="shared" si="253"/>
        <v>0</v>
      </c>
      <c r="S335" s="442">
        <f t="shared" si="253"/>
        <v>0</v>
      </c>
      <c r="T335" s="442">
        <f t="shared" si="253"/>
        <v>0</v>
      </c>
      <c r="U335" s="442">
        <f t="shared" si="253"/>
        <v>0</v>
      </c>
      <c r="V335" s="442">
        <f t="shared" si="253"/>
        <v>0</v>
      </c>
      <c r="X335" s="442">
        <f t="shared" ref="X335" si="254">X332-X334</f>
        <v>0</v>
      </c>
      <c r="Z335" s="442">
        <f t="shared" ref="Z335:AB335" si="255">Z332-Z334</f>
        <v>0</v>
      </c>
      <c r="AA335" s="442">
        <f t="shared" si="255"/>
        <v>0</v>
      </c>
      <c r="AB335" s="442">
        <f t="shared" si="255"/>
        <v>0</v>
      </c>
    </row>
    <row r="338" spans="2:28" s="417" customFormat="1" ht="13">
      <c r="B338" s="414" t="s">
        <v>454</v>
      </c>
    </row>
    <row r="339" spans="2:28" s="417" customFormat="1" ht="13">
      <c r="B339" s="423"/>
      <c r="C339" s="423"/>
      <c r="D339" s="423"/>
      <c r="E339" s="428" t="s">
        <v>426</v>
      </c>
      <c r="F339" s="428" t="s">
        <v>334</v>
      </c>
      <c r="G339" s="428" t="s">
        <v>427</v>
      </c>
      <c r="H339" s="428" t="s">
        <v>426</v>
      </c>
      <c r="I339" s="428" t="s">
        <v>334</v>
      </c>
      <c r="J339" s="428" t="s">
        <v>427</v>
      </c>
      <c r="K339" s="428" t="s">
        <v>426</v>
      </c>
      <c r="L339" s="428" t="s">
        <v>334</v>
      </c>
      <c r="M339" s="428" t="s">
        <v>427</v>
      </c>
      <c r="N339" s="428" t="s">
        <v>426</v>
      </c>
      <c r="O339" s="428" t="s">
        <v>334</v>
      </c>
      <c r="P339" s="428" t="s">
        <v>427</v>
      </c>
      <c r="Q339" s="428" t="s">
        <v>426</v>
      </c>
      <c r="R339" s="428" t="s">
        <v>334</v>
      </c>
      <c r="S339" s="428" t="s">
        <v>427</v>
      </c>
      <c r="T339" s="428" t="s">
        <v>426</v>
      </c>
      <c r="U339" s="428" t="s">
        <v>334</v>
      </c>
      <c r="V339" s="428" t="s">
        <v>427</v>
      </c>
      <c r="W339" s="423"/>
      <c r="X339" s="428" t="s">
        <v>428</v>
      </c>
      <c r="Y339" s="423"/>
      <c r="Z339" s="428" t="s">
        <v>11</v>
      </c>
      <c r="AA339" s="428" t="s">
        <v>429</v>
      </c>
      <c r="AB339" s="428" t="s">
        <v>13</v>
      </c>
    </row>
    <row r="340" spans="2:28" s="417" customFormat="1" ht="13">
      <c r="B340" s="423"/>
      <c r="C340" s="423"/>
      <c r="D340" s="423"/>
      <c r="E340" s="429">
        <v>45291</v>
      </c>
      <c r="F340" s="429"/>
      <c r="G340" s="429">
        <v>45291</v>
      </c>
      <c r="H340" s="429">
        <v>45291</v>
      </c>
      <c r="I340" s="429"/>
      <c r="J340" s="429">
        <v>45291</v>
      </c>
      <c r="K340" s="429">
        <v>45291</v>
      </c>
      <c r="L340" s="429"/>
      <c r="M340" s="429">
        <v>45291</v>
      </c>
      <c r="N340" s="429">
        <v>45291</v>
      </c>
      <c r="O340" s="429"/>
      <c r="P340" s="429">
        <v>45291</v>
      </c>
      <c r="Q340" s="429">
        <v>45291</v>
      </c>
      <c r="R340" s="429"/>
      <c r="S340" s="429">
        <v>45291</v>
      </c>
      <c r="T340" s="429">
        <v>45291</v>
      </c>
      <c r="U340" s="429"/>
      <c r="V340" s="429">
        <v>45291</v>
      </c>
      <c r="W340" s="423"/>
      <c r="X340" s="429">
        <v>45291</v>
      </c>
      <c r="Y340" s="423"/>
      <c r="Z340" s="429" t="s">
        <v>455</v>
      </c>
      <c r="AA340" s="429">
        <v>45291</v>
      </c>
      <c r="AB340" s="429">
        <v>45291</v>
      </c>
    </row>
    <row r="341" spans="2:28" s="423" customFormat="1" ht="13" customHeight="1">
      <c r="C341" s="430"/>
      <c r="E341" s="431"/>
      <c r="F341" s="431"/>
      <c r="G341" s="431"/>
      <c r="H341" s="431"/>
      <c r="I341" s="431"/>
      <c r="J341" s="431"/>
      <c r="K341" s="431"/>
      <c r="L341" s="431"/>
      <c r="M341" s="431"/>
      <c r="N341" s="431"/>
      <c r="O341" s="431"/>
      <c r="P341" s="431"/>
      <c r="Q341" s="431"/>
      <c r="R341" s="431"/>
      <c r="S341" s="431"/>
      <c r="T341" s="431"/>
      <c r="U341" s="431"/>
      <c r="V341" s="431"/>
      <c r="X341" s="432"/>
      <c r="Z341" s="432"/>
      <c r="AA341" s="432"/>
      <c r="AB341" s="432"/>
    </row>
    <row r="342" spans="2:28" s="423" customFormat="1">
      <c r="C342" s="423" t="s">
        <v>543</v>
      </c>
      <c r="D342" s="434"/>
      <c r="E342" s="435"/>
      <c r="F342" s="435"/>
      <c r="G342" s="435">
        <f t="shared" ref="G342:G354" si="256">SUM(E342:F342)</f>
        <v>0</v>
      </c>
      <c r="H342" s="435">
        <v>0</v>
      </c>
      <c r="I342" s="435"/>
      <c r="J342" s="435">
        <f t="shared" ref="J342:J354" si="257">SUM(H342:I342)</f>
        <v>0</v>
      </c>
      <c r="K342" s="435">
        <v>0</v>
      </c>
      <c r="L342" s="435"/>
      <c r="M342" s="435">
        <f t="shared" ref="M342:M354" si="258">SUM(K342:L342)</f>
        <v>0</v>
      </c>
      <c r="N342" s="435">
        <v>0</v>
      </c>
      <c r="O342" s="435"/>
      <c r="P342" s="435">
        <f t="shared" ref="P342:P354" si="259">SUM(N342:O342)</f>
        <v>0</v>
      </c>
      <c r="Q342" s="435">
        <v>0</v>
      </c>
      <c r="R342" s="435"/>
      <c r="S342" s="435">
        <f t="shared" ref="S342:S354" si="260">SUM(Q342:R342)</f>
        <v>0</v>
      </c>
      <c r="T342" s="435">
        <v>0</v>
      </c>
      <c r="U342" s="435"/>
      <c r="V342" s="435">
        <f t="shared" ref="V342:V354" si="261">SUM(T342:U342)</f>
        <v>0</v>
      </c>
      <c r="X342" s="435"/>
      <c r="Z342" s="435">
        <f t="shared" ref="Z342:Z349" si="262">SUM(G342,J342,M342,P342,S342,V342)</f>
        <v>0</v>
      </c>
      <c r="AA342" s="435"/>
      <c r="AB342" s="435">
        <f>SUM(Z342:AA342)</f>
        <v>0</v>
      </c>
    </row>
    <row r="343" spans="2:28" s="423" customFormat="1">
      <c r="D343" s="423" t="s">
        <v>546</v>
      </c>
      <c r="E343" s="435"/>
      <c r="F343" s="435"/>
      <c r="G343" s="435">
        <f t="shared" si="256"/>
        <v>0</v>
      </c>
      <c r="H343" s="435">
        <v>0</v>
      </c>
      <c r="I343" s="435"/>
      <c r="J343" s="435">
        <f t="shared" si="257"/>
        <v>0</v>
      </c>
      <c r="K343" s="435">
        <v>0</v>
      </c>
      <c r="L343" s="435"/>
      <c r="M343" s="435">
        <f t="shared" si="258"/>
        <v>0</v>
      </c>
      <c r="N343" s="435">
        <v>0</v>
      </c>
      <c r="O343" s="435"/>
      <c r="P343" s="435">
        <f t="shared" si="259"/>
        <v>0</v>
      </c>
      <c r="Q343" s="435">
        <v>0</v>
      </c>
      <c r="R343" s="435"/>
      <c r="S343" s="435">
        <f t="shared" si="260"/>
        <v>0</v>
      </c>
      <c r="T343" s="435">
        <v>0</v>
      </c>
      <c r="U343" s="435"/>
      <c r="V343" s="435">
        <f t="shared" si="261"/>
        <v>0</v>
      </c>
      <c r="X343" s="435"/>
      <c r="Z343" s="435">
        <f t="shared" si="262"/>
        <v>0</v>
      </c>
      <c r="AA343" s="435"/>
      <c r="AB343" s="435">
        <f t="shared" ref="AB343:AB354" si="263">SUM(Z343:AA343)</f>
        <v>0</v>
      </c>
    </row>
    <row r="344" spans="2:28" s="423" customFormat="1">
      <c r="D344" s="423" t="s">
        <v>552</v>
      </c>
      <c r="E344" s="435"/>
      <c r="F344" s="435"/>
      <c r="G344" s="435">
        <f t="shared" si="256"/>
        <v>0</v>
      </c>
      <c r="H344" s="435">
        <v>0</v>
      </c>
      <c r="I344" s="435"/>
      <c r="J344" s="435">
        <f t="shared" si="257"/>
        <v>0</v>
      </c>
      <c r="K344" s="435">
        <v>0</v>
      </c>
      <c r="L344" s="435"/>
      <c r="M344" s="435">
        <f t="shared" si="258"/>
        <v>0</v>
      </c>
      <c r="N344" s="435">
        <v>0</v>
      </c>
      <c r="O344" s="435"/>
      <c r="P344" s="435">
        <f t="shared" si="259"/>
        <v>0</v>
      </c>
      <c r="Q344" s="435">
        <v>0</v>
      </c>
      <c r="R344" s="435"/>
      <c r="S344" s="435">
        <f t="shared" si="260"/>
        <v>0</v>
      </c>
      <c r="T344" s="435">
        <v>0</v>
      </c>
      <c r="U344" s="435"/>
      <c r="V344" s="435">
        <f t="shared" si="261"/>
        <v>0</v>
      </c>
      <c r="X344" s="435"/>
      <c r="Z344" s="435">
        <f t="shared" si="262"/>
        <v>0</v>
      </c>
      <c r="AA344" s="435"/>
      <c r="AB344" s="435">
        <f t="shared" si="263"/>
        <v>0</v>
      </c>
    </row>
    <row r="345" spans="2:28" s="423" customFormat="1">
      <c r="D345" s="423" t="s">
        <v>547</v>
      </c>
      <c r="E345" s="435"/>
      <c r="F345" s="435"/>
      <c r="G345" s="435">
        <f t="shared" si="256"/>
        <v>0</v>
      </c>
      <c r="H345" s="435">
        <v>0</v>
      </c>
      <c r="I345" s="435"/>
      <c r="J345" s="435">
        <f t="shared" si="257"/>
        <v>0</v>
      </c>
      <c r="K345" s="435">
        <v>0</v>
      </c>
      <c r="L345" s="435"/>
      <c r="M345" s="435">
        <f t="shared" si="258"/>
        <v>0</v>
      </c>
      <c r="N345" s="435">
        <v>0</v>
      </c>
      <c r="O345" s="435"/>
      <c r="P345" s="435">
        <f t="shared" si="259"/>
        <v>0</v>
      </c>
      <c r="Q345" s="435">
        <v>0</v>
      </c>
      <c r="R345" s="435"/>
      <c r="S345" s="435">
        <f t="shared" si="260"/>
        <v>0</v>
      </c>
      <c r="T345" s="435">
        <v>0</v>
      </c>
      <c r="U345" s="435"/>
      <c r="V345" s="435">
        <f t="shared" si="261"/>
        <v>0</v>
      </c>
      <c r="X345" s="435"/>
      <c r="Z345" s="435">
        <f t="shared" si="262"/>
        <v>0</v>
      </c>
      <c r="AA345" s="435">
        <f t="shared" ref="AA345" si="264">-Z345</f>
        <v>0</v>
      </c>
      <c r="AB345" s="435">
        <f t="shared" si="263"/>
        <v>0</v>
      </c>
    </row>
    <row r="346" spans="2:28" s="423" customFormat="1">
      <c r="D346" s="423" t="s">
        <v>548</v>
      </c>
      <c r="E346" s="435"/>
      <c r="F346" s="435"/>
      <c r="G346" s="435">
        <f t="shared" si="256"/>
        <v>0</v>
      </c>
      <c r="H346" s="435">
        <v>0</v>
      </c>
      <c r="I346" s="435"/>
      <c r="J346" s="435">
        <f t="shared" si="257"/>
        <v>0</v>
      </c>
      <c r="K346" s="435">
        <v>0</v>
      </c>
      <c r="L346" s="435"/>
      <c r="M346" s="435">
        <f t="shared" si="258"/>
        <v>0</v>
      </c>
      <c r="N346" s="435">
        <v>0</v>
      </c>
      <c r="O346" s="435"/>
      <c r="P346" s="435">
        <f t="shared" si="259"/>
        <v>0</v>
      </c>
      <c r="Q346" s="435">
        <v>0</v>
      </c>
      <c r="R346" s="435"/>
      <c r="S346" s="435">
        <f t="shared" si="260"/>
        <v>0</v>
      </c>
      <c r="T346" s="435">
        <v>0</v>
      </c>
      <c r="U346" s="435"/>
      <c r="V346" s="435">
        <f t="shared" si="261"/>
        <v>0</v>
      </c>
      <c r="X346" s="435"/>
      <c r="Z346" s="435">
        <f t="shared" si="262"/>
        <v>0</v>
      </c>
      <c r="AA346" s="435"/>
      <c r="AB346" s="435">
        <f t="shared" si="263"/>
        <v>0</v>
      </c>
    </row>
    <row r="347" spans="2:28" s="423" customFormat="1">
      <c r="D347" s="423" t="s">
        <v>545</v>
      </c>
      <c r="E347" s="435"/>
      <c r="F347" s="435"/>
      <c r="G347" s="435">
        <f t="shared" si="256"/>
        <v>0</v>
      </c>
      <c r="H347" s="435">
        <v>0</v>
      </c>
      <c r="I347" s="435"/>
      <c r="J347" s="435">
        <f t="shared" si="257"/>
        <v>0</v>
      </c>
      <c r="K347" s="435">
        <v>0</v>
      </c>
      <c r="L347" s="435"/>
      <c r="M347" s="435">
        <f t="shared" si="258"/>
        <v>0</v>
      </c>
      <c r="N347" s="435">
        <v>0</v>
      </c>
      <c r="O347" s="435"/>
      <c r="P347" s="435">
        <f t="shared" si="259"/>
        <v>0</v>
      </c>
      <c r="Q347" s="435">
        <v>0</v>
      </c>
      <c r="R347" s="435"/>
      <c r="S347" s="435">
        <f t="shared" si="260"/>
        <v>0</v>
      </c>
      <c r="T347" s="435">
        <v>0</v>
      </c>
      <c r="U347" s="435"/>
      <c r="V347" s="435">
        <f t="shared" si="261"/>
        <v>0</v>
      </c>
      <c r="X347" s="435"/>
      <c r="Z347" s="435">
        <f t="shared" si="262"/>
        <v>0</v>
      </c>
      <c r="AA347" s="435"/>
      <c r="AB347" s="435">
        <f t="shared" si="263"/>
        <v>0</v>
      </c>
    </row>
    <row r="348" spans="2:28" s="423" customFormat="1">
      <c r="D348" s="423" t="s">
        <v>549</v>
      </c>
      <c r="E348" s="435"/>
      <c r="F348" s="435"/>
      <c r="G348" s="435">
        <f t="shared" si="256"/>
        <v>0</v>
      </c>
      <c r="H348" s="435">
        <v>0</v>
      </c>
      <c r="I348" s="435"/>
      <c r="J348" s="435">
        <f t="shared" si="257"/>
        <v>0</v>
      </c>
      <c r="K348" s="435">
        <v>0</v>
      </c>
      <c r="L348" s="435"/>
      <c r="M348" s="435">
        <f t="shared" si="258"/>
        <v>0</v>
      </c>
      <c r="N348" s="435">
        <v>0</v>
      </c>
      <c r="O348" s="435"/>
      <c r="P348" s="435">
        <f t="shared" si="259"/>
        <v>0</v>
      </c>
      <c r="Q348" s="435">
        <v>0</v>
      </c>
      <c r="R348" s="435"/>
      <c r="S348" s="435">
        <f t="shared" si="260"/>
        <v>0</v>
      </c>
      <c r="T348" s="435">
        <v>0</v>
      </c>
      <c r="U348" s="435"/>
      <c r="V348" s="435">
        <f t="shared" si="261"/>
        <v>0</v>
      </c>
      <c r="X348" s="435"/>
      <c r="Z348" s="435">
        <f t="shared" si="262"/>
        <v>0</v>
      </c>
      <c r="AA348" s="435"/>
      <c r="AB348" s="435">
        <f t="shared" si="263"/>
        <v>0</v>
      </c>
    </row>
    <row r="349" spans="2:28" s="423" customFormat="1">
      <c r="D349" s="434" t="s">
        <v>544</v>
      </c>
      <c r="E349" s="435"/>
      <c r="F349" s="435"/>
      <c r="G349" s="435">
        <f t="shared" si="256"/>
        <v>0</v>
      </c>
      <c r="H349" s="435">
        <v>0</v>
      </c>
      <c r="I349" s="435"/>
      <c r="J349" s="435">
        <f t="shared" si="257"/>
        <v>0</v>
      </c>
      <c r="K349" s="435">
        <v>0</v>
      </c>
      <c r="L349" s="435"/>
      <c r="M349" s="435">
        <f t="shared" si="258"/>
        <v>0</v>
      </c>
      <c r="N349" s="435">
        <v>0</v>
      </c>
      <c r="O349" s="435"/>
      <c r="P349" s="435">
        <f t="shared" si="259"/>
        <v>0</v>
      </c>
      <c r="Q349" s="435">
        <v>0</v>
      </c>
      <c r="R349" s="435"/>
      <c r="S349" s="435">
        <f t="shared" si="260"/>
        <v>0</v>
      </c>
      <c r="T349" s="435">
        <v>0</v>
      </c>
      <c r="U349" s="435"/>
      <c r="V349" s="435">
        <f t="shared" si="261"/>
        <v>0</v>
      </c>
      <c r="X349" s="435"/>
      <c r="Z349" s="435">
        <f t="shared" si="262"/>
        <v>0</v>
      </c>
      <c r="AA349" s="435"/>
      <c r="AB349" s="435">
        <f t="shared" si="263"/>
        <v>0</v>
      </c>
    </row>
    <row r="350" spans="2:28" s="423" customFormat="1">
      <c r="D350" s="434"/>
      <c r="E350" s="435"/>
      <c r="F350" s="435"/>
      <c r="G350" s="435"/>
      <c r="H350" s="435"/>
      <c r="I350" s="435"/>
      <c r="J350" s="435"/>
      <c r="K350" s="435"/>
      <c r="L350" s="435"/>
      <c r="M350" s="435"/>
      <c r="N350" s="435"/>
      <c r="O350" s="435"/>
      <c r="P350" s="435"/>
      <c r="Q350" s="435"/>
      <c r="R350" s="435"/>
      <c r="S350" s="435"/>
      <c r="T350" s="435"/>
      <c r="U350" s="435"/>
      <c r="V350" s="435"/>
      <c r="X350" s="435"/>
      <c r="Z350" s="457"/>
      <c r="AA350" s="435"/>
      <c r="AB350" s="435"/>
    </row>
    <row r="351" spans="2:28" s="423" customFormat="1">
      <c r="C351" s="438" t="s">
        <v>532</v>
      </c>
      <c r="D351" s="439"/>
      <c r="E351" s="435"/>
      <c r="F351" s="435"/>
      <c r="G351" s="435">
        <f t="shared" si="256"/>
        <v>0</v>
      </c>
      <c r="H351" s="435">
        <v>0</v>
      </c>
      <c r="I351" s="435"/>
      <c r="J351" s="435">
        <f t="shared" si="257"/>
        <v>0</v>
      </c>
      <c r="K351" s="435">
        <v>0</v>
      </c>
      <c r="L351" s="435"/>
      <c r="M351" s="435">
        <f t="shared" si="258"/>
        <v>0</v>
      </c>
      <c r="N351" s="435">
        <v>0</v>
      </c>
      <c r="O351" s="435"/>
      <c r="P351" s="435">
        <f t="shared" si="259"/>
        <v>0</v>
      </c>
      <c r="Q351" s="435">
        <v>0</v>
      </c>
      <c r="R351" s="435"/>
      <c r="S351" s="435">
        <f t="shared" si="260"/>
        <v>0</v>
      </c>
      <c r="T351" s="435">
        <v>0</v>
      </c>
      <c r="U351" s="435"/>
      <c r="V351" s="435">
        <f t="shared" si="261"/>
        <v>0</v>
      </c>
      <c r="X351" s="435"/>
      <c r="Z351" s="457">
        <f>SUM(G351,S351,V351)</f>
        <v>0</v>
      </c>
      <c r="AA351" s="435"/>
      <c r="AB351" s="435">
        <f t="shared" si="263"/>
        <v>0</v>
      </c>
    </row>
    <row r="352" spans="2:28" s="423" customFormat="1">
      <c r="D352" s="423" t="s">
        <v>550</v>
      </c>
      <c r="E352" s="435"/>
      <c r="F352" s="435"/>
      <c r="G352" s="435">
        <f t="shared" si="256"/>
        <v>0</v>
      </c>
      <c r="H352" s="435">
        <v>0</v>
      </c>
      <c r="I352" s="435"/>
      <c r="J352" s="435">
        <f t="shared" si="257"/>
        <v>0</v>
      </c>
      <c r="K352" s="435">
        <v>0</v>
      </c>
      <c r="L352" s="435"/>
      <c r="M352" s="435">
        <f t="shared" si="258"/>
        <v>0</v>
      </c>
      <c r="N352" s="435">
        <v>0</v>
      </c>
      <c r="O352" s="435"/>
      <c r="P352" s="435">
        <f t="shared" si="259"/>
        <v>0</v>
      </c>
      <c r="Q352" s="435">
        <v>0</v>
      </c>
      <c r="R352" s="435"/>
      <c r="S352" s="435">
        <f t="shared" si="260"/>
        <v>0</v>
      </c>
      <c r="T352" s="435">
        <v>0</v>
      </c>
      <c r="U352" s="435"/>
      <c r="V352" s="435">
        <f t="shared" si="261"/>
        <v>0</v>
      </c>
      <c r="X352" s="435"/>
      <c r="Z352" s="457">
        <f>SUM(G352,S352,V352)</f>
        <v>0</v>
      </c>
      <c r="AA352" s="435"/>
      <c r="AB352" s="435">
        <f t="shared" si="263"/>
        <v>0</v>
      </c>
    </row>
    <row r="353" spans="2:28" s="423" customFormat="1">
      <c r="D353" s="423" t="s">
        <v>551</v>
      </c>
      <c r="E353" s="435"/>
      <c r="F353" s="435"/>
      <c r="G353" s="435">
        <f t="shared" si="256"/>
        <v>0</v>
      </c>
      <c r="H353" s="435">
        <v>0</v>
      </c>
      <c r="I353" s="435"/>
      <c r="J353" s="435">
        <f t="shared" si="257"/>
        <v>0</v>
      </c>
      <c r="K353" s="435">
        <v>0</v>
      </c>
      <c r="L353" s="435"/>
      <c r="M353" s="435">
        <f t="shared" si="258"/>
        <v>0</v>
      </c>
      <c r="N353" s="435">
        <v>0</v>
      </c>
      <c r="O353" s="435"/>
      <c r="P353" s="435">
        <f t="shared" si="259"/>
        <v>0</v>
      </c>
      <c r="Q353" s="435">
        <v>0</v>
      </c>
      <c r="R353" s="435"/>
      <c r="S353" s="435">
        <f t="shared" si="260"/>
        <v>0</v>
      </c>
      <c r="T353" s="435">
        <v>0</v>
      </c>
      <c r="U353" s="435"/>
      <c r="V353" s="435">
        <f t="shared" si="261"/>
        <v>0</v>
      </c>
      <c r="X353" s="435"/>
      <c r="Z353" s="457">
        <f>SUM(G353,S353,V353)</f>
        <v>0</v>
      </c>
      <c r="AA353" s="435"/>
      <c r="AB353" s="435">
        <f t="shared" si="263"/>
        <v>0</v>
      </c>
    </row>
    <row r="354" spans="2:28" s="423" customFormat="1">
      <c r="D354" s="423" t="s">
        <v>556</v>
      </c>
      <c r="E354" s="435"/>
      <c r="F354" s="435"/>
      <c r="G354" s="435">
        <f t="shared" si="256"/>
        <v>0</v>
      </c>
      <c r="H354" s="435">
        <v>0</v>
      </c>
      <c r="I354" s="435"/>
      <c r="J354" s="435">
        <f t="shared" si="257"/>
        <v>0</v>
      </c>
      <c r="K354" s="435">
        <v>0</v>
      </c>
      <c r="L354" s="435"/>
      <c r="M354" s="435">
        <f t="shared" si="258"/>
        <v>0</v>
      </c>
      <c r="N354" s="435">
        <v>0</v>
      </c>
      <c r="O354" s="435"/>
      <c r="P354" s="435">
        <f t="shared" si="259"/>
        <v>0</v>
      </c>
      <c r="Q354" s="435">
        <v>0</v>
      </c>
      <c r="R354" s="435"/>
      <c r="S354" s="435">
        <f t="shared" si="260"/>
        <v>0</v>
      </c>
      <c r="T354" s="435">
        <v>0</v>
      </c>
      <c r="U354" s="435"/>
      <c r="V354" s="435">
        <f t="shared" si="261"/>
        <v>0</v>
      </c>
      <c r="X354" s="435"/>
      <c r="Z354" s="457">
        <f>SUM(G354,S354,V354)</f>
        <v>0</v>
      </c>
      <c r="AA354" s="435"/>
      <c r="AB354" s="435">
        <f t="shared" si="263"/>
        <v>0</v>
      </c>
    </row>
    <row r="355" spans="2:28" s="417" customFormat="1">
      <c r="B355" s="423"/>
      <c r="C355" s="423"/>
      <c r="D355" s="423"/>
      <c r="E355" s="435"/>
      <c r="F355" s="435"/>
      <c r="G355" s="435"/>
      <c r="H355" s="435"/>
      <c r="I355" s="435"/>
      <c r="J355" s="435"/>
      <c r="K355" s="435"/>
      <c r="L355" s="435"/>
      <c r="M355" s="435"/>
      <c r="N355" s="435"/>
      <c r="O355" s="435"/>
      <c r="P355" s="435"/>
      <c r="Q355" s="435"/>
      <c r="R355" s="435"/>
      <c r="S355" s="435"/>
      <c r="T355" s="435"/>
      <c r="U355" s="435"/>
      <c r="V355" s="435"/>
    </row>
    <row r="356" spans="2:28" s="417" customFormat="1">
      <c r="B356" s="417" t="s">
        <v>451</v>
      </c>
      <c r="E356" s="435"/>
      <c r="F356" s="435"/>
      <c r="G356" s="435"/>
      <c r="H356" s="435"/>
      <c r="I356" s="435"/>
      <c r="J356" s="435"/>
      <c r="K356" s="435"/>
      <c r="L356" s="435"/>
      <c r="M356" s="435"/>
      <c r="N356" s="435"/>
      <c r="O356" s="435"/>
      <c r="P356" s="435"/>
      <c r="Q356" s="435"/>
      <c r="R356" s="435"/>
      <c r="S356" s="435"/>
      <c r="T356" s="435"/>
      <c r="U356" s="435"/>
      <c r="V356" s="435"/>
    </row>
    <row r="357" spans="2:28" s="417" customFormat="1">
      <c r="D357" s="417" t="s">
        <v>555</v>
      </c>
      <c r="E357" s="435"/>
      <c r="F357" s="435"/>
      <c r="G357" s="435">
        <f t="shared" ref="G357:G360" si="265">SUM(E357:F357)</f>
        <v>0</v>
      </c>
      <c r="H357" s="435"/>
      <c r="I357" s="435"/>
      <c r="J357" s="435"/>
      <c r="K357" s="435"/>
      <c r="L357" s="435"/>
      <c r="M357" s="435"/>
      <c r="N357" s="435">
        <v>0</v>
      </c>
      <c r="O357" s="435"/>
      <c r="P357" s="435">
        <f t="shared" ref="P357:P363" si="266">SUM(N357:O357)</f>
        <v>0</v>
      </c>
      <c r="Q357" s="435"/>
      <c r="R357" s="435"/>
      <c r="S357" s="435"/>
      <c r="T357" s="435">
        <v>0</v>
      </c>
      <c r="U357" s="435"/>
      <c r="V357" s="435">
        <f t="shared" ref="V357:V363" si="267">SUM(T357:U357)</f>
        <v>0</v>
      </c>
      <c r="Z357" s="435">
        <f t="shared" ref="Z357:Z363" si="268">SUM(G357,J357,M357,P357,S357,V357)</f>
        <v>0</v>
      </c>
    </row>
    <row r="358" spans="2:28" s="417" customFormat="1">
      <c r="D358" s="417" t="s">
        <v>602</v>
      </c>
      <c r="E358" s="435"/>
      <c r="F358" s="435"/>
      <c r="G358" s="435">
        <f t="shared" si="265"/>
        <v>0</v>
      </c>
      <c r="H358" s="435"/>
      <c r="I358" s="435"/>
      <c r="J358" s="435"/>
      <c r="K358" s="435"/>
      <c r="L358" s="435"/>
      <c r="M358" s="435"/>
      <c r="N358" s="435">
        <v>0</v>
      </c>
      <c r="O358" s="435"/>
      <c r="P358" s="435">
        <f t="shared" si="266"/>
        <v>0</v>
      </c>
      <c r="Q358" s="435"/>
      <c r="R358" s="435"/>
      <c r="S358" s="435"/>
      <c r="T358" s="435">
        <v>0</v>
      </c>
      <c r="U358" s="435"/>
      <c r="V358" s="435">
        <f t="shared" si="267"/>
        <v>0</v>
      </c>
      <c r="Z358" s="435">
        <f t="shared" si="268"/>
        <v>0</v>
      </c>
    </row>
    <row r="359" spans="2:28" s="417" customFormat="1">
      <c r="D359" s="417" t="s">
        <v>603</v>
      </c>
      <c r="E359" s="435"/>
      <c r="F359" s="435"/>
      <c r="G359" s="435">
        <f t="shared" si="265"/>
        <v>0</v>
      </c>
      <c r="H359" s="435"/>
      <c r="I359" s="435"/>
      <c r="J359" s="435"/>
      <c r="K359" s="435"/>
      <c r="L359" s="435"/>
      <c r="M359" s="435"/>
      <c r="N359" s="435">
        <v>0</v>
      </c>
      <c r="O359" s="435"/>
      <c r="P359" s="435">
        <f t="shared" si="266"/>
        <v>0</v>
      </c>
      <c r="Q359" s="435"/>
      <c r="R359" s="435"/>
      <c r="S359" s="435"/>
      <c r="T359" s="435">
        <v>0</v>
      </c>
      <c r="U359" s="435"/>
      <c r="V359" s="435">
        <f t="shared" si="267"/>
        <v>0</v>
      </c>
      <c r="Z359" s="435">
        <f t="shared" si="268"/>
        <v>0</v>
      </c>
    </row>
    <row r="360" spans="2:28" s="417" customFormat="1">
      <c r="D360" s="417" t="s">
        <v>604</v>
      </c>
      <c r="E360" s="435"/>
      <c r="F360" s="435"/>
      <c r="G360" s="435">
        <f t="shared" si="265"/>
        <v>0</v>
      </c>
      <c r="H360" s="435"/>
      <c r="I360" s="435"/>
      <c r="J360" s="435"/>
      <c r="K360" s="435"/>
      <c r="L360" s="435"/>
      <c r="M360" s="435"/>
      <c r="N360" s="435">
        <v>0</v>
      </c>
      <c r="O360" s="435"/>
      <c r="P360" s="435">
        <f t="shared" si="266"/>
        <v>0</v>
      </c>
      <c r="Q360" s="435"/>
      <c r="R360" s="435"/>
      <c r="S360" s="435"/>
      <c r="T360" s="435">
        <v>0</v>
      </c>
      <c r="U360" s="435"/>
      <c r="V360" s="435">
        <f t="shared" si="267"/>
        <v>0</v>
      </c>
      <c r="Z360" s="435">
        <f t="shared" si="268"/>
        <v>0</v>
      </c>
    </row>
    <row r="361" spans="2:28" s="417" customFormat="1">
      <c r="D361" s="417" t="s">
        <v>599</v>
      </c>
      <c r="E361" s="435">
        <v>-486692325000</v>
      </c>
      <c r="F361" s="435"/>
      <c r="G361" s="435">
        <v>-486692325000</v>
      </c>
      <c r="H361" s="435">
        <v>-630160388550</v>
      </c>
      <c r="I361" s="435"/>
      <c r="J361" s="435">
        <f t="shared" ref="J361:J362" si="269">SUM(H361:I361)</f>
        <v>-630160388550</v>
      </c>
      <c r="K361" s="435">
        <v>-11812500</v>
      </c>
      <c r="L361" s="435"/>
      <c r="M361" s="435">
        <f t="shared" ref="M361:M362" si="270">SUM(K361:L361)</f>
        <v>-11812500</v>
      </c>
      <c r="N361" s="435">
        <v>-2411718750</v>
      </c>
      <c r="O361" s="435"/>
      <c r="P361" s="435">
        <f t="shared" si="266"/>
        <v>-2411718750</v>
      </c>
      <c r="Q361" s="435">
        <v>-236250000</v>
      </c>
      <c r="R361" s="435"/>
      <c r="S361" s="435">
        <f t="shared" ref="S361:S362" si="271">SUM(Q361:R361)</f>
        <v>-236250000</v>
      </c>
      <c r="T361" s="435">
        <v>0</v>
      </c>
      <c r="U361" s="435"/>
      <c r="V361" s="435">
        <f t="shared" si="267"/>
        <v>0</v>
      </c>
      <c r="Z361" s="435">
        <f t="shared" si="268"/>
        <v>-1119512494800</v>
      </c>
      <c r="AA361" s="457">
        <v>632820169800</v>
      </c>
      <c r="AB361" s="435">
        <f t="shared" ref="AB361:AB363" si="272">SUM(Z361:AA361)</f>
        <v>-486692325000</v>
      </c>
    </row>
    <row r="362" spans="2:28" s="417" customFormat="1">
      <c r="D362" s="417" t="s">
        <v>606</v>
      </c>
      <c r="E362" s="435"/>
      <c r="F362" s="435"/>
      <c r="G362" s="435">
        <v>0</v>
      </c>
      <c r="H362" s="435">
        <v>-21504957075</v>
      </c>
      <c r="I362" s="435"/>
      <c r="J362" s="435">
        <f t="shared" si="269"/>
        <v>-21504957075</v>
      </c>
      <c r="K362" s="435">
        <v>-11812500</v>
      </c>
      <c r="L362" s="435"/>
      <c r="M362" s="435">
        <f t="shared" si="270"/>
        <v>-11812500</v>
      </c>
      <c r="N362" s="435">
        <v>-2510156250</v>
      </c>
      <c r="O362" s="435"/>
      <c r="P362" s="435">
        <f t="shared" si="266"/>
        <v>-2510156250</v>
      </c>
      <c r="Q362" s="435">
        <v>-236250000</v>
      </c>
      <c r="R362" s="435"/>
      <c r="S362" s="435">
        <f t="shared" si="271"/>
        <v>-236250000</v>
      </c>
      <c r="T362" s="435">
        <v>0</v>
      </c>
      <c r="U362" s="435"/>
      <c r="V362" s="435">
        <f t="shared" ref="V362" si="273">SUM(T362:U362)</f>
        <v>0</v>
      </c>
      <c r="Z362" s="435">
        <f t="shared" si="268"/>
        <v>-24263175825</v>
      </c>
      <c r="AA362" s="457">
        <f>-Z362</f>
        <v>24263175825</v>
      </c>
      <c r="AB362" s="435">
        <f t="shared" si="272"/>
        <v>0</v>
      </c>
    </row>
    <row r="363" spans="2:28" s="417" customFormat="1">
      <c r="D363" s="417" t="s">
        <v>456</v>
      </c>
      <c r="E363" s="435">
        <v>-15750000</v>
      </c>
      <c r="F363" s="435"/>
      <c r="G363" s="435">
        <v>-15750000</v>
      </c>
      <c r="H363" s="435"/>
      <c r="I363" s="435"/>
      <c r="J363" s="435"/>
      <c r="K363" s="435"/>
      <c r="L363" s="435"/>
      <c r="M363" s="435"/>
      <c r="N363" s="435">
        <v>0</v>
      </c>
      <c r="O363" s="435"/>
      <c r="P363" s="435">
        <f t="shared" si="266"/>
        <v>0</v>
      </c>
      <c r="Q363" s="435"/>
      <c r="R363" s="435"/>
      <c r="S363" s="435"/>
      <c r="T363" s="435">
        <v>0</v>
      </c>
      <c r="U363" s="435"/>
      <c r="V363" s="435">
        <f t="shared" si="267"/>
        <v>0</v>
      </c>
      <c r="Z363" s="435">
        <f t="shared" si="268"/>
        <v>-15750000</v>
      </c>
      <c r="AB363" s="435">
        <f t="shared" si="272"/>
        <v>-15750000</v>
      </c>
    </row>
    <row r="364" spans="2:28" s="417" customFormat="1">
      <c r="E364" s="435"/>
      <c r="F364" s="435"/>
      <c r="G364" s="435"/>
      <c r="H364" s="435"/>
      <c r="I364" s="435"/>
      <c r="J364" s="435"/>
      <c r="K364" s="435"/>
      <c r="L364" s="435"/>
      <c r="M364" s="435"/>
      <c r="N364" s="435"/>
      <c r="O364" s="435"/>
      <c r="P364" s="435"/>
      <c r="Q364" s="435"/>
      <c r="R364" s="435"/>
      <c r="S364" s="435"/>
      <c r="T364" s="435"/>
      <c r="U364" s="435"/>
      <c r="V364" s="435"/>
    </row>
    <row r="365" spans="2:28" s="417" customFormat="1" ht="13.5" thickBot="1">
      <c r="E365" s="458">
        <f>SUM(E342:E363)</f>
        <v>-486708075000</v>
      </c>
      <c r="F365" s="458"/>
      <c r="G365" s="458">
        <f>SUM(G342:G363)</f>
        <v>-486708075000</v>
      </c>
      <c r="H365" s="458">
        <f>SUM(H342:H363)</f>
        <v>-651665345625</v>
      </c>
      <c r="I365" s="458"/>
      <c r="J365" s="458">
        <f>SUM(J342:J363)</f>
        <v>-651665345625</v>
      </c>
      <c r="K365" s="458">
        <f>SUM(K342:K363)</f>
        <v>-23625000</v>
      </c>
      <c r="L365" s="458"/>
      <c r="M365" s="458">
        <f>SUM(M342:M363)</f>
        <v>-23625000</v>
      </c>
      <c r="N365" s="458">
        <f>SUM(N342:N363)</f>
        <v>-4921875000</v>
      </c>
      <c r="O365" s="458"/>
      <c r="P365" s="458">
        <f>SUM(P342:P363)</f>
        <v>-4921875000</v>
      </c>
      <c r="Q365" s="458">
        <f>SUM(Q342:Q363)</f>
        <v>-472500000</v>
      </c>
      <c r="R365" s="458"/>
      <c r="S365" s="458">
        <f>SUM(S342:S363)</f>
        <v>-472500000</v>
      </c>
      <c r="T365" s="458">
        <f>SUM(T342:T363)</f>
        <v>0</v>
      </c>
      <c r="U365" s="458"/>
      <c r="V365" s="458">
        <f>SUM(V342:V363)</f>
        <v>0</v>
      </c>
      <c r="X365" s="458">
        <f>SUM(X342:X363)</f>
        <v>0</v>
      </c>
      <c r="Z365" s="458">
        <f>SUM(Z342:Z363)</f>
        <v>-1143791420625</v>
      </c>
      <c r="AA365" s="458">
        <f>SUM(AA342:AA363)</f>
        <v>657083345625</v>
      </c>
      <c r="AB365" s="458">
        <f>SUM(AB342:AB363)</f>
        <v>-486708075000</v>
      </c>
    </row>
    <row r="366" spans="2:28" s="417" customFormat="1" ht="13.5" thickTop="1">
      <c r="D366" s="445"/>
      <c r="E366" s="443"/>
      <c r="F366" s="443"/>
      <c r="G366" s="443"/>
      <c r="H366" s="443"/>
      <c r="I366" s="443"/>
      <c r="J366" s="443"/>
      <c r="K366" s="443"/>
      <c r="L366" s="443"/>
      <c r="M366" s="443"/>
      <c r="N366" s="443"/>
      <c r="O366" s="443"/>
      <c r="P366" s="443"/>
      <c r="Q366" s="443"/>
      <c r="R366" s="443"/>
      <c r="S366" s="443"/>
      <c r="T366" s="443"/>
      <c r="U366" s="443"/>
      <c r="V366" s="443"/>
      <c r="X366" s="443"/>
      <c r="Z366" s="443"/>
      <c r="AA366" s="443"/>
      <c r="AB366" s="443"/>
    </row>
    <row r="367" spans="2:28" s="417" customFormat="1" ht="13">
      <c r="D367" s="445" t="s">
        <v>435</v>
      </c>
      <c r="E367" s="446">
        <f>'Consol SoFP 23 &amp; 22'!E93</f>
        <v>-486708075000</v>
      </c>
      <c r="F367" s="446"/>
      <c r="G367" s="446">
        <f>'Consol SoFP 23 &amp; 22'!H93</f>
        <v>-486708075000</v>
      </c>
      <c r="H367" s="446">
        <f>'Consol SoFP 23 &amp; 22'!I93</f>
        <v>-651665345625</v>
      </c>
      <c r="I367" s="446">
        <f>'Consol SoFP 23 &amp; 22'!J93</f>
        <v>0</v>
      </c>
      <c r="J367" s="446">
        <f>'Consol SoFP 23 &amp; 22'!K93</f>
        <v>-651665345625</v>
      </c>
      <c r="K367" s="446">
        <f>'Consol SoFP 23 &amp; 22'!L93</f>
        <v>-23625000</v>
      </c>
      <c r="L367" s="446">
        <f>'Consol SoFP 23 &amp; 22'!M93</f>
        <v>0</v>
      </c>
      <c r="M367" s="446">
        <f>'Consol SoFP 23 &amp; 22'!N93</f>
        <v>-23625000</v>
      </c>
      <c r="N367" s="446">
        <f>'Consol SoFP 23 &amp; 22'!O93</f>
        <v>-4921875000</v>
      </c>
      <c r="O367" s="446">
        <f>'Consol SoFP 23 &amp; 22'!P93</f>
        <v>0</v>
      </c>
      <c r="P367" s="446">
        <f>'Consol SoFP 23 &amp; 22'!Q93</f>
        <v>-4921875000</v>
      </c>
      <c r="Q367" s="446">
        <f>'Consol SoFP 23 &amp; 22'!R93</f>
        <v>-472500000</v>
      </c>
      <c r="R367" s="446">
        <f>'Consol SoFP 23 &amp; 22'!S93</f>
        <v>0</v>
      </c>
      <c r="S367" s="446">
        <f>'Consol SoFP 23 &amp; 22'!T93</f>
        <v>-472500000</v>
      </c>
      <c r="T367" s="446">
        <f>'Consol SoFP 23 &amp; 22'!U93</f>
        <v>0</v>
      </c>
      <c r="U367" s="446">
        <f>'Consol SoFP 23 &amp; 22'!V93</f>
        <v>0</v>
      </c>
      <c r="V367" s="446">
        <f>'Consol SoFP 23 &amp; 22'!W93</f>
        <v>0</v>
      </c>
      <c r="X367" s="446">
        <v>0</v>
      </c>
      <c r="Z367" s="446">
        <f>'Consol SoFP 23 &amp; 22'!AB93</f>
        <v>-1143791420625</v>
      </c>
      <c r="AA367" s="446">
        <f>SUM('Consol SoFP 23 &amp; 22'!AC93:AD93)</f>
        <v>657083345625</v>
      </c>
      <c r="AB367" s="446">
        <f>'Consol SoFP 23 &amp; 22'!AE93</f>
        <v>-486708075000</v>
      </c>
    </row>
    <row r="368" spans="2:28" s="417" customFormat="1" ht="13">
      <c r="D368" s="445" t="s">
        <v>111</v>
      </c>
      <c r="E368" s="442">
        <f>E365-E367</f>
        <v>0</v>
      </c>
      <c r="F368" s="442"/>
      <c r="G368" s="442">
        <f>G365-G367</f>
        <v>0</v>
      </c>
      <c r="H368" s="442">
        <f t="shared" ref="H368:V368" si="274">H365-H367</f>
        <v>0</v>
      </c>
      <c r="I368" s="442">
        <f t="shared" si="274"/>
        <v>0</v>
      </c>
      <c r="J368" s="442">
        <f t="shared" si="274"/>
        <v>0</v>
      </c>
      <c r="K368" s="442">
        <f t="shared" si="274"/>
        <v>0</v>
      </c>
      <c r="L368" s="442">
        <f t="shared" si="274"/>
        <v>0</v>
      </c>
      <c r="M368" s="442">
        <f t="shared" si="274"/>
        <v>0</v>
      </c>
      <c r="N368" s="442">
        <f t="shared" si="274"/>
        <v>0</v>
      </c>
      <c r="O368" s="442">
        <f t="shared" si="274"/>
        <v>0</v>
      </c>
      <c r="P368" s="442">
        <f t="shared" si="274"/>
        <v>0</v>
      </c>
      <c r="Q368" s="442">
        <f t="shared" si="274"/>
        <v>0</v>
      </c>
      <c r="R368" s="442">
        <f t="shared" si="274"/>
        <v>0</v>
      </c>
      <c r="S368" s="442">
        <f t="shared" si="274"/>
        <v>0</v>
      </c>
      <c r="T368" s="442">
        <f t="shared" si="274"/>
        <v>0</v>
      </c>
      <c r="U368" s="442">
        <f t="shared" si="274"/>
        <v>0</v>
      </c>
      <c r="V368" s="442">
        <f t="shared" si="274"/>
        <v>0</v>
      </c>
      <c r="X368" s="442">
        <f t="shared" ref="X368" si="275">X365-X367</f>
        <v>0</v>
      </c>
      <c r="Z368" s="442">
        <f t="shared" ref="Z368:AB368" si="276">Z365-Z367</f>
        <v>0</v>
      </c>
      <c r="AA368" s="442">
        <f t="shared" si="276"/>
        <v>0</v>
      </c>
      <c r="AB368" s="442">
        <f t="shared" si="276"/>
        <v>0</v>
      </c>
    </row>
    <row r="369" spans="2:28" s="417" customFormat="1" ht="13">
      <c r="D369" s="445"/>
      <c r="E369" s="443"/>
      <c r="F369" s="443"/>
      <c r="G369" s="443"/>
      <c r="H369" s="443"/>
      <c r="I369" s="443"/>
      <c r="J369" s="443"/>
      <c r="K369" s="443"/>
      <c r="L369" s="443"/>
      <c r="M369" s="443"/>
      <c r="N369" s="443"/>
      <c r="O369" s="443"/>
      <c r="P369" s="443"/>
      <c r="Q369" s="443"/>
      <c r="R369" s="443"/>
      <c r="S369" s="443"/>
      <c r="T369" s="443"/>
      <c r="U369" s="443"/>
      <c r="V369" s="443"/>
      <c r="X369" s="443"/>
      <c r="Z369" s="443"/>
      <c r="AA369" s="443"/>
      <c r="AB369" s="443"/>
    </row>
    <row r="370" spans="2:28" s="417" customFormat="1" ht="13" thickBot="1">
      <c r="B370" s="447"/>
      <c r="C370" s="447"/>
      <c r="D370" s="447"/>
      <c r="E370" s="447"/>
      <c r="F370" s="447"/>
      <c r="G370" s="447"/>
      <c r="H370" s="447"/>
      <c r="I370" s="447"/>
      <c r="J370" s="447"/>
      <c r="K370" s="447"/>
      <c r="L370" s="447"/>
      <c r="M370" s="447"/>
      <c r="N370" s="447"/>
      <c r="O370" s="447"/>
      <c r="P370" s="447"/>
      <c r="Q370" s="447"/>
      <c r="R370" s="447"/>
      <c r="S370" s="447"/>
      <c r="T370" s="447"/>
      <c r="U370" s="447"/>
      <c r="V370" s="447"/>
      <c r="X370" s="447"/>
      <c r="Z370" s="447"/>
      <c r="AA370" s="447"/>
      <c r="AB370" s="447"/>
    </row>
    <row r="371" spans="2:28" s="417" customFormat="1" ht="13">
      <c r="B371" s="414" t="s">
        <v>457</v>
      </c>
    </row>
    <row r="372" spans="2:28" s="417" customFormat="1" ht="13">
      <c r="B372" s="423"/>
      <c r="C372" s="423"/>
      <c r="D372" s="423"/>
      <c r="E372" s="428" t="s">
        <v>426</v>
      </c>
      <c r="F372" s="428" t="s">
        <v>334</v>
      </c>
      <c r="G372" s="428" t="s">
        <v>427</v>
      </c>
      <c r="H372" s="428" t="s">
        <v>426</v>
      </c>
      <c r="I372" s="428" t="s">
        <v>334</v>
      </c>
      <c r="J372" s="428" t="s">
        <v>427</v>
      </c>
      <c r="K372" s="428" t="s">
        <v>426</v>
      </c>
      <c r="L372" s="428" t="s">
        <v>334</v>
      </c>
      <c r="M372" s="428" t="s">
        <v>427</v>
      </c>
      <c r="N372" s="428" t="s">
        <v>426</v>
      </c>
      <c r="O372" s="428" t="s">
        <v>334</v>
      </c>
      <c r="P372" s="428" t="s">
        <v>427</v>
      </c>
      <c r="Q372" s="428" t="s">
        <v>426</v>
      </c>
      <c r="R372" s="428" t="s">
        <v>334</v>
      </c>
      <c r="S372" s="428" t="s">
        <v>427</v>
      </c>
      <c r="T372" s="428" t="s">
        <v>426</v>
      </c>
      <c r="U372" s="428" t="s">
        <v>334</v>
      </c>
      <c r="V372" s="428" t="s">
        <v>427</v>
      </c>
      <c r="W372" s="423"/>
      <c r="X372" s="428" t="s">
        <v>428</v>
      </c>
      <c r="Y372" s="423"/>
      <c r="Z372" s="428" t="s">
        <v>11</v>
      </c>
      <c r="AA372" s="428" t="s">
        <v>429</v>
      </c>
      <c r="AB372" s="428" t="s">
        <v>13</v>
      </c>
    </row>
    <row r="373" spans="2:28" s="417" customFormat="1" ht="13">
      <c r="B373" s="423"/>
      <c r="C373" s="423"/>
      <c r="D373" s="423"/>
      <c r="E373" s="429">
        <v>45291</v>
      </c>
      <c r="F373" s="429"/>
      <c r="G373" s="429">
        <v>45291</v>
      </c>
      <c r="H373" s="429">
        <v>45291</v>
      </c>
      <c r="I373" s="429"/>
      <c r="J373" s="429">
        <v>45291</v>
      </c>
      <c r="K373" s="429">
        <v>45291</v>
      </c>
      <c r="L373" s="429"/>
      <c r="M373" s="429">
        <v>45291</v>
      </c>
      <c r="N373" s="429">
        <v>45291</v>
      </c>
      <c r="O373" s="429"/>
      <c r="P373" s="429">
        <v>45291</v>
      </c>
      <c r="Q373" s="429">
        <v>45291</v>
      </c>
      <c r="R373" s="429"/>
      <c r="S373" s="429">
        <v>45291</v>
      </c>
      <c r="T373" s="429">
        <v>45291</v>
      </c>
      <c r="U373" s="429"/>
      <c r="V373" s="429">
        <v>45291</v>
      </c>
      <c r="W373" s="423"/>
      <c r="X373" s="429">
        <v>45291</v>
      </c>
      <c r="Y373" s="423"/>
      <c r="Z373" s="429" t="s">
        <v>455</v>
      </c>
      <c r="AA373" s="429">
        <v>45291</v>
      </c>
      <c r="AB373" s="429">
        <v>45291</v>
      </c>
    </row>
    <row r="374" spans="2:28" s="423" customFormat="1" ht="13" customHeight="1">
      <c r="C374" s="430"/>
      <c r="E374" s="431"/>
      <c r="F374" s="431"/>
      <c r="G374" s="431"/>
      <c r="H374" s="431"/>
      <c r="I374" s="431"/>
      <c r="J374" s="431"/>
      <c r="K374" s="431"/>
      <c r="L374" s="431"/>
      <c r="M374" s="431"/>
      <c r="N374" s="431"/>
      <c r="O374" s="431"/>
      <c r="P374" s="431"/>
      <c r="Q374" s="431"/>
      <c r="R374" s="431"/>
      <c r="S374" s="431"/>
      <c r="T374" s="431"/>
      <c r="U374" s="431"/>
      <c r="V374" s="431"/>
      <c r="X374" s="432"/>
      <c r="Z374" s="432"/>
      <c r="AA374" s="432"/>
      <c r="AB374" s="432"/>
    </row>
    <row r="375" spans="2:28" s="423" customFormat="1">
      <c r="C375" s="423" t="s">
        <v>543</v>
      </c>
      <c r="D375" s="434"/>
      <c r="E375" s="435">
        <v>0</v>
      </c>
      <c r="F375" s="435"/>
      <c r="G375" s="435">
        <f t="shared" ref="G375:G385" si="277">SUM(E375:F375)</f>
        <v>0</v>
      </c>
      <c r="H375" s="435">
        <v>0</v>
      </c>
      <c r="I375" s="435"/>
      <c r="J375" s="435">
        <f t="shared" ref="J375" si="278">SUM(H375:I375)</f>
        <v>0</v>
      </c>
      <c r="K375" s="435">
        <v>0</v>
      </c>
      <c r="L375" s="435"/>
      <c r="M375" s="435">
        <f t="shared" ref="M375" si="279">SUM(K375:L375)</f>
        <v>0</v>
      </c>
      <c r="N375" s="457">
        <v>0</v>
      </c>
      <c r="O375" s="435"/>
      <c r="P375" s="435">
        <f t="shared" ref="P375" si="280">SUM(N375:O375)</f>
        <v>0</v>
      </c>
      <c r="Q375" s="435">
        <v>0</v>
      </c>
      <c r="R375" s="435"/>
      <c r="S375" s="435">
        <f t="shared" ref="S375:S385" si="281">SUM(Q375:R375)</f>
        <v>0</v>
      </c>
      <c r="T375" s="457">
        <v>0</v>
      </c>
      <c r="U375" s="435"/>
      <c r="V375" s="435">
        <f t="shared" ref="V375:V385" si="282">SUM(T375:U375)</f>
        <v>0</v>
      </c>
      <c r="X375" s="457"/>
      <c r="Z375" s="457">
        <f t="shared" ref="Z375:Z381" si="283">SUM(G375,S375,V375)</f>
        <v>0</v>
      </c>
      <c r="AA375" s="457">
        <f>-Z375</f>
        <v>0</v>
      </c>
      <c r="AB375" s="457">
        <f>SUM(Z375:AA375)</f>
        <v>0</v>
      </c>
    </row>
    <row r="376" spans="2:28" s="423" customFormat="1">
      <c r="D376" s="423" t="s">
        <v>546</v>
      </c>
      <c r="E376" s="435">
        <v>0</v>
      </c>
      <c r="F376" s="435"/>
      <c r="G376" s="435">
        <f t="shared" si="277"/>
        <v>0</v>
      </c>
      <c r="H376" s="435">
        <v>0</v>
      </c>
      <c r="I376" s="435"/>
      <c r="J376" s="435">
        <f t="shared" ref="J376:J381" si="284">SUM(H376:I376)</f>
        <v>0</v>
      </c>
      <c r="K376" s="435">
        <v>0</v>
      </c>
      <c r="L376" s="435"/>
      <c r="M376" s="435">
        <f t="shared" ref="M376:M381" si="285">SUM(K376:L376)</f>
        <v>0</v>
      </c>
      <c r="N376" s="457">
        <v>0</v>
      </c>
      <c r="O376" s="435"/>
      <c r="P376" s="435">
        <f t="shared" ref="P376:P381" si="286">SUM(N376:O376)</f>
        <v>0</v>
      </c>
      <c r="Q376" s="435">
        <v>0</v>
      </c>
      <c r="R376" s="435"/>
      <c r="S376" s="435">
        <f t="shared" si="281"/>
        <v>0</v>
      </c>
      <c r="T376" s="457">
        <v>0</v>
      </c>
      <c r="U376" s="435"/>
      <c r="V376" s="435">
        <f t="shared" si="282"/>
        <v>0</v>
      </c>
      <c r="X376" s="457"/>
      <c r="Z376" s="457">
        <f t="shared" si="283"/>
        <v>0</v>
      </c>
      <c r="AA376" s="457"/>
      <c r="AB376" s="457">
        <f t="shared" ref="AB376:AB394" si="287">SUM(Z376:AA376)</f>
        <v>0</v>
      </c>
    </row>
    <row r="377" spans="2:28" s="423" customFormat="1">
      <c r="D377" s="423" t="s">
        <v>552</v>
      </c>
      <c r="E377" s="435">
        <v>0</v>
      </c>
      <c r="F377" s="435"/>
      <c r="G377" s="435">
        <f t="shared" si="277"/>
        <v>0</v>
      </c>
      <c r="H377" s="435">
        <v>0</v>
      </c>
      <c r="I377" s="435"/>
      <c r="J377" s="435">
        <f t="shared" si="284"/>
        <v>0</v>
      </c>
      <c r="K377" s="435">
        <v>0</v>
      </c>
      <c r="L377" s="435"/>
      <c r="M377" s="435">
        <f t="shared" si="285"/>
        <v>0</v>
      </c>
      <c r="N377" s="457">
        <v>0</v>
      </c>
      <c r="O377" s="435"/>
      <c r="P377" s="435">
        <f t="shared" si="286"/>
        <v>0</v>
      </c>
      <c r="Q377" s="435">
        <v>0</v>
      </c>
      <c r="R377" s="435"/>
      <c r="S377" s="435">
        <f t="shared" si="281"/>
        <v>0</v>
      </c>
      <c r="T377" s="457">
        <v>0</v>
      </c>
      <c r="U377" s="435"/>
      <c r="V377" s="435">
        <f t="shared" si="282"/>
        <v>0</v>
      </c>
      <c r="X377" s="457"/>
      <c r="Z377" s="457">
        <f t="shared" si="283"/>
        <v>0</v>
      </c>
      <c r="AA377" s="457">
        <f t="shared" ref="AA377" si="288">-Z377</f>
        <v>0</v>
      </c>
      <c r="AB377" s="457">
        <f t="shared" si="287"/>
        <v>0</v>
      </c>
    </row>
    <row r="378" spans="2:28" s="417" customFormat="1">
      <c r="B378" s="423"/>
      <c r="C378" s="423"/>
      <c r="D378" s="423" t="s">
        <v>547</v>
      </c>
      <c r="E378" s="435">
        <v>0</v>
      </c>
      <c r="F378" s="435"/>
      <c r="G378" s="435">
        <f t="shared" si="277"/>
        <v>0</v>
      </c>
      <c r="H378" s="435">
        <v>0</v>
      </c>
      <c r="I378" s="435"/>
      <c r="J378" s="435">
        <f t="shared" si="284"/>
        <v>0</v>
      </c>
      <c r="K378" s="435">
        <v>0</v>
      </c>
      <c r="L378" s="435"/>
      <c r="M378" s="435">
        <f t="shared" si="285"/>
        <v>0</v>
      </c>
      <c r="N378" s="457">
        <v>0</v>
      </c>
      <c r="O378" s="435"/>
      <c r="P378" s="435">
        <f t="shared" si="286"/>
        <v>0</v>
      </c>
      <c r="Q378" s="435">
        <v>0</v>
      </c>
      <c r="R378" s="435"/>
      <c r="S378" s="435">
        <f t="shared" si="281"/>
        <v>0</v>
      </c>
      <c r="T378" s="457">
        <v>0</v>
      </c>
      <c r="U378" s="435"/>
      <c r="V378" s="435">
        <f t="shared" si="282"/>
        <v>0</v>
      </c>
      <c r="Z378" s="457">
        <f t="shared" si="283"/>
        <v>0</v>
      </c>
      <c r="AB378" s="457">
        <f t="shared" si="287"/>
        <v>0</v>
      </c>
    </row>
    <row r="379" spans="2:28" s="417" customFormat="1">
      <c r="B379" s="423"/>
      <c r="C379" s="423"/>
      <c r="D379" s="423" t="s">
        <v>554</v>
      </c>
      <c r="E379" s="435">
        <v>0</v>
      </c>
      <c r="F379" s="435"/>
      <c r="G379" s="435">
        <f t="shared" si="277"/>
        <v>0</v>
      </c>
      <c r="H379" s="435">
        <v>0</v>
      </c>
      <c r="I379" s="435"/>
      <c r="J379" s="435">
        <f t="shared" si="284"/>
        <v>0</v>
      </c>
      <c r="K379" s="435">
        <v>0</v>
      </c>
      <c r="L379" s="435"/>
      <c r="M379" s="435">
        <f t="shared" si="285"/>
        <v>0</v>
      </c>
      <c r="N379" s="457">
        <v>0</v>
      </c>
      <c r="O379" s="435"/>
      <c r="P379" s="435">
        <f t="shared" si="286"/>
        <v>0</v>
      </c>
      <c r="Q379" s="435">
        <v>0</v>
      </c>
      <c r="R379" s="435"/>
      <c r="S379" s="435">
        <f t="shared" si="281"/>
        <v>0</v>
      </c>
      <c r="T379" s="457">
        <v>0</v>
      </c>
      <c r="U379" s="435"/>
      <c r="V379" s="435">
        <f t="shared" si="282"/>
        <v>0</v>
      </c>
      <c r="Z379" s="457">
        <f t="shared" si="283"/>
        <v>0</v>
      </c>
      <c r="AB379" s="457">
        <f t="shared" si="287"/>
        <v>0</v>
      </c>
    </row>
    <row r="380" spans="2:28" s="417" customFormat="1">
      <c r="B380" s="423"/>
      <c r="C380" s="423"/>
      <c r="D380" s="423" t="s">
        <v>545</v>
      </c>
      <c r="E380" s="435">
        <v>0</v>
      </c>
      <c r="F380" s="435"/>
      <c r="G380" s="435">
        <f t="shared" si="277"/>
        <v>0</v>
      </c>
      <c r="H380" s="435">
        <v>0</v>
      </c>
      <c r="I380" s="435"/>
      <c r="J380" s="435">
        <f t="shared" si="284"/>
        <v>0</v>
      </c>
      <c r="K380" s="435">
        <v>0</v>
      </c>
      <c r="L380" s="435"/>
      <c r="M380" s="435">
        <f t="shared" si="285"/>
        <v>0</v>
      </c>
      <c r="N380" s="457">
        <v>0</v>
      </c>
      <c r="O380" s="435"/>
      <c r="P380" s="435">
        <f t="shared" si="286"/>
        <v>0</v>
      </c>
      <c r="Q380" s="435">
        <v>0</v>
      </c>
      <c r="R380" s="435"/>
      <c r="S380" s="435">
        <f t="shared" si="281"/>
        <v>0</v>
      </c>
      <c r="T380" s="457">
        <v>0</v>
      </c>
      <c r="U380" s="435"/>
      <c r="V380" s="435">
        <f t="shared" si="282"/>
        <v>0</v>
      </c>
      <c r="Z380" s="457">
        <f t="shared" si="283"/>
        <v>0</v>
      </c>
      <c r="AB380" s="457">
        <f t="shared" si="287"/>
        <v>0</v>
      </c>
    </row>
    <row r="381" spans="2:28" s="417" customFormat="1">
      <c r="B381" s="423"/>
      <c r="C381" s="423"/>
      <c r="D381" s="434" t="s">
        <v>544</v>
      </c>
      <c r="E381" s="435">
        <v>0</v>
      </c>
      <c r="F381" s="435"/>
      <c r="G381" s="435">
        <f t="shared" si="277"/>
        <v>0</v>
      </c>
      <c r="H381" s="435">
        <v>0</v>
      </c>
      <c r="I381" s="435"/>
      <c r="J381" s="435">
        <f t="shared" si="284"/>
        <v>0</v>
      </c>
      <c r="K381" s="435">
        <v>0</v>
      </c>
      <c r="L381" s="435"/>
      <c r="M381" s="435">
        <f t="shared" si="285"/>
        <v>0</v>
      </c>
      <c r="N381" s="457">
        <v>0</v>
      </c>
      <c r="O381" s="435"/>
      <c r="P381" s="435">
        <f t="shared" si="286"/>
        <v>0</v>
      </c>
      <c r="Q381" s="435">
        <v>0</v>
      </c>
      <c r="R381" s="435"/>
      <c r="S381" s="435">
        <f t="shared" si="281"/>
        <v>0</v>
      </c>
      <c r="T381" s="457">
        <v>0</v>
      </c>
      <c r="U381" s="435"/>
      <c r="V381" s="435">
        <f t="shared" si="282"/>
        <v>0</v>
      </c>
      <c r="Z381" s="457">
        <f t="shared" si="283"/>
        <v>0</v>
      </c>
      <c r="AB381" s="457">
        <f t="shared" si="287"/>
        <v>0</v>
      </c>
    </row>
    <row r="382" spans="2:28" s="417" customFormat="1">
      <c r="B382" s="423"/>
      <c r="C382" s="438" t="s">
        <v>532</v>
      </c>
      <c r="D382" s="439"/>
      <c r="E382" s="435"/>
      <c r="F382" s="435"/>
      <c r="G382" s="435"/>
      <c r="H382" s="435"/>
      <c r="I382" s="435"/>
      <c r="J382" s="435"/>
      <c r="K382" s="435"/>
      <c r="L382" s="435"/>
      <c r="M382" s="435"/>
      <c r="N382" s="457"/>
      <c r="O382" s="435"/>
      <c r="P382" s="435"/>
      <c r="Q382" s="435"/>
      <c r="R382" s="435"/>
      <c r="S382" s="435"/>
      <c r="T382" s="457"/>
      <c r="U382" s="435"/>
      <c r="V382" s="435"/>
      <c r="Z382" s="457"/>
      <c r="AB382" s="457"/>
    </row>
    <row r="383" spans="2:28" s="417" customFormat="1">
      <c r="B383" s="423"/>
      <c r="C383" s="423"/>
      <c r="D383" s="423" t="s">
        <v>550</v>
      </c>
      <c r="E383" s="435">
        <v>0</v>
      </c>
      <c r="F383" s="435"/>
      <c r="G383" s="435">
        <f t="shared" si="277"/>
        <v>0</v>
      </c>
      <c r="H383" s="435">
        <v>0</v>
      </c>
      <c r="I383" s="435"/>
      <c r="J383" s="435">
        <f t="shared" ref="J383:J385" si="289">SUM(H383:I383)</f>
        <v>0</v>
      </c>
      <c r="K383" s="435">
        <v>0</v>
      </c>
      <c r="L383" s="435"/>
      <c r="M383" s="435">
        <f t="shared" ref="M383:M385" si="290">SUM(K383:L383)</f>
        <v>0</v>
      </c>
      <c r="N383" s="457">
        <v>0</v>
      </c>
      <c r="O383" s="435"/>
      <c r="P383" s="435">
        <f t="shared" ref="P383:P385" si="291">SUM(N383:O383)</f>
        <v>0</v>
      </c>
      <c r="Q383" s="435">
        <v>0</v>
      </c>
      <c r="R383" s="435"/>
      <c r="S383" s="435">
        <f t="shared" si="281"/>
        <v>0</v>
      </c>
      <c r="T383" s="457">
        <v>0</v>
      </c>
      <c r="U383" s="435"/>
      <c r="V383" s="435">
        <f t="shared" si="282"/>
        <v>0</v>
      </c>
      <c r="Z383" s="457">
        <f t="shared" ref="Z383:Z388" si="292">SUM(G383,S383,V383)</f>
        <v>0</v>
      </c>
      <c r="AB383" s="457">
        <f t="shared" si="287"/>
        <v>0</v>
      </c>
    </row>
    <row r="384" spans="2:28" s="417" customFormat="1">
      <c r="B384" s="423"/>
      <c r="C384" s="423"/>
      <c r="D384" s="423" t="s">
        <v>551</v>
      </c>
      <c r="E384" s="435">
        <v>0</v>
      </c>
      <c r="F384" s="435"/>
      <c r="G384" s="435">
        <f t="shared" si="277"/>
        <v>0</v>
      </c>
      <c r="H384" s="435">
        <v>0</v>
      </c>
      <c r="I384" s="435"/>
      <c r="J384" s="435">
        <f t="shared" si="289"/>
        <v>0</v>
      </c>
      <c r="K384" s="435">
        <v>0</v>
      </c>
      <c r="L384" s="435"/>
      <c r="M384" s="435">
        <f t="shared" si="290"/>
        <v>0</v>
      </c>
      <c r="N384" s="457">
        <v>0</v>
      </c>
      <c r="O384" s="435"/>
      <c r="P384" s="435">
        <f t="shared" si="291"/>
        <v>0</v>
      </c>
      <c r="Q384" s="435">
        <v>0</v>
      </c>
      <c r="R384" s="435"/>
      <c r="S384" s="435">
        <f t="shared" si="281"/>
        <v>0</v>
      </c>
      <c r="T384" s="457">
        <v>0</v>
      </c>
      <c r="U384" s="435"/>
      <c r="V384" s="435">
        <f t="shared" si="282"/>
        <v>0</v>
      </c>
      <c r="Z384" s="457">
        <f t="shared" si="292"/>
        <v>0</v>
      </c>
      <c r="AB384" s="457">
        <f t="shared" si="287"/>
        <v>0</v>
      </c>
    </row>
    <row r="385" spans="2:28" s="417" customFormat="1">
      <c r="B385" s="423"/>
      <c r="C385" s="423"/>
      <c r="D385" s="423" t="s">
        <v>556</v>
      </c>
      <c r="E385" s="435">
        <v>0</v>
      </c>
      <c r="F385" s="435"/>
      <c r="G385" s="435">
        <f t="shared" si="277"/>
        <v>0</v>
      </c>
      <c r="H385" s="435">
        <v>0</v>
      </c>
      <c r="I385" s="435"/>
      <c r="J385" s="435">
        <f t="shared" si="289"/>
        <v>0</v>
      </c>
      <c r="K385" s="435">
        <v>0</v>
      </c>
      <c r="L385" s="435"/>
      <c r="M385" s="435">
        <f t="shared" si="290"/>
        <v>0</v>
      </c>
      <c r="N385" s="457">
        <v>0</v>
      </c>
      <c r="O385" s="435"/>
      <c r="P385" s="435">
        <f t="shared" si="291"/>
        <v>0</v>
      </c>
      <c r="Q385" s="435">
        <v>0</v>
      </c>
      <c r="R385" s="435"/>
      <c r="S385" s="435">
        <f t="shared" si="281"/>
        <v>0</v>
      </c>
      <c r="T385" s="457">
        <v>0</v>
      </c>
      <c r="U385" s="435"/>
      <c r="V385" s="435">
        <f t="shared" si="282"/>
        <v>0</v>
      </c>
      <c r="Z385" s="457">
        <f t="shared" si="292"/>
        <v>0</v>
      </c>
      <c r="AB385" s="457">
        <f t="shared" si="287"/>
        <v>0</v>
      </c>
    </row>
    <row r="386" spans="2:28" s="417" customFormat="1">
      <c r="E386" s="506"/>
      <c r="F386" s="506"/>
      <c r="G386" s="506"/>
      <c r="H386" s="506"/>
      <c r="I386" s="506"/>
      <c r="J386" s="506"/>
      <c r="K386" s="506"/>
      <c r="L386" s="506"/>
      <c r="M386" s="506"/>
      <c r="N386" s="457"/>
      <c r="O386" s="506"/>
      <c r="P386" s="506"/>
      <c r="Q386" s="506"/>
      <c r="R386" s="506"/>
      <c r="S386" s="506"/>
      <c r="T386" s="457"/>
      <c r="U386" s="506"/>
      <c r="V386" s="506"/>
      <c r="Z386" s="457">
        <f t="shared" si="292"/>
        <v>0</v>
      </c>
      <c r="AB386" s="457">
        <f t="shared" si="287"/>
        <v>0</v>
      </c>
    </row>
    <row r="387" spans="2:28" s="417" customFormat="1">
      <c r="E387" s="435"/>
      <c r="F387" s="435"/>
      <c r="G387" s="435"/>
      <c r="H387" s="435"/>
      <c r="I387" s="435"/>
      <c r="J387" s="435"/>
      <c r="K387" s="435"/>
      <c r="L387" s="435"/>
      <c r="M387" s="435"/>
      <c r="N387" s="457"/>
      <c r="O387" s="435"/>
      <c r="P387" s="435"/>
      <c r="Q387" s="435"/>
      <c r="R387" s="435"/>
      <c r="S387" s="435"/>
      <c r="T387" s="457"/>
      <c r="U387" s="435"/>
      <c r="V387" s="435"/>
      <c r="Z387" s="457">
        <f t="shared" si="292"/>
        <v>0</v>
      </c>
      <c r="AB387" s="457">
        <f t="shared" si="287"/>
        <v>0</v>
      </c>
    </row>
    <row r="388" spans="2:28" s="417" customFormat="1">
      <c r="B388" s="416" t="s">
        <v>451</v>
      </c>
      <c r="E388" s="435"/>
      <c r="F388" s="435"/>
      <c r="G388" s="435"/>
      <c r="H388" s="435"/>
      <c r="I388" s="435"/>
      <c r="J388" s="435"/>
      <c r="K388" s="435"/>
      <c r="L388" s="435"/>
      <c r="M388" s="435"/>
      <c r="N388" s="457"/>
      <c r="O388" s="435"/>
      <c r="P388" s="435"/>
      <c r="Q388" s="435"/>
      <c r="R388" s="435"/>
      <c r="S388" s="435"/>
      <c r="T388" s="457"/>
      <c r="U388" s="435"/>
      <c r="V388" s="435"/>
      <c r="Z388" s="457">
        <f t="shared" si="292"/>
        <v>0</v>
      </c>
      <c r="AB388" s="457">
        <f t="shared" si="287"/>
        <v>0</v>
      </c>
    </row>
    <row r="389" spans="2:28" s="417" customFormat="1">
      <c r="D389" s="417" t="s">
        <v>555</v>
      </c>
      <c r="E389" s="435"/>
      <c r="F389" s="435"/>
      <c r="G389" s="435"/>
      <c r="H389" s="435"/>
      <c r="I389" s="435"/>
      <c r="J389" s="435"/>
      <c r="K389" s="435"/>
      <c r="L389" s="435"/>
      <c r="M389" s="435"/>
      <c r="N389" s="457">
        <v>0</v>
      </c>
      <c r="O389" s="435"/>
      <c r="P389" s="435">
        <f t="shared" ref="P389:P394" si="293">SUM(N389:O389)</f>
        <v>0</v>
      </c>
      <c r="Q389" s="435"/>
      <c r="R389" s="435"/>
      <c r="S389" s="435"/>
      <c r="T389" s="457">
        <v>0</v>
      </c>
      <c r="U389" s="435"/>
      <c r="V389" s="435">
        <f t="shared" ref="V389:V394" si="294">SUM(T389:U389)</f>
        <v>0</v>
      </c>
      <c r="Z389" s="435">
        <f t="shared" ref="Z389:Z394" si="295">SUM(G389,J389,M389,P389,S389,V389)</f>
        <v>0</v>
      </c>
      <c r="AB389" s="457">
        <f t="shared" si="287"/>
        <v>0</v>
      </c>
    </row>
    <row r="390" spans="2:28" s="417" customFormat="1">
      <c r="D390" s="417" t="s">
        <v>602</v>
      </c>
      <c r="E390" s="435"/>
      <c r="F390" s="435"/>
      <c r="G390" s="435"/>
      <c r="H390" s="435"/>
      <c r="I390" s="435"/>
      <c r="J390" s="435"/>
      <c r="K390" s="435"/>
      <c r="L390" s="435"/>
      <c r="M390" s="435"/>
      <c r="N390" s="457">
        <v>0</v>
      </c>
      <c r="O390" s="435"/>
      <c r="P390" s="435">
        <f t="shared" si="293"/>
        <v>0</v>
      </c>
      <c r="Q390" s="435"/>
      <c r="R390" s="435"/>
      <c r="S390" s="435"/>
      <c r="T390" s="457">
        <v>0</v>
      </c>
      <c r="U390" s="435"/>
      <c r="V390" s="435">
        <f t="shared" si="294"/>
        <v>0</v>
      </c>
      <c r="Z390" s="435">
        <f t="shared" si="295"/>
        <v>0</v>
      </c>
      <c r="AB390" s="457">
        <f t="shared" si="287"/>
        <v>0</v>
      </c>
    </row>
    <row r="391" spans="2:28" s="417" customFormat="1">
      <c r="D391" s="417" t="s">
        <v>603</v>
      </c>
      <c r="E391" s="435"/>
      <c r="F391" s="435"/>
      <c r="G391" s="435"/>
      <c r="H391" s="435"/>
      <c r="I391" s="435"/>
      <c r="J391" s="435"/>
      <c r="K391" s="435"/>
      <c r="L391" s="435"/>
      <c r="M391" s="435"/>
      <c r="N391" s="457">
        <v>0</v>
      </c>
      <c r="O391" s="435"/>
      <c r="P391" s="435">
        <f t="shared" si="293"/>
        <v>0</v>
      </c>
      <c r="Q391" s="435"/>
      <c r="R391" s="435"/>
      <c r="S391" s="435"/>
      <c r="T391" s="457">
        <v>0</v>
      </c>
      <c r="U391" s="435"/>
      <c r="V391" s="435">
        <f t="shared" si="294"/>
        <v>0</v>
      </c>
      <c r="Z391" s="435">
        <f t="shared" si="295"/>
        <v>0</v>
      </c>
      <c r="AB391" s="457">
        <f t="shared" si="287"/>
        <v>0</v>
      </c>
    </row>
    <row r="392" spans="2:28" s="417" customFormat="1">
      <c r="D392" s="417" t="s">
        <v>604</v>
      </c>
      <c r="E392" s="435"/>
      <c r="F392" s="435"/>
      <c r="G392" s="435">
        <f t="shared" ref="G392:G394" si="296">SUM(E392:F392)</f>
        <v>0</v>
      </c>
      <c r="H392" s="435"/>
      <c r="I392" s="435"/>
      <c r="J392" s="435"/>
      <c r="K392" s="435"/>
      <c r="L392" s="435"/>
      <c r="M392" s="435"/>
      <c r="N392" s="457">
        <v>0</v>
      </c>
      <c r="O392" s="435"/>
      <c r="P392" s="435">
        <f t="shared" si="293"/>
        <v>0</v>
      </c>
      <c r="Q392" s="435"/>
      <c r="R392" s="435"/>
      <c r="S392" s="435"/>
      <c r="T392" s="457">
        <v>0</v>
      </c>
      <c r="U392" s="435"/>
      <c r="V392" s="435">
        <f t="shared" si="294"/>
        <v>0</v>
      </c>
      <c r="Z392" s="435">
        <f t="shared" si="295"/>
        <v>0</v>
      </c>
      <c r="AB392" s="457">
        <f t="shared" si="287"/>
        <v>0</v>
      </c>
    </row>
    <row r="393" spans="2:28" s="417" customFormat="1">
      <c r="D393" s="417" t="s">
        <v>599</v>
      </c>
      <c r="E393" s="435">
        <f>-637000412599*1.575</f>
        <v>-1003275649843.4249</v>
      </c>
      <c r="F393" s="435">
        <v>0</v>
      </c>
      <c r="G393" s="435">
        <f t="shared" si="296"/>
        <v>-1003275649843.4249</v>
      </c>
      <c r="H393" s="435"/>
      <c r="I393" s="435"/>
      <c r="J393" s="435"/>
      <c r="K393" s="435"/>
      <c r="L393" s="435"/>
      <c r="M393" s="435"/>
      <c r="N393" s="457">
        <v>0</v>
      </c>
      <c r="O393" s="435"/>
      <c r="P393" s="435">
        <f t="shared" si="293"/>
        <v>0</v>
      </c>
      <c r="Q393" s="435"/>
      <c r="R393" s="435"/>
      <c r="S393" s="435"/>
      <c r="T393" s="457">
        <v>0</v>
      </c>
      <c r="U393" s="435"/>
      <c r="V393" s="435">
        <f t="shared" si="294"/>
        <v>0</v>
      </c>
      <c r="Z393" s="435">
        <f t="shared" si="295"/>
        <v>-1003275649843.4249</v>
      </c>
      <c r="AB393" s="457">
        <f t="shared" si="287"/>
        <v>-1003275649843.4249</v>
      </c>
    </row>
    <row r="394" spans="2:28" s="417" customFormat="1">
      <c r="D394" s="417" t="s">
        <v>606</v>
      </c>
      <c r="E394" s="435">
        <v>0</v>
      </c>
      <c r="F394" s="435"/>
      <c r="G394" s="435">
        <f t="shared" si="296"/>
        <v>0</v>
      </c>
      <c r="H394" s="435"/>
      <c r="I394" s="435"/>
      <c r="J394" s="435"/>
      <c r="K394" s="435"/>
      <c r="L394" s="435"/>
      <c r="M394" s="435"/>
      <c r="N394" s="457">
        <v>0</v>
      </c>
      <c r="O394" s="435"/>
      <c r="P394" s="435">
        <f t="shared" si="293"/>
        <v>0</v>
      </c>
      <c r="Q394" s="435"/>
      <c r="R394" s="435"/>
      <c r="S394" s="435"/>
      <c r="T394" s="457">
        <v>0</v>
      </c>
      <c r="U394" s="435"/>
      <c r="V394" s="435">
        <f t="shared" si="294"/>
        <v>0</v>
      </c>
      <c r="Z394" s="435">
        <f t="shared" si="295"/>
        <v>0</v>
      </c>
      <c r="AB394" s="457">
        <f t="shared" si="287"/>
        <v>0</v>
      </c>
    </row>
    <row r="395" spans="2:28" s="417" customFormat="1">
      <c r="E395" s="435"/>
      <c r="F395" s="435"/>
      <c r="G395" s="435"/>
      <c r="H395" s="435"/>
      <c r="I395" s="435"/>
      <c r="J395" s="435"/>
      <c r="K395" s="435"/>
      <c r="L395" s="435"/>
      <c r="M395" s="435"/>
      <c r="N395" s="435"/>
      <c r="O395" s="435"/>
      <c r="P395" s="435"/>
      <c r="Q395" s="435"/>
      <c r="R395" s="435"/>
      <c r="S395" s="435"/>
      <c r="T395" s="435"/>
      <c r="U395" s="435"/>
      <c r="V395" s="435"/>
    </row>
    <row r="396" spans="2:28" s="417" customFormat="1" ht="13.5" thickBot="1">
      <c r="E396" s="458">
        <f>SUM(E375:E394)</f>
        <v>-1003275649843.4249</v>
      </c>
      <c r="F396" s="458"/>
      <c r="G396" s="458">
        <f>SUM(G375:G394)</f>
        <v>-1003275649843.4249</v>
      </c>
      <c r="H396" s="458">
        <f>SUM(H375:H394)</f>
        <v>0</v>
      </c>
      <c r="I396" s="458"/>
      <c r="J396" s="458">
        <f>SUM(J375:J394)</f>
        <v>0</v>
      </c>
      <c r="K396" s="458">
        <f>SUM(K375:K394)</f>
        <v>0</v>
      </c>
      <c r="L396" s="458"/>
      <c r="M396" s="458">
        <f>SUM(M375:M394)</f>
        <v>0</v>
      </c>
      <c r="N396" s="458">
        <f>SUM(N375:N394)</f>
        <v>0</v>
      </c>
      <c r="O396" s="458"/>
      <c r="P396" s="458">
        <f>SUM(P375:P394)</f>
        <v>0</v>
      </c>
      <c r="Q396" s="458">
        <f>SUM(Q375:Q394)</f>
        <v>0</v>
      </c>
      <c r="R396" s="458"/>
      <c r="S396" s="458">
        <f>SUM(S375:S394)</f>
        <v>0</v>
      </c>
      <c r="T396" s="458">
        <f>SUM(T375:T394)</f>
        <v>0</v>
      </c>
      <c r="U396" s="458"/>
      <c r="V396" s="458">
        <f>SUM(V375:V394)</f>
        <v>0</v>
      </c>
      <c r="X396" s="458">
        <f>SUM(X375:X394)</f>
        <v>0</v>
      </c>
      <c r="Z396" s="458">
        <f>SUM(Z375:Z394)</f>
        <v>-1003275649843.4249</v>
      </c>
      <c r="AA396" s="458">
        <f>SUM(AA375:AA394)</f>
        <v>0</v>
      </c>
      <c r="AB396" s="458">
        <f>SUM(AB375:AB394)</f>
        <v>-1003275649843.4249</v>
      </c>
    </row>
    <row r="397" spans="2:28" s="417" customFormat="1" ht="13.5" thickTop="1">
      <c r="D397" s="445"/>
      <c r="E397" s="443"/>
      <c r="F397" s="443"/>
      <c r="G397" s="443"/>
      <c r="H397" s="443"/>
      <c r="I397" s="443"/>
      <c r="J397" s="443"/>
      <c r="K397" s="443"/>
      <c r="L397" s="443"/>
      <c r="M397" s="443"/>
      <c r="N397" s="443"/>
      <c r="O397" s="443"/>
      <c r="P397" s="443"/>
      <c r="Q397" s="443"/>
      <c r="R397" s="443"/>
      <c r="S397" s="443"/>
      <c r="T397" s="443"/>
      <c r="U397" s="443"/>
      <c r="V397" s="443"/>
      <c r="X397" s="443"/>
      <c r="Z397" s="443"/>
      <c r="AA397" s="443"/>
      <c r="AB397" s="443"/>
    </row>
    <row r="398" spans="2:28" s="417" customFormat="1" ht="13">
      <c r="D398" s="445" t="s">
        <v>435</v>
      </c>
      <c r="E398" s="446">
        <f>'Consol SoFP 23 &amp; 22'!E94</f>
        <v>-1003275649843.4249</v>
      </c>
      <c r="F398" s="446">
        <f>'Consol SoFP 23 &amp; 22'!G94</f>
        <v>0</v>
      </c>
      <c r="G398" s="446">
        <f>'Consol SoFP 23 &amp; 22'!H94</f>
        <v>-1003275649843.4249</v>
      </c>
      <c r="H398" s="446">
        <f>'Consol SoFP 23 &amp; 22'!I94</f>
        <v>0</v>
      </c>
      <c r="I398" s="446">
        <f>'Consol SoFP 23 &amp; 22'!J94</f>
        <v>0</v>
      </c>
      <c r="J398" s="446">
        <f>'Consol SoFP 23 &amp; 22'!K94</f>
        <v>0</v>
      </c>
      <c r="K398" s="446">
        <f>'Consol SoFP 23 &amp; 22'!L94</f>
        <v>0</v>
      </c>
      <c r="L398" s="446">
        <f>'Consol SoFP 23 &amp; 22'!M94</f>
        <v>0</v>
      </c>
      <c r="M398" s="446">
        <f>'Consol SoFP 23 &amp; 22'!N94</f>
        <v>0</v>
      </c>
      <c r="N398" s="446">
        <f>'Consol SoFP 23 &amp; 22'!O94</f>
        <v>0</v>
      </c>
      <c r="O398" s="446">
        <f>'Consol SoFP 23 &amp; 22'!P94</f>
        <v>0</v>
      </c>
      <c r="P398" s="446">
        <f>'Consol SoFP 23 &amp; 22'!Q94</f>
        <v>0</v>
      </c>
      <c r="Q398" s="446">
        <f>'Consol SoFP 23 &amp; 22'!R94</f>
        <v>0</v>
      </c>
      <c r="R398" s="446">
        <f>'Consol SoFP 23 &amp; 22'!S94</f>
        <v>0</v>
      </c>
      <c r="S398" s="446">
        <f>'Consol SoFP 23 &amp; 22'!T94</f>
        <v>0</v>
      </c>
      <c r="T398" s="446">
        <f>'Consol SoFP 23 &amp; 22'!U94</f>
        <v>0</v>
      </c>
      <c r="U398" s="446">
        <f>'Consol SoFP 23 &amp; 22'!V94</f>
        <v>0</v>
      </c>
      <c r="V398" s="446">
        <f>'Consol SoFP 23 &amp; 22'!W94</f>
        <v>0</v>
      </c>
      <c r="X398" s="446">
        <v>0</v>
      </c>
      <c r="Z398" s="446">
        <f>'Consol SoFP 23 &amp; 22'!H94</f>
        <v>-1003275649843.4249</v>
      </c>
      <c r="AA398" s="446">
        <v>0</v>
      </c>
      <c r="AB398" s="446">
        <f>'Consol SoFP 23 &amp; 22'!AE94</f>
        <v>-1003275649843</v>
      </c>
    </row>
    <row r="399" spans="2:28" s="417" customFormat="1" ht="13">
      <c r="D399" s="445" t="s">
        <v>111</v>
      </c>
      <c r="E399" s="442">
        <f>E396-E398</f>
        <v>0</v>
      </c>
      <c r="F399" s="442"/>
      <c r="G399" s="442">
        <f>G396-G398</f>
        <v>0</v>
      </c>
      <c r="H399" s="442">
        <f t="shared" ref="H399:V399" si="297">H396-H398</f>
        <v>0</v>
      </c>
      <c r="I399" s="442">
        <f t="shared" si="297"/>
        <v>0</v>
      </c>
      <c r="J399" s="442">
        <f t="shared" si="297"/>
        <v>0</v>
      </c>
      <c r="K399" s="442">
        <f t="shared" si="297"/>
        <v>0</v>
      </c>
      <c r="L399" s="442">
        <f t="shared" si="297"/>
        <v>0</v>
      </c>
      <c r="M399" s="442">
        <f t="shared" si="297"/>
        <v>0</v>
      </c>
      <c r="N399" s="442">
        <f t="shared" si="297"/>
        <v>0</v>
      </c>
      <c r="O399" s="442">
        <f t="shared" si="297"/>
        <v>0</v>
      </c>
      <c r="P399" s="442">
        <f t="shared" si="297"/>
        <v>0</v>
      </c>
      <c r="Q399" s="442">
        <f t="shared" si="297"/>
        <v>0</v>
      </c>
      <c r="R399" s="442">
        <f t="shared" si="297"/>
        <v>0</v>
      </c>
      <c r="S399" s="442">
        <f t="shared" si="297"/>
        <v>0</v>
      </c>
      <c r="T399" s="442">
        <f t="shared" si="297"/>
        <v>0</v>
      </c>
      <c r="U399" s="442">
        <f t="shared" si="297"/>
        <v>0</v>
      </c>
      <c r="V399" s="442">
        <f t="shared" si="297"/>
        <v>0</v>
      </c>
      <c r="X399" s="442">
        <f t="shared" ref="X399" si="298">X396-X398</f>
        <v>0</v>
      </c>
      <c r="Z399" s="442">
        <f t="shared" ref="Z399:AB399" si="299">Z396-Z398</f>
        <v>0</v>
      </c>
      <c r="AA399" s="442">
        <f t="shared" si="299"/>
        <v>0</v>
      </c>
      <c r="AB399" s="442">
        <f t="shared" si="299"/>
        <v>-0.4249267578125</v>
      </c>
    </row>
  </sheetData>
  <conditionalFormatting sqref="D15:D27">
    <cfRule type="duplicateValues" dxfId="198" priority="119"/>
  </conditionalFormatting>
  <conditionalFormatting sqref="D41:D49 D51:D52">
    <cfRule type="duplicateValues" dxfId="197" priority="120"/>
  </conditionalFormatting>
  <conditionalFormatting sqref="D50">
    <cfRule type="duplicateValues" dxfId="196" priority="10"/>
  </conditionalFormatting>
  <conditionalFormatting sqref="D66:D73 D75:D80">
    <cfRule type="duplicateValues" dxfId="195" priority="121"/>
  </conditionalFormatting>
  <conditionalFormatting sqref="D74">
    <cfRule type="duplicateValues" dxfId="194" priority="9"/>
  </conditionalFormatting>
  <conditionalFormatting sqref="D81">
    <cfRule type="duplicateValues" dxfId="193" priority="102"/>
    <cfRule type="duplicateValues" dxfId="192" priority="113"/>
  </conditionalFormatting>
  <conditionalFormatting sqref="D94:D108 D110:D112">
    <cfRule type="duplicateValues" dxfId="191" priority="118"/>
  </conditionalFormatting>
  <conditionalFormatting sqref="D109">
    <cfRule type="duplicateValues" dxfId="190" priority="35"/>
  </conditionalFormatting>
  <conditionalFormatting sqref="D113:D115">
    <cfRule type="duplicateValues" dxfId="189" priority="115"/>
  </conditionalFormatting>
  <conditionalFormatting sqref="D116">
    <cfRule type="duplicateValues" dxfId="188" priority="60"/>
    <cfRule type="duplicateValues" dxfId="187" priority="61"/>
  </conditionalFormatting>
  <conditionalFormatting sqref="D128:D136 D138:D151">
    <cfRule type="duplicateValues" dxfId="186" priority="25"/>
  </conditionalFormatting>
  <conditionalFormatting sqref="D137">
    <cfRule type="duplicateValues" dxfId="185" priority="24"/>
  </conditionalFormatting>
  <conditionalFormatting sqref="D152:D155">
    <cfRule type="duplicateValues" dxfId="184" priority="34"/>
  </conditionalFormatting>
  <conditionalFormatting sqref="D156">
    <cfRule type="duplicateValues" dxfId="183" priority="33"/>
    <cfRule type="duplicateValues" dxfId="182" priority="32"/>
  </conditionalFormatting>
  <conditionalFormatting sqref="D169:D176 D179:D192">
    <cfRule type="duplicateValues" dxfId="181" priority="23"/>
  </conditionalFormatting>
  <conditionalFormatting sqref="D177">
    <cfRule type="duplicateValues" dxfId="180" priority="8"/>
  </conditionalFormatting>
  <conditionalFormatting sqref="D178">
    <cfRule type="duplicateValues" dxfId="179" priority="7"/>
  </conditionalFormatting>
  <conditionalFormatting sqref="D193">
    <cfRule type="duplicateValues" dxfId="178" priority="112"/>
  </conditionalFormatting>
  <conditionalFormatting sqref="D204:D211 D214">
    <cfRule type="duplicateValues" dxfId="177" priority="117"/>
  </conditionalFormatting>
  <conditionalFormatting sqref="D212">
    <cfRule type="duplicateValues" dxfId="176" priority="6"/>
  </conditionalFormatting>
  <conditionalFormatting sqref="D213">
    <cfRule type="duplicateValues" dxfId="175" priority="5"/>
  </conditionalFormatting>
  <conditionalFormatting sqref="D215">
    <cfRule type="duplicateValues" dxfId="174" priority="95"/>
  </conditionalFormatting>
  <conditionalFormatting sqref="D226:D234 D236:D237">
    <cfRule type="duplicateValues" dxfId="173" priority="116"/>
  </conditionalFormatting>
  <conditionalFormatting sqref="D235">
    <cfRule type="duplicateValues" dxfId="172" priority="22"/>
  </conditionalFormatting>
  <conditionalFormatting sqref="D238">
    <cfRule type="duplicateValues" dxfId="171" priority="44"/>
  </conditionalFormatting>
  <conditionalFormatting sqref="D250:D257 D260:D262">
    <cfRule type="duplicateValues" dxfId="170" priority="122"/>
  </conditionalFormatting>
  <conditionalFormatting sqref="D258">
    <cfRule type="duplicateValues" dxfId="169" priority="4"/>
  </conditionalFormatting>
  <conditionalFormatting sqref="D259">
    <cfRule type="duplicateValues" dxfId="168" priority="3"/>
  </conditionalFormatting>
  <conditionalFormatting sqref="D263 D271">
    <cfRule type="duplicateValues" dxfId="167" priority="127"/>
  </conditionalFormatting>
  <conditionalFormatting sqref="D264:D270">
    <cfRule type="duplicateValues" dxfId="166" priority="11"/>
  </conditionalFormatting>
  <conditionalFormatting sqref="D283:D292 D294:D296">
    <cfRule type="duplicateValues" dxfId="165" priority="123"/>
  </conditionalFormatting>
  <conditionalFormatting sqref="D293">
    <cfRule type="duplicateValues" dxfId="164" priority="21"/>
  </conditionalFormatting>
  <conditionalFormatting sqref="D297 D305:D306">
    <cfRule type="duplicateValues" dxfId="163" priority="114"/>
  </conditionalFormatting>
  <conditionalFormatting sqref="D298:D304">
    <cfRule type="duplicateValues" dxfId="162" priority="36"/>
  </conditionalFormatting>
  <conditionalFormatting sqref="D326">
    <cfRule type="duplicateValues" dxfId="161" priority="2"/>
  </conditionalFormatting>
  <conditionalFormatting sqref="D327">
    <cfRule type="duplicateValues" dxfId="160" priority="1"/>
  </conditionalFormatting>
  <conditionalFormatting sqref="D328:D330 D317:D325">
    <cfRule type="duplicateValues" dxfId="159" priority="124"/>
  </conditionalFormatting>
  <conditionalFormatting sqref="D331">
    <cfRule type="duplicateValues" dxfId="158" priority="82"/>
  </conditionalFormatting>
  <conditionalFormatting sqref="D342:D350 D352:D355">
    <cfRule type="duplicateValues" dxfId="157" priority="125"/>
  </conditionalFormatting>
  <conditionalFormatting sqref="D351">
    <cfRule type="duplicateValues" dxfId="156" priority="20"/>
  </conditionalFormatting>
  <conditionalFormatting sqref="D356:D364">
    <cfRule type="duplicateValues" dxfId="155" priority="75"/>
  </conditionalFormatting>
  <conditionalFormatting sqref="D375:D381 D383:D385">
    <cfRule type="duplicateValues" dxfId="154" priority="126"/>
  </conditionalFormatting>
  <conditionalFormatting sqref="D382">
    <cfRule type="duplicateValues" dxfId="153" priority="19"/>
  </conditionalFormatting>
  <conditionalFormatting sqref="D387:D395">
    <cfRule type="duplicateValues" dxfId="152" priority="62"/>
  </conditionalFormatting>
  <conditionalFormatting sqref="E35:V35 X35 E60:V60 E87:V87 E122:V122 E162:V162 E197:V197 E219:V219 E242:V242 E275:V275 E310:V310 E335:V335 E368:V368 E399:V399">
    <cfRule type="cellIs" dxfId="151" priority="111" operator="equal">
      <formula>0</formula>
    </cfRule>
    <cfRule type="cellIs" dxfId="150" priority="110" operator="greaterThan">
      <formula>0</formula>
    </cfRule>
    <cfRule type="cellIs" dxfId="149" priority="109" operator="lessThan">
      <formula>0</formula>
    </cfRule>
  </conditionalFormatting>
  <conditionalFormatting sqref="F264:F270">
    <cfRule type="duplicateValues" dxfId="148" priority="12"/>
  </conditionalFormatting>
  <conditionalFormatting sqref="F298:F304">
    <cfRule type="duplicateValues" dxfId="147" priority="37"/>
  </conditionalFormatting>
  <conditionalFormatting sqref="X60">
    <cfRule type="cellIs" dxfId="146" priority="97" operator="greaterThan">
      <formula>0</formula>
    </cfRule>
    <cfRule type="cellIs" dxfId="145" priority="98" operator="equal">
      <formula>0</formula>
    </cfRule>
    <cfRule type="cellIs" dxfId="144" priority="96" operator="lessThan">
      <formula>0</formula>
    </cfRule>
  </conditionalFormatting>
  <conditionalFormatting sqref="X87">
    <cfRule type="cellIs" dxfId="143" priority="101" operator="equal">
      <formula>0</formula>
    </cfRule>
    <cfRule type="cellIs" dxfId="142" priority="100" operator="greaterThan">
      <formula>0</formula>
    </cfRule>
    <cfRule type="cellIs" dxfId="141" priority="99" operator="lessThan">
      <formula>0</formula>
    </cfRule>
  </conditionalFormatting>
  <conditionalFormatting sqref="X122">
    <cfRule type="cellIs" dxfId="140" priority="57" operator="lessThan">
      <formula>0</formula>
    </cfRule>
    <cfRule type="cellIs" dxfId="139" priority="58" operator="greaterThan">
      <formula>0</formula>
    </cfRule>
    <cfRule type="cellIs" dxfId="138" priority="59" operator="equal">
      <formula>0</formula>
    </cfRule>
  </conditionalFormatting>
  <conditionalFormatting sqref="X162">
    <cfRule type="cellIs" dxfId="137" priority="29" operator="lessThan">
      <formula>0</formula>
    </cfRule>
    <cfRule type="cellIs" dxfId="136" priority="30" operator="greaterThan">
      <formula>0</formula>
    </cfRule>
    <cfRule type="cellIs" dxfId="135" priority="31" operator="equal">
      <formula>0</formula>
    </cfRule>
  </conditionalFormatting>
  <conditionalFormatting sqref="X197">
    <cfRule type="cellIs" dxfId="134" priority="108" operator="equal">
      <formula>0</formula>
    </cfRule>
    <cfRule type="cellIs" dxfId="133" priority="107" operator="greaterThan">
      <formula>0</formula>
    </cfRule>
    <cfRule type="cellIs" dxfId="132" priority="106" operator="lessThan">
      <formula>0</formula>
    </cfRule>
  </conditionalFormatting>
  <conditionalFormatting sqref="X219">
    <cfRule type="cellIs" dxfId="131" priority="94" operator="equal">
      <formula>0</formula>
    </cfRule>
    <cfRule type="cellIs" dxfId="130" priority="93" operator="greaterThan">
      <formula>0</formula>
    </cfRule>
    <cfRule type="cellIs" dxfId="129" priority="92" operator="lessThan">
      <formula>0</formula>
    </cfRule>
  </conditionalFormatting>
  <conditionalFormatting sqref="X242">
    <cfRule type="cellIs" dxfId="128" priority="43" operator="equal">
      <formula>0</formula>
    </cfRule>
    <cfRule type="cellIs" dxfId="127" priority="41" operator="lessThan">
      <formula>0</formula>
    </cfRule>
    <cfRule type="cellIs" dxfId="126" priority="42" operator="greaterThan">
      <formula>0</formula>
    </cfRule>
  </conditionalFormatting>
  <conditionalFormatting sqref="X275">
    <cfRule type="cellIs" dxfId="125" priority="17" operator="greaterThan">
      <formula>0</formula>
    </cfRule>
    <cfRule type="cellIs" dxfId="124" priority="18" operator="equal">
      <formula>0</formula>
    </cfRule>
    <cfRule type="cellIs" dxfId="123" priority="16" operator="lessThan">
      <formula>0</formula>
    </cfRule>
  </conditionalFormatting>
  <conditionalFormatting sqref="X310">
    <cfRule type="cellIs" dxfId="122" priority="105" operator="equal">
      <formula>0</formula>
    </cfRule>
    <cfRule type="cellIs" dxfId="121" priority="104" operator="greaterThan">
      <formula>0</formula>
    </cfRule>
    <cfRule type="cellIs" dxfId="120" priority="103" operator="lessThan">
      <formula>0</formula>
    </cfRule>
  </conditionalFormatting>
  <conditionalFormatting sqref="X335">
    <cfRule type="cellIs" dxfId="119" priority="79" operator="lessThan">
      <formula>0</formula>
    </cfRule>
    <cfRule type="cellIs" dxfId="118" priority="81" operator="equal">
      <formula>0</formula>
    </cfRule>
    <cfRule type="cellIs" dxfId="117" priority="80" operator="greaterThan">
      <formula>0</formula>
    </cfRule>
  </conditionalFormatting>
  <conditionalFormatting sqref="X368">
    <cfRule type="cellIs" dxfId="116" priority="74" operator="equal">
      <formula>0</formula>
    </cfRule>
    <cfRule type="cellIs" dxfId="115" priority="73" operator="greaterThan">
      <formula>0</formula>
    </cfRule>
    <cfRule type="cellIs" dxfId="114" priority="72" operator="lessThan">
      <formula>0</formula>
    </cfRule>
  </conditionalFormatting>
  <conditionalFormatting sqref="X399">
    <cfRule type="cellIs" dxfId="113" priority="66" operator="lessThan">
      <formula>0</formula>
    </cfRule>
    <cfRule type="cellIs" dxfId="112" priority="67" operator="greaterThan">
      <formula>0</formula>
    </cfRule>
    <cfRule type="cellIs" dxfId="111" priority="68" operator="equal">
      <formula>0</formula>
    </cfRule>
  </conditionalFormatting>
  <conditionalFormatting sqref="Z35:AB35">
    <cfRule type="cellIs" dxfId="110" priority="51" operator="lessThan">
      <formula>0</formula>
    </cfRule>
    <cfRule type="cellIs" dxfId="109" priority="52" operator="greaterThan">
      <formula>0</formula>
    </cfRule>
    <cfRule type="cellIs" dxfId="108" priority="53" operator="equal">
      <formula>0</formula>
    </cfRule>
  </conditionalFormatting>
  <conditionalFormatting sqref="Z60:AB60">
    <cfRule type="cellIs" dxfId="107" priority="49" operator="greaterThan">
      <formula>0</formula>
    </cfRule>
    <cfRule type="cellIs" dxfId="106" priority="50" operator="equal">
      <formula>0</formula>
    </cfRule>
    <cfRule type="cellIs" dxfId="105" priority="48" operator="lessThan">
      <formula>0</formula>
    </cfRule>
  </conditionalFormatting>
  <conditionalFormatting sqref="Z87:AB87">
    <cfRule type="cellIs" dxfId="104" priority="45" operator="lessThan">
      <formula>0</formula>
    </cfRule>
    <cfRule type="cellIs" dxfId="103" priority="47" operator="equal">
      <formula>0</formula>
    </cfRule>
    <cfRule type="cellIs" dxfId="102" priority="46" operator="greaterThan">
      <formula>0</formula>
    </cfRule>
  </conditionalFormatting>
  <conditionalFormatting sqref="Z122:AB122">
    <cfRule type="cellIs" dxfId="101" priority="54" operator="lessThan">
      <formula>0</formula>
    </cfRule>
    <cfRule type="cellIs" dxfId="100" priority="56" operator="equal">
      <formula>0</formula>
    </cfRule>
    <cfRule type="cellIs" dxfId="99" priority="55" operator="greaterThan">
      <formula>0</formula>
    </cfRule>
  </conditionalFormatting>
  <conditionalFormatting sqref="Z162:AB162">
    <cfRule type="cellIs" dxfId="98" priority="26" operator="lessThan">
      <formula>0</formula>
    </cfRule>
    <cfRule type="cellIs" dxfId="97" priority="28" operator="equal">
      <formula>0</formula>
    </cfRule>
    <cfRule type="cellIs" dxfId="96" priority="27" operator="greaterThan">
      <formula>0</formula>
    </cfRule>
  </conditionalFormatting>
  <conditionalFormatting sqref="Z197:AB197">
    <cfRule type="cellIs" dxfId="95" priority="91" operator="equal">
      <formula>0</formula>
    </cfRule>
    <cfRule type="cellIs" dxfId="94" priority="90" operator="greaterThan">
      <formula>0</formula>
    </cfRule>
    <cfRule type="cellIs" dxfId="93" priority="89" operator="lessThan">
      <formula>0</formula>
    </cfRule>
  </conditionalFormatting>
  <conditionalFormatting sqref="Z219:AB219">
    <cfRule type="cellIs" dxfId="92" priority="84" operator="greaterThan">
      <formula>0</formula>
    </cfRule>
    <cfRule type="cellIs" dxfId="91" priority="83" operator="lessThan">
      <formula>0</formula>
    </cfRule>
    <cfRule type="cellIs" dxfId="90" priority="85" operator="equal">
      <formula>0</formula>
    </cfRule>
  </conditionalFormatting>
  <conditionalFormatting sqref="Z242:AB242">
    <cfRule type="cellIs" dxfId="89" priority="40" operator="equal">
      <formula>0</formula>
    </cfRule>
    <cfRule type="cellIs" dxfId="88" priority="39" operator="greaterThan">
      <formula>0</formula>
    </cfRule>
    <cfRule type="cellIs" dxfId="87" priority="38" operator="lessThan">
      <formula>0</formula>
    </cfRule>
  </conditionalFormatting>
  <conditionalFormatting sqref="Z275:AB275">
    <cfRule type="cellIs" dxfId="86" priority="15" operator="equal">
      <formula>0</formula>
    </cfRule>
    <cfRule type="cellIs" dxfId="85" priority="14" operator="greaterThan">
      <formula>0</formula>
    </cfRule>
    <cfRule type="cellIs" dxfId="84" priority="13" operator="lessThan">
      <formula>0</formula>
    </cfRule>
  </conditionalFormatting>
  <conditionalFormatting sqref="Z310:AB310">
    <cfRule type="cellIs" dxfId="83" priority="88" operator="equal">
      <formula>0</formula>
    </cfRule>
    <cfRule type="cellIs" dxfId="82" priority="87" operator="greaterThan">
      <formula>0</formula>
    </cfRule>
    <cfRule type="cellIs" dxfId="81" priority="86" operator="lessThan">
      <formula>0</formula>
    </cfRule>
  </conditionalFormatting>
  <conditionalFormatting sqref="Z335:AB335">
    <cfRule type="cellIs" dxfId="80" priority="78" operator="equal">
      <formula>0</formula>
    </cfRule>
    <cfRule type="cellIs" dxfId="79" priority="77" operator="greaterThan">
      <formula>0</formula>
    </cfRule>
    <cfRule type="cellIs" dxfId="78" priority="76" operator="lessThan">
      <formula>0</formula>
    </cfRule>
  </conditionalFormatting>
  <conditionalFormatting sqref="Z368:AB368">
    <cfRule type="cellIs" dxfId="77" priority="71" operator="equal">
      <formula>0</formula>
    </cfRule>
    <cfRule type="cellIs" dxfId="76" priority="70" operator="greaterThan">
      <formula>0</formula>
    </cfRule>
    <cfRule type="cellIs" dxfId="75" priority="69" operator="lessThan">
      <formula>0</formula>
    </cfRule>
  </conditionalFormatting>
  <conditionalFormatting sqref="Z399:AB399">
    <cfRule type="cellIs" dxfId="74" priority="64" operator="greaterThan">
      <formula>0</formula>
    </cfRule>
    <cfRule type="cellIs" dxfId="73" priority="63" operator="lessThan">
      <formula>0</formula>
    </cfRule>
    <cfRule type="cellIs" dxfId="72" priority="65" operator="equal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4530-6F8D-43A1-A3AC-125345577550}">
  <dimension ref="B3:Q65"/>
  <sheetViews>
    <sheetView workbookViewId="0"/>
  </sheetViews>
  <sheetFormatPr defaultColWidth="7.7265625" defaultRowHeight="12.5" outlineLevelRow="1" outlineLevelCol="1"/>
  <cols>
    <col min="1" max="1" width="4.453125" style="482" bestFit="1" customWidth="1"/>
    <col min="2" max="2" width="6.26953125" style="482" bestFit="1" customWidth="1"/>
    <col min="3" max="3" width="36.1796875" style="482" customWidth="1"/>
    <col min="4" max="4" width="18.26953125" style="482" customWidth="1"/>
    <col min="5" max="5" width="20.81640625" style="483" customWidth="1"/>
    <col min="6" max="8" width="20.81640625" style="484" customWidth="1"/>
    <col min="9" max="11" width="20.81640625" style="484" customWidth="1" outlineLevel="1"/>
    <col min="12" max="13" width="20.81640625" style="484" customWidth="1"/>
    <col min="14" max="14" width="17.81640625" style="482" bestFit="1" customWidth="1"/>
    <col min="15" max="15" width="18.7265625" style="485" customWidth="1"/>
    <col min="16" max="16" width="19" style="482" customWidth="1"/>
    <col min="17" max="16384" width="7.7265625" style="482"/>
  </cols>
  <sheetData>
    <row r="3" spans="2:17">
      <c r="E3" s="483" t="s">
        <v>233</v>
      </c>
    </row>
    <row r="4" spans="2:17">
      <c r="B4" s="670"/>
      <c r="C4" s="671"/>
      <c r="D4" s="486"/>
      <c r="E4" s="674" t="s">
        <v>722</v>
      </c>
      <c r="F4" s="674"/>
      <c r="G4" s="674"/>
      <c r="H4" s="675" t="s">
        <v>782</v>
      </c>
      <c r="I4" s="676"/>
      <c r="J4" s="676"/>
      <c r="K4" s="676"/>
      <c r="L4" s="677"/>
      <c r="M4" s="678" t="s">
        <v>661</v>
      </c>
      <c r="N4" s="680" t="s">
        <v>225</v>
      </c>
      <c r="O4" s="487"/>
    </row>
    <row r="5" spans="2:17">
      <c r="B5" s="672"/>
      <c r="C5" s="673"/>
      <c r="D5" s="488" t="s">
        <v>640</v>
      </c>
      <c r="E5" s="489" t="s">
        <v>688</v>
      </c>
      <c r="F5" s="490" t="s">
        <v>802</v>
      </c>
      <c r="G5" s="490" t="s">
        <v>740</v>
      </c>
      <c r="H5" s="491" t="s">
        <v>465</v>
      </c>
      <c r="I5" s="491" t="s">
        <v>815</v>
      </c>
      <c r="J5" s="491" t="s">
        <v>639</v>
      </c>
      <c r="K5" s="491" t="s">
        <v>461</v>
      </c>
      <c r="L5" s="491" t="s">
        <v>609</v>
      </c>
      <c r="M5" s="679"/>
      <c r="N5" s="681"/>
      <c r="O5" s="487" t="s">
        <v>528</v>
      </c>
      <c r="P5" s="492" t="s">
        <v>109</v>
      </c>
    </row>
    <row r="6" spans="2:17">
      <c r="B6" s="493" t="s">
        <v>640</v>
      </c>
      <c r="C6" s="494" t="s">
        <v>21</v>
      </c>
      <c r="D6" s="495"/>
      <c r="E6" s="496"/>
      <c r="F6" s="496"/>
      <c r="G6" s="496"/>
      <c r="H6" s="497"/>
      <c r="I6" s="497"/>
      <c r="J6" s="497"/>
      <c r="K6" s="497"/>
      <c r="L6" s="497"/>
      <c r="M6" s="498">
        <f>SUM('BS RP Disclosure 2022'!G24:G26)</f>
        <v>30542833417</v>
      </c>
      <c r="N6" s="499">
        <f t="shared" ref="N6:N20" si="0">SUM(D6:M6)</f>
        <v>30542833417</v>
      </c>
      <c r="O6" s="487">
        <f>'Consol SoFP 23 &amp; 22'!AJ18</f>
        <v>30542833417</v>
      </c>
      <c r="P6" s="500">
        <f>ROUND(N6-O6,0)</f>
        <v>0</v>
      </c>
      <c r="Q6" s="501" t="str">
        <f>IF(P6=0,"Oke","recheck")</f>
        <v>Oke</v>
      </c>
    </row>
    <row r="7" spans="2:17">
      <c r="B7" s="493"/>
      <c r="C7" s="494" t="s">
        <v>59</v>
      </c>
      <c r="D7" s="502"/>
      <c r="E7" s="496">
        <f>'BS RP Disclosure 2022'!G135</f>
        <v>-1417500000</v>
      </c>
      <c r="F7" s="496"/>
      <c r="G7" s="496"/>
      <c r="H7" s="497"/>
      <c r="I7" s="497"/>
      <c r="J7" s="497"/>
      <c r="K7" s="497"/>
      <c r="L7" s="497">
        <v>0</v>
      </c>
      <c r="M7" s="498">
        <v>0</v>
      </c>
      <c r="N7" s="499">
        <f t="shared" si="0"/>
        <v>-1417500000</v>
      </c>
      <c r="O7" s="487">
        <f>'Consol SoFP 23 &amp; 22'!AJ61</f>
        <v>-1417500000</v>
      </c>
      <c r="P7" s="500">
        <f t="shared" ref="P7:P59" si="1">ROUND(N7-O7,0)</f>
        <v>0</v>
      </c>
      <c r="Q7" s="501" t="str">
        <f t="shared" ref="Q7:Q59" si="2">IF(P7=0,"Oke","recheck")</f>
        <v>Oke</v>
      </c>
    </row>
    <row r="8" spans="2:17">
      <c r="B8" s="493"/>
      <c r="C8" s="494" t="s">
        <v>29</v>
      </c>
      <c r="D8" s="502"/>
      <c r="E8" s="496">
        <v>0</v>
      </c>
      <c r="F8" s="496">
        <v>0</v>
      </c>
      <c r="G8" s="496">
        <f>'BS RP Disclosure 2022'!G64</f>
        <v>1575000</v>
      </c>
      <c r="H8" s="497">
        <f>'BS RP Disclosure 2022'!G65</f>
        <v>0</v>
      </c>
      <c r="I8" s="497">
        <v>0</v>
      </c>
      <c r="J8" s="497"/>
      <c r="K8" s="497"/>
      <c r="L8" s="497">
        <f>'BS RP Disclosure 2022'!G61</f>
        <v>130394112646.51161</v>
      </c>
      <c r="M8" s="498">
        <f>SUM('BS RP Disclosure 2022'!G68:G69)</f>
        <v>5180796034.1000004</v>
      </c>
      <c r="N8" s="499">
        <f t="shared" si="0"/>
        <v>135576483680.61162</v>
      </c>
      <c r="O8" s="487">
        <f>'Consol SoFP 23 &amp; 22'!AJ43+'Consol SoFP 23 &amp; 22'!AJ26</f>
        <v>135576483680.925</v>
      </c>
      <c r="P8" s="500">
        <f t="shared" si="1"/>
        <v>0</v>
      </c>
      <c r="Q8" s="501" t="str">
        <f t="shared" si="2"/>
        <v>Oke</v>
      </c>
    </row>
    <row r="9" spans="2:17">
      <c r="B9" s="493"/>
      <c r="C9" s="494" t="s">
        <v>65</v>
      </c>
      <c r="D9" s="502"/>
      <c r="E9" s="496"/>
      <c r="F9" s="496"/>
      <c r="G9" s="496"/>
      <c r="H9" s="497">
        <f>'BS RP Disclosure 2022'!G181</f>
        <v>-14058094952.475</v>
      </c>
      <c r="I9" s="497"/>
      <c r="J9" s="497"/>
      <c r="K9" s="497"/>
      <c r="L9" s="497"/>
      <c r="M9" s="498">
        <v>0</v>
      </c>
      <c r="N9" s="499">
        <f t="shared" si="0"/>
        <v>-14058094952.475</v>
      </c>
      <c r="O9" s="487">
        <f>'Consol SoFP 23 &amp; 22'!AJ67</f>
        <v>-14058094952</v>
      </c>
      <c r="P9" s="500">
        <f t="shared" si="1"/>
        <v>0</v>
      </c>
      <c r="Q9" s="501" t="str">
        <f t="shared" si="2"/>
        <v>Oke</v>
      </c>
    </row>
    <row r="10" spans="2:17">
      <c r="B10" s="493"/>
      <c r="C10" s="494" t="s">
        <v>32</v>
      </c>
      <c r="D10" s="502"/>
      <c r="E10" s="496">
        <f>'BS RP Disclosure 2022'!G86</f>
        <v>16469976444.866993</v>
      </c>
      <c r="F10" s="496"/>
      <c r="G10" s="496"/>
      <c r="H10" s="497"/>
      <c r="I10" s="497"/>
      <c r="J10" s="497"/>
      <c r="K10" s="497"/>
      <c r="L10" s="497">
        <f>'BS RP Disclosure 2022'!G84</f>
        <v>1798008334.2783434</v>
      </c>
      <c r="M10" s="498">
        <v>0</v>
      </c>
      <c r="N10" s="499">
        <f t="shared" si="0"/>
        <v>18267984779.145336</v>
      </c>
      <c r="O10" s="487">
        <f>'Consol SoFP 23 &amp; 22'!AJ29</f>
        <v>18267984779</v>
      </c>
      <c r="P10" s="500">
        <f t="shared" si="1"/>
        <v>0</v>
      </c>
      <c r="Q10" s="501" t="str">
        <f t="shared" si="2"/>
        <v>Oke</v>
      </c>
    </row>
    <row r="11" spans="2:17">
      <c r="B11" s="493"/>
      <c r="C11" s="494" t="s">
        <v>62</v>
      </c>
      <c r="D11" s="502"/>
      <c r="E11" s="496"/>
      <c r="F11" s="496"/>
      <c r="G11" s="496"/>
      <c r="H11" s="497"/>
      <c r="I11" s="497"/>
      <c r="J11" s="497"/>
      <c r="K11" s="497"/>
      <c r="L11" s="497"/>
      <c r="M11" s="498"/>
      <c r="N11" s="499">
        <f t="shared" si="0"/>
        <v>0</v>
      </c>
      <c r="O11" s="487"/>
      <c r="P11" s="500">
        <f t="shared" si="1"/>
        <v>0</v>
      </c>
      <c r="Q11" s="501" t="str">
        <f t="shared" si="2"/>
        <v>Oke</v>
      </c>
    </row>
    <row r="12" spans="2:17">
      <c r="B12" s="493" t="s">
        <v>688</v>
      </c>
      <c r="C12" s="494" t="s">
        <v>21</v>
      </c>
      <c r="D12" s="503"/>
      <c r="E12" s="495"/>
      <c r="F12" s="496"/>
      <c r="G12" s="496"/>
      <c r="H12" s="497"/>
      <c r="I12" s="497"/>
      <c r="J12" s="497"/>
      <c r="K12" s="497"/>
      <c r="L12" s="497"/>
      <c r="M12" s="498"/>
      <c r="N12" s="499">
        <f t="shared" si="0"/>
        <v>0</v>
      </c>
      <c r="O12" s="483">
        <f>'Consol SoFP 23 &amp; 22'!AM18</f>
        <v>0</v>
      </c>
      <c r="P12" s="500">
        <f t="shared" si="1"/>
        <v>0</v>
      </c>
      <c r="Q12" s="501" t="str">
        <f t="shared" si="2"/>
        <v>Oke</v>
      </c>
    </row>
    <row r="13" spans="2:17">
      <c r="B13" s="493"/>
      <c r="C13" s="494" t="s">
        <v>59</v>
      </c>
      <c r="D13" s="503">
        <v>0</v>
      </c>
      <c r="E13" s="502"/>
      <c r="F13" s="496"/>
      <c r="G13" s="496"/>
      <c r="H13" s="497"/>
      <c r="I13" s="497"/>
      <c r="J13" s="497"/>
      <c r="K13" s="497"/>
      <c r="L13" s="497"/>
      <c r="M13" s="498"/>
      <c r="N13" s="499">
        <f t="shared" si="0"/>
        <v>0</v>
      </c>
      <c r="O13" s="483">
        <f>'Consol SoFP 23 &amp; 22'!AM61</f>
        <v>0</v>
      </c>
      <c r="P13" s="500">
        <f t="shared" si="1"/>
        <v>0</v>
      </c>
      <c r="Q13" s="501" t="str">
        <f t="shared" si="2"/>
        <v>Oke</v>
      </c>
    </row>
    <row r="14" spans="2:17">
      <c r="B14" s="493"/>
      <c r="C14" s="494" t="s">
        <v>29</v>
      </c>
      <c r="D14" s="503">
        <v>1417500000</v>
      </c>
      <c r="E14" s="502"/>
      <c r="F14" s="496"/>
      <c r="G14" s="496"/>
      <c r="H14" s="497">
        <f>54273000*1.575</f>
        <v>85479975</v>
      </c>
      <c r="I14" s="497"/>
      <c r="J14" s="497"/>
      <c r="K14" s="497"/>
      <c r="L14" s="497">
        <f>1937114751*1.575</f>
        <v>3050955732.8249998</v>
      </c>
      <c r="M14" s="498">
        <v>0</v>
      </c>
      <c r="N14" s="499">
        <f t="shared" si="0"/>
        <v>4553935707.8249998</v>
      </c>
      <c r="O14" s="483">
        <f>'Consol SoFP 23 &amp; 22'!AM26</f>
        <v>4553935708</v>
      </c>
      <c r="P14" s="500">
        <f t="shared" si="1"/>
        <v>0</v>
      </c>
      <c r="Q14" s="501" t="str">
        <f t="shared" si="2"/>
        <v>Oke</v>
      </c>
    </row>
    <row r="15" spans="2:17">
      <c r="B15" s="493"/>
      <c r="C15" s="494" t="s">
        <v>65</v>
      </c>
      <c r="D15" s="503">
        <v>0</v>
      </c>
      <c r="E15" s="502"/>
      <c r="F15" s="496"/>
      <c r="G15" s="496"/>
      <c r="H15" s="497"/>
      <c r="I15" s="497"/>
      <c r="J15" s="497"/>
      <c r="K15" s="497"/>
      <c r="L15" s="497"/>
      <c r="M15" s="498"/>
      <c r="N15" s="499">
        <f t="shared" si="0"/>
        <v>0</v>
      </c>
      <c r="O15" s="483">
        <f>'Consol SoFP 23 &amp; 22'!AM67</f>
        <v>0</v>
      </c>
      <c r="P15" s="500">
        <f t="shared" si="1"/>
        <v>0</v>
      </c>
      <c r="Q15" s="501" t="str">
        <f t="shared" si="2"/>
        <v>Oke</v>
      </c>
    </row>
    <row r="16" spans="2:17">
      <c r="B16" s="493"/>
      <c r="C16" s="494" t="s">
        <v>32</v>
      </c>
      <c r="D16" s="503"/>
      <c r="E16" s="502"/>
      <c r="F16" s="496"/>
      <c r="G16" s="496"/>
      <c r="H16" s="497"/>
      <c r="I16" s="497"/>
      <c r="J16" s="497"/>
      <c r="K16" s="497"/>
      <c r="L16" s="497"/>
      <c r="M16" s="498"/>
      <c r="N16" s="499">
        <f t="shared" si="0"/>
        <v>0</v>
      </c>
      <c r="O16" s="483">
        <f>'Consol SoFP 23 &amp; 22'!AM29</f>
        <v>0</v>
      </c>
      <c r="P16" s="500">
        <f t="shared" si="1"/>
        <v>0</v>
      </c>
      <c r="Q16" s="501" t="str">
        <f t="shared" si="2"/>
        <v>Oke</v>
      </c>
    </row>
    <row r="17" spans="2:17">
      <c r="B17" s="493"/>
      <c r="C17" s="494" t="s">
        <v>62</v>
      </c>
      <c r="D17" s="503"/>
      <c r="E17" s="502"/>
      <c r="F17" s="496"/>
      <c r="G17" s="496"/>
      <c r="H17" s="497"/>
      <c r="I17" s="497"/>
      <c r="J17" s="497"/>
      <c r="K17" s="497"/>
      <c r="L17" s="497"/>
      <c r="M17" s="498"/>
      <c r="N17" s="499">
        <f t="shared" si="0"/>
        <v>0</v>
      </c>
      <c r="O17" s="483"/>
      <c r="P17" s="500">
        <f t="shared" si="1"/>
        <v>0</v>
      </c>
      <c r="Q17" s="501" t="str">
        <f t="shared" si="2"/>
        <v>Oke</v>
      </c>
    </row>
    <row r="18" spans="2:17">
      <c r="B18" s="493" t="s">
        <v>802</v>
      </c>
      <c r="C18" s="494" t="s">
        <v>21</v>
      </c>
      <c r="D18" s="503"/>
      <c r="E18" s="496"/>
      <c r="F18" s="495"/>
      <c r="G18" s="496"/>
      <c r="H18" s="497"/>
      <c r="I18" s="497"/>
      <c r="J18" s="497"/>
      <c r="K18" s="497"/>
      <c r="L18" s="497"/>
      <c r="M18" s="498"/>
      <c r="N18" s="499">
        <f t="shared" si="0"/>
        <v>0</v>
      </c>
      <c r="O18" s="483"/>
      <c r="P18" s="500">
        <f t="shared" si="1"/>
        <v>0</v>
      </c>
      <c r="Q18" s="501" t="str">
        <f t="shared" si="2"/>
        <v>Oke</v>
      </c>
    </row>
    <row r="19" spans="2:17">
      <c r="B19" s="493"/>
      <c r="C19" s="494" t="s">
        <v>59</v>
      </c>
      <c r="D19" s="503"/>
      <c r="E19" s="496"/>
      <c r="F19" s="502"/>
      <c r="G19" s="496"/>
      <c r="H19" s="497"/>
      <c r="I19" s="497"/>
      <c r="J19" s="497"/>
      <c r="K19" s="497"/>
      <c r="L19" s="497"/>
      <c r="M19" s="498"/>
      <c r="N19" s="499">
        <f t="shared" si="0"/>
        <v>0</v>
      </c>
      <c r="O19" s="483">
        <v>0</v>
      </c>
      <c r="P19" s="500">
        <f t="shared" si="1"/>
        <v>0</v>
      </c>
      <c r="Q19" s="501" t="str">
        <f t="shared" si="2"/>
        <v>Oke</v>
      </c>
    </row>
    <row r="20" spans="2:17">
      <c r="B20" s="493"/>
      <c r="C20" s="494" t="s">
        <v>29</v>
      </c>
      <c r="D20" s="503"/>
      <c r="E20" s="496"/>
      <c r="F20" s="502"/>
      <c r="G20" s="496"/>
      <c r="H20" s="497"/>
      <c r="I20" s="497"/>
      <c r="J20" s="497"/>
      <c r="K20" s="497"/>
      <c r="L20" s="497"/>
      <c r="M20" s="498"/>
      <c r="N20" s="499">
        <f t="shared" si="0"/>
        <v>0</v>
      </c>
      <c r="O20" s="483"/>
      <c r="P20" s="500">
        <f t="shared" si="1"/>
        <v>0</v>
      </c>
      <c r="Q20" s="501" t="str">
        <f t="shared" si="2"/>
        <v>Oke</v>
      </c>
    </row>
    <row r="21" spans="2:17">
      <c r="B21" s="493"/>
      <c r="C21" s="494" t="s">
        <v>65</v>
      </c>
      <c r="D21" s="503"/>
      <c r="E21" s="496"/>
      <c r="F21" s="502"/>
      <c r="G21" s="496"/>
      <c r="H21" s="497"/>
      <c r="I21" s="497"/>
      <c r="J21" s="497"/>
      <c r="K21" s="497"/>
      <c r="L21" s="497"/>
      <c r="M21" s="498"/>
      <c r="N21" s="499"/>
      <c r="O21" s="483">
        <v>0</v>
      </c>
      <c r="P21" s="500">
        <f t="shared" si="1"/>
        <v>0</v>
      </c>
      <c r="Q21" s="501" t="str">
        <f t="shared" si="2"/>
        <v>Oke</v>
      </c>
    </row>
    <row r="22" spans="2:17">
      <c r="B22" s="493"/>
      <c r="C22" s="494" t="s">
        <v>32</v>
      </c>
      <c r="D22" s="503"/>
      <c r="E22" s="496"/>
      <c r="F22" s="502"/>
      <c r="G22" s="496"/>
      <c r="H22" s="497"/>
      <c r="I22" s="497"/>
      <c r="J22" s="497"/>
      <c r="K22" s="497"/>
      <c r="L22" s="497"/>
      <c r="M22" s="498"/>
      <c r="N22" s="499">
        <f t="shared" ref="N22:N59" si="3">SUM(D22:M22)</f>
        <v>0</v>
      </c>
      <c r="O22" s="483">
        <v>0</v>
      </c>
      <c r="P22" s="500">
        <f t="shared" si="1"/>
        <v>0</v>
      </c>
      <c r="Q22" s="501" t="str">
        <f t="shared" si="2"/>
        <v>Oke</v>
      </c>
    </row>
    <row r="23" spans="2:17">
      <c r="B23" s="493"/>
      <c r="C23" s="494" t="s">
        <v>62</v>
      </c>
      <c r="D23" s="503"/>
      <c r="E23" s="496"/>
      <c r="F23" s="502"/>
      <c r="G23" s="496"/>
      <c r="H23" s="497"/>
      <c r="I23" s="497"/>
      <c r="J23" s="497"/>
      <c r="K23" s="497"/>
      <c r="L23" s="497"/>
      <c r="M23" s="498"/>
      <c r="N23" s="499">
        <f t="shared" si="3"/>
        <v>0</v>
      </c>
      <c r="O23" s="483">
        <v>0</v>
      </c>
      <c r="P23" s="500">
        <f t="shared" si="1"/>
        <v>0</v>
      </c>
      <c r="Q23" s="501" t="str">
        <f t="shared" si="2"/>
        <v>Oke</v>
      </c>
    </row>
    <row r="24" spans="2:17">
      <c r="B24" s="493" t="s">
        <v>740</v>
      </c>
      <c r="C24" s="494" t="s">
        <v>21</v>
      </c>
      <c r="D24" s="503"/>
      <c r="E24" s="496"/>
      <c r="F24" s="496"/>
      <c r="G24" s="495"/>
      <c r="H24" s="497"/>
      <c r="I24" s="497"/>
      <c r="J24" s="497"/>
      <c r="K24" s="497"/>
      <c r="L24" s="497"/>
      <c r="M24" s="498"/>
      <c r="N24" s="499">
        <f t="shared" si="3"/>
        <v>0</v>
      </c>
      <c r="O24" s="483">
        <v>0</v>
      </c>
      <c r="P24" s="500">
        <f t="shared" si="1"/>
        <v>0</v>
      </c>
      <c r="Q24" s="501" t="str">
        <f t="shared" si="2"/>
        <v>Oke</v>
      </c>
    </row>
    <row r="25" spans="2:17">
      <c r="B25" s="493"/>
      <c r="C25" s="494" t="s">
        <v>59</v>
      </c>
      <c r="D25" s="503">
        <v>-1575000</v>
      </c>
      <c r="E25" s="496"/>
      <c r="F25" s="496"/>
      <c r="G25" s="495"/>
      <c r="H25" s="497"/>
      <c r="I25" s="497"/>
      <c r="J25" s="497"/>
      <c r="K25" s="497"/>
      <c r="L25" s="497"/>
      <c r="M25" s="498"/>
      <c r="N25" s="499">
        <f t="shared" si="3"/>
        <v>-1575000</v>
      </c>
      <c r="O25" s="483">
        <f>'Consol SoFP 23 &amp; 22'!AP61</f>
        <v>-1575000</v>
      </c>
      <c r="P25" s="500">
        <f t="shared" si="1"/>
        <v>0</v>
      </c>
      <c r="Q25" s="501" t="str">
        <f t="shared" si="2"/>
        <v>Oke</v>
      </c>
    </row>
    <row r="26" spans="2:17">
      <c r="B26" s="493"/>
      <c r="C26" s="494" t="s">
        <v>29</v>
      </c>
      <c r="D26" s="503"/>
      <c r="E26" s="496"/>
      <c r="F26" s="496"/>
      <c r="G26" s="495"/>
      <c r="H26" s="497"/>
      <c r="I26" s="497"/>
      <c r="J26" s="497"/>
      <c r="K26" s="497"/>
      <c r="L26" s="497"/>
      <c r="M26" s="498"/>
      <c r="N26" s="499">
        <f t="shared" si="3"/>
        <v>0</v>
      </c>
      <c r="O26" s="483"/>
      <c r="P26" s="500">
        <f t="shared" si="1"/>
        <v>0</v>
      </c>
      <c r="Q26" s="501" t="str">
        <f t="shared" si="2"/>
        <v>Oke</v>
      </c>
    </row>
    <row r="27" spans="2:17">
      <c r="B27" s="493"/>
      <c r="C27" s="494" t="s">
        <v>65</v>
      </c>
      <c r="D27" s="503"/>
      <c r="E27" s="496"/>
      <c r="F27" s="496"/>
      <c r="G27" s="502"/>
      <c r="H27" s="497"/>
      <c r="I27" s="497"/>
      <c r="J27" s="497"/>
      <c r="K27" s="497"/>
      <c r="L27" s="497"/>
      <c r="M27" s="498"/>
      <c r="N27" s="499">
        <f t="shared" si="3"/>
        <v>0</v>
      </c>
      <c r="O27" s="483">
        <v>0</v>
      </c>
      <c r="P27" s="500">
        <f t="shared" si="1"/>
        <v>0</v>
      </c>
      <c r="Q27" s="501" t="str">
        <f t="shared" si="2"/>
        <v>Oke</v>
      </c>
    </row>
    <row r="28" spans="2:17">
      <c r="B28" s="493"/>
      <c r="C28" s="494" t="s">
        <v>32</v>
      </c>
      <c r="D28" s="503"/>
      <c r="E28" s="496"/>
      <c r="F28" s="496"/>
      <c r="G28" s="502"/>
      <c r="H28" s="497"/>
      <c r="I28" s="497"/>
      <c r="J28" s="497"/>
      <c r="K28" s="497"/>
      <c r="L28" s="497"/>
      <c r="M28" s="498"/>
      <c r="N28" s="499">
        <f t="shared" si="3"/>
        <v>0</v>
      </c>
      <c r="O28" s="483">
        <f>'Consol SoFP 23 &amp; 22'!AP29</f>
        <v>0</v>
      </c>
      <c r="P28" s="500">
        <f t="shared" si="1"/>
        <v>0</v>
      </c>
      <c r="Q28" s="501" t="str">
        <f t="shared" si="2"/>
        <v>Oke</v>
      </c>
    </row>
    <row r="29" spans="2:17">
      <c r="B29" s="493"/>
      <c r="C29" s="494" t="s">
        <v>62</v>
      </c>
      <c r="D29" s="503"/>
      <c r="E29" s="496"/>
      <c r="F29" s="496"/>
      <c r="G29" s="502"/>
      <c r="H29" s="497"/>
      <c r="I29" s="497"/>
      <c r="J29" s="497"/>
      <c r="K29" s="497"/>
      <c r="L29" s="497"/>
      <c r="M29" s="498"/>
      <c r="N29" s="499">
        <f t="shared" si="3"/>
        <v>0</v>
      </c>
      <c r="O29" s="483">
        <v>0</v>
      </c>
      <c r="P29" s="500">
        <f t="shared" si="1"/>
        <v>0</v>
      </c>
      <c r="Q29" s="501" t="str">
        <f t="shared" si="2"/>
        <v>Oke</v>
      </c>
    </row>
    <row r="30" spans="2:17">
      <c r="B30" s="493" t="s">
        <v>465</v>
      </c>
      <c r="C30" s="494" t="s">
        <v>21</v>
      </c>
      <c r="D30" s="503"/>
      <c r="E30" s="496"/>
      <c r="F30" s="496"/>
      <c r="G30" s="496"/>
      <c r="H30" s="502"/>
      <c r="I30" s="497"/>
      <c r="J30" s="497"/>
      <c r="K30" s="497"/>
      <c r="L30" s="497"/>
      <c r="M30" s="498"/>
      <c r="N30" s="499">
        <f t="shared" si="3"/>
        <v>0</v>
      </c>
      <c r="O30" s="483">
        <v>0</v>
      </c>
      <c r="P30" s="500">
        <f t="shared" si="1"/>
        <v>0</v>
      </c>
      <c r="Q30" s="501" t="str">
        <f t="shared" si="2"/>
        <v>Oke</v>
      </c>
    </row>
    <row r="31" spans="2:17">
      <c r="B31" s="493"/>
      <c r="C31" s="494" t="s">
        <v>59</v>
      </c>
      <c r="D31" s="503"/>
      <c r="E31" s="496">
        <v>0</v>
      </c>
      <c r="F31" s="496"/>
      <c r="G31" s="496"/>
      <c r="H31" s="502"/>
      <c r="I31" s="497"/>
      <c r="J31" s="497"/>
      <c r="K31" s="497"/>
      <c r="L31" s="497"/>
      <c r="M31" s="498">
        <v>0</v>
      </c>
      <c r="N31" s="499">
        <f t="shared" si="3"/>
        <v>0</v>
      </c>
      <c r="O31" s="483">
        <f>'Consol SoFP 23 &amp; 22'!AS61</f>
        <v>0</v>
      </c>
      <c r="P31" s="500">
        <f t="shared" si="1"/>
        <v>0</v>
      </c>
      <c r="Q31" s="501" t="str">
        <f t="shared" si="2"/>
        <v>Oke</v>
      </c>
    </row>
    <row r="32" spans="2:17">
      <c r="B32" s="493"/>
      <c r="C32" s="494" t="s">
        <v>29</v>
      </c>
      <c r="D32" s="503">
        <v>14058094952.475</v>
      </c>
      <c r="E32" s="496"/>
      <c r="F32" s="496"/>
      <c r="G32" s="496"/>
      <c r="H32" s="502"/>
      <c r="I32" s="497"/>
      <c r="J32" s="497"/>
      <c r="K32" s="497"/>
      <c r="L32" s="497"/>
      <c r="M32" s="498"/>
      <c r="N32" s="499">
        <f t="shared" si="3"/>
        <v>14058094952.475</v>
      </c>
      <c r="O32" s="483">
        <f>'Consol SoFP 23 &amp; 22'!AS26</f>
        <v>14058094952</v>
      </c>
      <c r="P32" s="500">
        <f t="shared" si="1"/>
        <v>0</v>
      </c>
      <c r="Q32" s="501" t="str">
        <f t="shared" si="2"/>
        <v>Oke</v>
      </c>
    </row>
    <row r="33" spans="2:17">
      <c r="B33" s="493"/>
      <c r="C33" s="494" t="s">
        <v>65</v>
      </c>
      <c r="D33" s="503">
        <v>0</v>
      </c>
      <c r="E33" s="496">
        <f>-54273000*1.575</f>
        <v>-85479975</v>
      </c>
      <c r="F33" s="496"/>
      <c r="G33" s="496"/>
      <c r="H33" s="502"/>
      <c r="I33" s="497"/>
      <c r="J33" s="497"/>
      <c r="K33" s="497"/>
      <c r="L33" s="497"/>
      <c r="M33" s="498">
        <v>-40302224.549999997</v>
      </c>
      <c r="N33" s="499">
        <f t="shared" si="3"/>
        <v>-125782199.55</v>
      </c>
      <c r="O33" s="483">
        <f>'Consol SoFP 23 &amp; 22'!AS67</f>
        <v>-125782200</v>
      </c>
      <c r="P33" s="500">
        <f t="shared" si="1"/>
        <v>0</v>
      </c>
      <c r="Q33" s="501" t="str">
        <f t="shared" si="2"/>
        <v>Oke</v>
      </c>
    </row>
    <row r="34" spans="2:17">
      <c r="B34" s="493"/>
      <c r="C34" s="494" t="s">
        <v>32</v>
      </c>
      <c r="D34" s="503"/>
      <c r="E34" s="496"/>
      <c r="F34" s="496"/>
      <c r="G34" s="496"/>
      <c r="H34" s="502"/>
      <c r="I34" s="497"/>
      <c r="J34" s="497"/>
      <c r="K34" s="497"/>
      <c r="L34" s="497"/>
      <c r="M34" s="498"/>
      <c r="N34" s="499">
        <f t="shared" si="3"/>
        <v>0</v>
      </c>
      <c r="O34" s="483"/>
      <c r="P34" s="500">
        <f t="shared" si="1"/>
        <v>0</v>
      </c>
      <c r="Q34" s="501" t="str">
        <f t="shared" si="2"/>
        <v>Oke</v>
      </c>
    </row>
    <row r="35" spans="2:17">
      <c r="B35" s="493"/>
      <c r="C35" s="494" t="s">
        <v>62</v>
      </c>
      <c r="D35" s="503"/>
      <c r="E35" s="496"/>
      <c r="F35" s="496"/>
      <c r="G35" s="496"/>
      <c r="H35" s="502"/>
      <c r="I35" s="497"/>
      <c r="J35" s="497"/>
      <c r="K35" s="497"/>
      <c r="L35" s="497"/>
      <c r="M35" s="498"/>
      <c r="N35" s="499">
        <f t="shared" si="3"/>
        <v>0</v>
      </c>
      <c r="O35" s="483"/>
      <c r="P35" s="500">
        <f t="shared" si="1"/>
        <v>0</v>
      </c>
      <c r="Q35" s="501" t="str">
        <f t="shared" si="2"/>
        <v>Oke</v>
      </c>
    </row>
    <row r="36" spans="2:17" outlineLevel="1">
      <c r="B36" s="493" t="s">
        <v>815</v>
      </c>
      <c r="C36" s="494" t="s">
        <v>21</v>
      </c>
      <c r="D36" s="503"/>
      <c r="E36" s="496"/>
      <c r="F36" s="496"/>
      <c r="G36" s="496"/>
      <c r="H36" s="497"/>
      <c r="I36" s="502"/>
      <c r="J36" s="497"/>
      <c r="K36" s="497"/>
      <c r="L36" s="497"/>
      <c r="M36" s="498"/>
      <c r="N36" s="499">
        <f t="shared" si="3"/>
        <v>0</v>
      </c>
      <c r="O36" s="483"/>
      <c r="P36" s="500">
        <f t="shared" si="1"/>
        <v>0</v>
      </c>
      <c r="Q36" s="501" t="str">
        <f t="shared" si="2"/>
        <v>Oke</v>
      </c>
    </row>
    <row r="37" spans="2:17" outlineLevel="1">
      <c r="B37" s="493"/>
      <c r="C37" s="494" t="s">
        <v>59</v>
      </c>
      <c r="D37" s="503"/>
      <c r="E37" s="496"/>
      <c r="F37" s="496"/>
      <c r="G37" s="496"/>
      <c r="H37" s="497"/>
      <c r="I37" s="502"/>
      <c r="J37" s="497"/>
      <c r="K37" s="497"/>
      <c r="L37" s="497"/>
      <c r="M37" s="498"/>
      <c r="N37" s="499">
        <f t="shared" si="3"/>
        <v>0</v>
      </c>
      <c r="O37" s="483"/>
      <c r="P37" s="500">
        <f t="shared" si="1"/>
        <v>0</v>
      </c>
      <c r="Q37" s="501" t="str">
        <f t="shared" si="2"/>
        <v>Oke</v>
      </c>
    </row>
    <row r="38" spans="2:17" outlineLevel="1">
      <c r="B38" s="493"/>
      <c r="C38" s="494" t="s">
        <v>29</v>
      </c>
      <c r="D38" s="503"/>
      <c r="E38" s="496"/>
      <c r="F38" s="496"/>
      <c r="G38" s="496"/>
      <c r="H38" s="497"/>
      <c r="I38" s="502"/>
      <c r="J38" s="497"/>
      <c r="K38" s="497"/>
      <c r="L38" s="497"/>
      <c r="M38" s="498"/>
      <c r="N38" s="499">
        <f t="shared" si="3"/>
        <v>0</v>
      </c>
      <c r="O38" s="483"/>
      <c r="P38" s="500">
        <f t="shared" si="1"/>
        <v>0</v>
      </c>
      <c r="Q38" s="501" t="str">
        <f t="shared" si="2"/>
        <v>Oke</v>
      </c>
    </row>
    <row r="39" spans="2:17" outlineLevel="1">
      <c r="B39" s="493"/>
      <c r="C39" s="494" t="s">
        <v>65</v>
      </c>
      <c r="D39" s="503"/>
      <c r="E39" s="496"/>
      <c r="F39" s="496"/>
      <c r="G39" s="496"/>
      <c r="H39" s="497"/>
      <c r="I39" s="502"/>
      <c r="J39" s="497"/>
      <c r="K39" s="497"/>
      <c r="L39" s="497"/>
      <c r="M39" s="498"/>
      <c r="N39" s="499">
        <f t="shared" si="3"/>
        <v>0</v>
      </c>
      <c r="O39" s="483"/>
      <c r="P39" s="500">
        <f t="shared" si="1"/>
        <v>0</v>
      </c>
      <c r="Q39" s="501" t="str">
        <f t="shared" si="2"/>
        <v>Oke</v>
      </c>
    </row>
    <row r="40" spans="2:17" outlineLevel="1">
      <c r="B40" s="493"/>
      <c r="C40" s="494" t="s">
        <v>32</v>
      </c>
      <c r="D40" s="503"/>
      <c r="E40" s="496"/>
      <c r="F40" s="496"/>
      <c r="G40" s="496"/>
      <c r="H40" s="497"/>
      <c r="I40" s="502"/>
      <c r="J40" s="497"/>
      <c r="K40" s="497"/>
      <c r="L40" s="497"/>
      <c r="M40" s="498"/>
      <c r="N40" s="499">
        <f t="shared" si="3"/>
        <v>0</v>
      </c>
      <c r="O40" s="483"/>
      <c r="P40" s="500">
        <f t="shared" si="1"/>
        <v>0</v>
      </c>
      <c r="Q40" s="501" t="str">
        <f t="shared" si="2"/>
        <v>Oke</v>
      </c>
    </row>
    <row r="41" spans="2:17" outlineLevel="1">
      <c r="B41" s="493"/>
      <c r="C41" s="494" t="s">
        <v>62</v>
      </c>
      <c r="D41" s="503"/>
      <c r="E41" s="496"/>
      <c r="F41" s="496"/>
      <c r="G41" s="496"/>
      <c r="H41" s="497"/>
      <c r="I41" s="502"/>
      <c r="J41" s="497"/>
      <c r="K41" s="497"/>
      <c r="L41" s="497"/>
      <c r="M41" s="498"/>
      <c r="N41" s="499">
        <f t="shared" si="3"/>
        <v>0</v>
      </c>
      <c r="O41" s="483"/>
      <c r="P41" s="500">
        <f t="shared" si="1"/>
        <v>0</v>
      </c>
      <c r="Q41" s="501" t="str">
        <f t="shared" si="2"/>
        <v>Oke</v>
      </c>
    </row>
    <row r="42" spans="2:17" outlineLevel="1">
      <c r="B42" s="493" t="s">
        <v>639</v>
      </c>
      <c r="C42" s="494" t="s">
        <v>21</v>
      </c>
      <c r="D42" s="503"/>
      <c r="E42" s="496"/>
      <c r="F42" s="496"/>
      <c r="G42" s="496"/>
      <c r="H42" s="497"/>
      <c r="I42" s="497"/>
      <c r="J42" s="502"/>
      <c r="K42" s="497"/>
      <c r="L42" s="497"/>
      <c r="M42" s="498"/>
      <c r="N42" s="499">
        <f t="shared" si="3"/>
        <v>0</v>
      </c>
      <c r="O42" s="483"/>
      <c r="P42" s="500">
        <f t="shared" si="1"/>
        <v>0</v>
      </c>
      <c r="Q42" s="501" t="str">
        <f t="shared" si="2"/>
        <v>Oke</v>
      </c>
    </row>
    <row r="43" spans="2:17" outlineLevel="1">
      <c r="B43" s="493"/>
      <c r="C43" s="494" t="s">
        <v>59</v>
      </c>
      <c r="D43" s="503"/>
      <c r="E43" s="496"/>
      <c r="F43" s="496"/>
      <c r="G43" s="496"/>
      <c r="H43" s="497"/>
      <c r="I43" s="497"/>
      <c r="J43" s="502"/>
      <c r="K43" s="497"/>
      <c r="L43" s="497"/>
      <c r="M43" s="498"/>
      <c r="N43" s="499">
        <f t="shared" si="3"/>
        <v>0</v>
      </c>
      <c r="O43" s="483"/>
      <c r="P43" s="500">
        <f t="shared" si="1"/>
        <v>0</v>
      </c>
      <c r="Q43" s="501" t="str">
        <f t="shared" si="2"/>
        <v>Oke</v>
      </c>
    </row>
    <row r="44" spans="2:17" outlineLevel="1">
      <c r="B44" s="493"/>
      <c r="C44" s="494" t="s">
        <v>29</v>
      </c>
      <c r="D44" s="503"/>
      <c r="E44" s="496"/>
      <c r="F44" s="496"/>
      <c r="G44" s="496"/>
      <c r="H44" s="497"/>
      <c r="I44" s="497"/>
      <c r="J44" s="502"/>
      <c r="K44" s="497"/>
      <c r="L44" s="497"/>
      <c r="M44" s="498"/>
      <c r="N44" s="499">
        <f t="shared" si="3"/>
        <v>0</v>
      </c>
      <c r="O44" s="483"/>
      <c r="P44" s="500">
        <f t="shared" si="1"/>
        <v>0</v>
      </c>
      <c r="Q44" s="501" t="str">
        <f t="shared" si="2"/>
        <v>Oke</v>
      </c>
    </row>
    <row r="45" spans="2:17" outlineLevel="1">
      <c r="B45" s="493"/>
      <c r="C45" s="494" t="s">
        <v>65</v>
      </c>
      <c r="D45" s="503"/>
      <c r="E45" s="496"/>
      <c r="F45" s="496"/>
      <c r="G45" s="496"/>
      <c r="H45" s="497"/>
      <c r="I45" s="497"/>
      <c r="J45" s="502"/>
      <c r="K45" s="497"/>
      <c r="L45" s="497"/>
      <c r="M45" s="498"/>
      <c r="N45" s="499">
        <f t="shared" si="3"/>
        <v>0</v>
      </c>
      <c r="O45" s="483"/>
      <c r="P45" s="500">
        <f t="shared" si="1"/>
        <v>0</v>
      </c>
      <c r="Q45" s="501" t="str">
        <f t="shared" si="2"/>
        <v>Oke</v>
      </c>
    </row>
    <row r="46" spans="2:17" outlineLevel="1">
      <c r="B46" s="493"/>
      <c r="C46" s="494" t="s">
        <v>32</v>
      </c>
      <c r="D46" s="503"/>
      <c r="E46" s="496"/>
      <c r="F46" s="496"/>
      <c r="G46" s="496"/>
      <c r="H46" s="497"/>
      <c r="I46" s="497"/>
      <c r="J46" s="502"/>
      <c r="K46" s="497"/>
      <c r="L46" s="497"/>
      <c r="M46" s="498"/>
      <c r="N46" s="499">
        <f t="shared" si="3"/>
        <v>0</v>
      </c>
      <c r="O46" s="483"/>
      <c r="P46" s="500">
        <f t="shared" si="1"/>
        <v>0</v>
      </c>
      <c r="Q46" s="501" t="str">
        <f t="shared" si="2"/>
        <v>Oke</v>
      </c>
    </row>
    <row r="47" spans="2:17" outlineLevel="1">
      <c r="B47" s="493"/>
      <c r="C47" s="494" t="s">
        <v>62</v>
      </c>
      <c r="D47" s="503"/>
      <c r="E47" s="496"/>
      <c r="F47" s="496"/>
      <c r="G47" s="496"/>
      <c r="H47" s="497"/>
      <c r="I47" s="497"/>
      <c r="J47" s="502"/>
      <c r="K47" s="497"/>
      <c r="L47" s="497"/>
      <c r="M47" s="498"/>
      <c r="N47" s="499">
        <f t="shared" si="3"/>
        <v>0</v>
      </c>
      <c r="O47" s="483"/>
      <c r="P47" s="500">
        <f t="shared" si="1"/>
        <v>0</v>
      </c>
      <c r="Q47" s="501" t="str">
        <f t="shared" si="2"/>
        <v>Oke</v>
      </c>
    </row>
    <row r="48" spans="2:17" outlineLevel="1">
      <c r="B48" s="493" t="s">
        <v>461</v>
      </c>
      <c r="C48" s="494" t="s">
        <v>21</v>
      </c>
      <c r="D48" s="503"/>
      <c r="E48" s="496"/>
      <c r="F48" s="496"/>
      <c r="G48" s="496"/>
      <c r="H48" s="497"/>
      <c r="I48" s="497"/>
      <c r="J48" s="497"/>
      <c r="K48" s="502"/>
      <c r="L48" s="497"/>
      <c r="M48" s="498"/>
      <c r="N48" s="499">
        <f t="shared" si="3"/>
        <v>0</v>
      </c>
      <c r="O48" s="483"/>
      <c r="P48" s="500">
        <f t="shared" si="1"/>
        <v>0</v>
      </c>
      <c r="Q48" s="501" t="str">
        <f t="shared" si="2"/>
        <v>Oke</v>
      </c>
    </row>
    <row r="49" spans="2:17" outlineLevel="1">
      <c r="B49" s="493"/>
      <c r="C49" s="494" t="s">
        <v>59</v>
      </c>
      <c r="D49" s="503"/>
      <c r="E49" s="496"/>
      <c r="F49" s="496"/>
      <c r="G49" s="496"/>
      <c r="H49" s="497"/>
      <c r="I49" s="497"/>
      <c r="J49" s="497"/>
      <c r="K49" s="502"/>
      <c r="L49" s="497"/>
      <c r="M49" s="498"/>
      <c r="N49" s="499">
        <f t="shared" si="3"/>
        <v>0</v>
      </c>
      <c r="O49" s="483"/>
      <c r="P49" s="500">
        <f t="shared" si="1"/>
        <v>0</v>
      </c>
      <c r="Q49" s="501" t="str">
        <f t="shared" si="2"/>
        <v>Oke</v>
      </c>
    </row>
    <row r="50" spans="2:17" outlineLevel="1">
      <c r="B50" s="493"/>
      <c r="C50" s="494" t="s">
        <v>29</v>
      </c>
      <c r="D50" s="503"/>
      <c r="E50" s="496"/>
      <c r="F50" s="496"/>
      <c r="G50" s="496"/>
      <c r="H50" s="497"/>
      <c r="I50" s="497"/>
      <c r="J50" s="497"/>
      <c r="K50" s="502"/>
      <c r="L50" s="497"/>
      <c r="M50" s="498"/>
      <c r="N50" s="499">
        <f t="shared" si="3"/>
        <v>0</v>
      </c>
      <c r="O50" s="483"/>
      <c r="P50" s="500">
        <f t="shared" si="1"/>
        <v>0</v>
      </c>
      <c r="Q50" s="501" t="str">
        <f t="shared" si="2"/>
        <v>Oke</v>
      </c>
    </row>
    <row r="51" spans="2:17" outlineLevel="1">
      <c r="B51" s="493"/>
      <c r="C51" s="494" t="s">
        <v>65</v>
      </c>
      <c r="D51" s="503"/>
      <c r="E51" s="496"/>
      <c r="F51" s="496"/>
      <c r="G51" s="496"/>
      <c r="H51" s="497"/>
      <c r="I51" s="497"/>
      <c r="J51" s="497"/>
      <c r="K51" s="502"/>
      <c r="L51" s="497"/>
      <c r="M51" s="498"/>
      <c r="N51" s="499">
        <f t="shared" si="3"/>
        <v>0</v>
      </c>
      <c r="O51" s="483"/>
      <c r="P51" s="500">
        <f t="shared" si="1"/>
        <v>0</v>
      </c>
      <c r="Q51" s="501" t="str">
        <f t="shared" si="2"/>
        <v>Oke</v>
      </c>
    </row>
    <row r="52" spans="2:17" outlineLevel="1">
      <c r="B52" s="493"/>
      <c r="C52" s="494" t="s">
        <v>32</v>
      </c>
      <c r="D52" s="503"/>
      <c r="E52" s="496"/>
      <c r="F52" s="496"/>
      <c r="G52" s="496"/>
      <c r="H52" s="497"/>
      <c r="I52" s="497"/>
      <c r="J52" s="497"/>
      <c r="K52" s="502"/>
      <c r="L52" s="497"/>
      <c r="M52" s="498"/>
      <c r="N52" s="499">
        <f t="shared" si="3"/>
        <v>0</v>
      </c>
      <c r="O52" s="483"/>
      <c r="P52" s="500">
        <f t="shared" si="1"/>
        <v>0</v>
      </c>
      <c r="Q52" s="501" t="str">
        <f t="shared" si="2"/>
        <v>Oke</v>
      </c>
    </row>
    <row r="53" spans="2:17" outlineLevel="1">
      <c r="B53" s="493"/>
      <c r="C53" s="494" t="s">
        <v>62</v>
      </c>
      <c r="D53" s="503"/>
      <c r="E53" s="496"/>
      <c r="F53" s="496"/>
      <c r="G53" s="496"/>
      <c r="H53" s="497"/>
      <c r="I53" s="497"/>
      <c r="J53" s="497"/>
      <c r="K53" s="502"/>
      <c r="L53" s="497"/>
      <c r="M53" s="498"/>
      <c r="N53" s="499">
        <f t="shared" si="3"/>
        <v>0</v>
      </c>
      <c r="O53" s="483"/>
      <c r="P53" s="500">
        <f t="shared" si="1"/>
        <v>0</v>
      </c>
      <c r="Q53" s="501" t="str">
        <f t="shared" si="2"/>
        <v>Oke</v>
      </c>
    </row>
    <row r="54" spans="2:17" outlineLevel="1">
      <c r="B54" s="493" t="s">
        <v>796</v>
      </c>
      <c r="C54" s="494" t="s">
        <v>21</v>
      </c>
      <c r="D54" s="503"/>
      <c r="E54" s="496"/>
      <c r="F54" s="496"/>
      <c r="G54" s="496"/>
      <c r="H54" s="497"/>
      <c r="I54" s="497"/>
      <c r="J54" s="497"/>
      <c r="K54" s="497"/>
      <c r="L54" s="497"/>
      <c r="M54" s="498"/>
      <c r="N54" s="499">
        <f t="shared" si="3"/>
        <v>0</v>
      </c>
      <c r="O54" s="483"/>
      <c r="P54" s="500">
        <f t="shared" si="1"/>
        <v>0</v>
      </c>
      <c r="Q54" s="501" t="str">
        <f t="shared" si="2"/>
        <v>Oke</v>
      </c>
    </row>
    <row r="55" spans="2:17" outlineLevel="1">
      <c r="B55" s="493"/>
      <c r="C55" s="494" t="s">
        <v>59</v>
      </c>
      <c r="D55" s="503"/>
      <c r="E55" s="496"/>
      <c r="F55" s="496"/>
      <c r="G55" s="496"/>
      <c r="H55" s="497"/>
      <c r="I55" s="497"/>
      <c r="J55" s="497"/>
      <c r="K55" s="497"/>
      <c r="L55" s="497"/>
      <c r="M55" s="498"/>
      <c r="N55" s="499">
        <f t="shared" si="3"/>
        <v>0</v>
      </c>
      <c r="O55" s="483"/>
      <c r="P55" s="500">
        <f t="shared" si="1"/>
        <v>0</v>
      </c>
      <c r="Q55" s="501" t="str">
        <f t="shared" si="2"/>
        <v>Oke</v>
      </c>
    </row>
    <row r="56" spans="2:17" outlineLevel="1">
      <c r="B56" s="493"/>
      <c r="C56" s="494" t="s">
        <v>29</v>
      </c>
      <c r="D56" s="503"/>
      <c r="E56" s="496"/>
      <c r="F56" s="496"/>
      <c r="G56" s="496"/>
      <c r="H56" s="497"/>
      <c r="I56" s="497"/>
      <c r="J56" s="497"/>
      <c r="K56" s="497"/>
      <c r="L56" s="497"/>
      <c r="M56" s="498"/>
      <c r="N56" s="499">
        <f t="shared" si="3"/>
        <v>0</v>
      </c>
      <c r="O56" s="483"/>
      <c r="P56" s="500">
        <f t="shared" si="1"/>
        <v>0</v>
      </c>
      <c r="Q56" s="501" t="str">
        <f t="shared" si="2"/>
        <v>Oke</v>
      </c>
    </row>
    <row r="57" spans="2:17" outlineLevel="1">
      <c r="B57" s="493"/>
      <c r="C57" s="494" t="s">
        <v>65</v>
      </c>
      <c r="D57" s="503"/>
      <c r="E57" s="496"/>
      <c r="F57" s="496"/>
      <c r="G57" s="496"/>
      <c r="H57" s="497"/>
      <c r="I57" s="497"/>
      <c r="J57" s="497"/>
      <c r="K57" s="497"/>
      <c r="L57" s="497"/>
      <c r="M57" s="498"/>
      <c r="N57" s="499">
        <f t="shared" si="3"/>
        <v>0</v>
      </c>
      <c r="O57" s="483"/>
      <c r="P57" s="500">
        <f t="shared" si="1"/>
        <v>0</v>
      </c>
      <c r="Q57" s="501" t="str">
        <f t="shared" si="2"/>
        <v>Oke</v>
      </c>
    </row>
    <row r="58" spans="2:17" outlineLevel="1">
      <c r="B58" s="493"/>
      <c r="C58" s="494" t="s">
        <v>32</v>
      </c>
      <c r="D58" s="503"/>
      <c r="E58" s="496"/>
      <c r="F58" s="496"/>
      <c r="G58" s="496"/>
      <c r="H58" s="497"/>
      <c r="I58" s="497"/>
      <c r="J58" s="497"/>
      <c r="K58" s="497"/>
      <c r="L58" s="497"/>
      <c r="M58" s="498"/>
      <c r="N58" s="499">
        <f t="shared" si="3"/>
        <v>0</v>
      </c>
      <c r="O58" s="483"/>
      <c r="P58" s="500">
        <f t="shared" si="1"/>
        <v>0</v>
      </c>
      <c r="Q58" s="501" t="str">
        <f t="shared" si="2"/>
        <v>Oke</v>
      </c>
    </row>
    <row r="59" spans="2:17" outlineLevel="1">
      <c r="B59" s="493"/>
      <c r="C59" s="494" t="s">
        <v>62</v>
      </c>
      <c r="D59" s="503"/>
      <c r="E59" s="496"/>
      <c r="F59" s="496"/>
      <c r="G59" s="496"/>
      <c r="H59" s="497"/>
      <c r="I59" s="497"/>
      <c r="J59" s="497"/>
      <c r="K59" s="497"/>
      <c r="L59" s="497"/>
      <c r="M59" s="498"/>
      <c r="N59" s="499">
        <f t="shared" si="3"/>
        <v>0</v>
      </c>
      <c r="O59" s="483"/>
      <c r="P59" s="500">
        <f t="shared" si="1"/>
        <v>0</v>
      </c>
      <c r="Q59" s="501" t="str">
        <f t="shared" si="2"/>
        <v>Oke</v>
      </c>
    </row>
    <row r="60" spans="2:17">
      <c r="B60" s="493" t="s">
        <v>609</v>
      </c>
      <c r="C60" s="494" t="s">
        <v>21</v>
      </c>
      <c r="D60" s="503">
        <v>0</v>
      </c>
      <c r="E60" s="496"/>
      <c r="F60" s="496"/>
      <c r="G60" s="496"/>
      <c r="H60" s="497"/>
      <c r="I60" s="497"/>
      <c r="J60" s="497"/>
      <c r="K60" s="497"/>
      <c r="L60" s="502"/>
      <c r="M60" s="498">
        <f>11948895699*1.575</f>
        <v>18819510725.924999</v>
      </c>
      <c r="N60" s="499">
        <f t="shared" ref="N60:N65" si="4">SUM(D60:M60)</f>
        <v>18819510725.924999</v>
      </c>
      <c r="O60" s="483">
        <f>'Consol SoFP 23 &amp; 22'!AV18</f>
        <v>18819510726</v>
      </c>
      <c r="P60" s="500">
        <f t="shared" ref="P60:P65" si="5">ROUND(N60-O60,0)</f>
        <v>0</v>
      </c>
      <c r="Q60" s="501" t="str">
        <f t="shared" ref="Q60:Q65" si="6">IF(P60=0,"Oke","recheck")</f>
        <v>Oke</v>
      </c>
    </row>
    <row r="61" spans="2:17">
      <c r="B61" s="493"/>
      <c r="C61" s="494" t="s">
        <v>59</v>
      </c>
      <c r="D61" s="503">
        <v>0</v>
      </c>
      <c r="E61" s="496"/>
      <c r="F61" s="496"/>
      <c r="G61" s="496"/>
      <c r="H61" s="497"/>
      <c r="I61" s="497"/>
      <c r="J61" s="497"/>
      <c r="K61" s="497"/>
      <c r="L61" s="502"/>
      <c r="M61" s="498"/>
      <c r="N61" s="499">
        <f t="shared" si="4"/>
        <v>0</v>
      </c>
      <c r="O61" s="483">
        <v>0</v>
      </c>
      <c r="P61" s="500">
        <f t="shared" si="5"/>
        <v>0</v>
      </c>
      <c r="Q61" s="501" t="str">
        <f t="shared" si="6"/>
        <v>Oke</v>
      </c>
    </row>
    <row r="62" spans="2:17">
      <c r="B62" s="493"/>
      <c r="C62" s="494" t="s">
        <v>29</v>
      </c>
      <c r="D62" s="503">
        <v>0</v>
      </c>
      <c r="E62" s="496">
        <v>0</v>
      </c>
      <c r="F62" s="496"/>
      <c r="G62" s="496"/>
      <c r="H62" s="497"/>
      <c r="I62" s="497"/>
      <c r="J62" s="497">
        <v>0</v>
      </c>
      <c r="K62" s="497"/>
      <c r="L62" s="502"/>
      <c r="M62" s="498"/>
      <c r="N62" s="499">
        <f t="shared" si="4"/>
        <v>0</v>
      </c>
      <c r="O62" s="483">
        <f>'Consol SoFP 23 &amp; 22'!AT26</f>
        <v>0</v>
      </c>
      <c r="P62" s="500">
        <f t="shared" si="5"/>
        <v>0</v>
      </c>
      <c r="Q62" s="501" t="str">
        <f t="shared" si="6"/>
        <v>Oke</v>
      </c>
    </row>
    <row r="63" spans="2:17">
      <c r="B63" s="493"/>
      <c r="C63" s="494" t="s">
        <v>65</v>
      </c>
      <c r="D63" s="503">
        <v>-130394112647.57324</v>
      </c>
      <c r="E63" s="496">
        <v>-3050955732.4749999</v>
      </c>
      <c r="F63" s="496"/>
      <c r="G63" s="496"/>
      <c r="H63" s="497"/>
      <c r="I63" s="497"/>
      <c r="J63" s="497"/>
      <c r="K63" s="497"/>
      <c r="L63" s="502"/>
      <c r="M63" s="498"/>
      <c r="N63" s="499">
        <f t="shared" si="4"/>
        <v>-133445068380.04825</v>
      </c>
      <c r="O63" s="483">
        <f>'Consol SoFP 23 &amp; 22'!AV83+'Consol SoFP 23 &amp; 22'!AV67</f>
        <v>-133445068380</v>
      </c>
      <c r="P63" s="500">
        <f t="shared" si="5"/>
        <v>0</v>
      </c>
      <c r="Q63" s="501" t="str">
        <f t="shared" si="6"/>
        <v>Oke</v>
      </c>
    </row>
    <row r="64" spans="2:17">
      <c r="B64" s="493"/>
      <c r="C64" s="494" t="s">
        <v>32</v>
      </c>
      <c r="D64" s="503"/>
      <c r="E64" s="496"/>
      <c r="F64" s="496"/>
      <c r="G64" s="496"/>
      <c r="H64" s="497"/>
      <c r="I64" s="497"/>
      <c r="J64" s="497"/>
      <c r="K64" s="497"/>
      <c r="L64" s="502"/>
      <c r="M64" s="498"/>
      <c r="N64" s="499">
        <f t="shared" si="4"/>
        <v>0</v>
      </c>
      <c r="O64" s="483"/>
      <c r="P64" s="500">
        <f t="shared" si="5"/>
        <v>0</v>
      </c>
      <c r="Q64" s="501" t="str">
        <f t="shared" si="6"/>
        <v>Oke</v>
      </c>
    </row>
    <row r="65" spans="2:17">
      <c r="B65" s="493"/>
      <c r="C65" s="494" t="s">
        <v>62</v>
      </c>
      <c r="D65" s="503">
        <v>0</v>
      </c>
      <c r="E65" s="496">
        <v>-1798008334</v>
      </c>
      <c r="F65" s="496"/>
      <c r="G65" s="496"/>
      <c r="H65" s="497"/>
      <c r="I65" s="497"/>
      <c r="J65" s="497"/>
      <c r="K65" s="497"/>
      <c r="L65" s="502"/>
      <c r="M65" s="498"/>
      <c r="N65" s="499">
        <f t="shared" si="4"/>
        <v>-1798008334</v>
      </c>
      <c r="O65" s="483">
        <f>'Consol SoFP 23 &amp; 22'!AT64</f>
        <v>-1798008334</v>
      </c>
      <c r="P65" s="500">
        <f t="shared" si="5"/>
        <v>0</v>
      </c>
      <c r="Q65" s="501" t="str">
        <f t="shared" si="6"/>
        <v>Oke</v>
      </c>
    </row>
  </sheetData>
  <mergeCells count="5">
    <mergeCell ref="B4:C5"/>
    <mergeCell ref="E4:G4"/>
    <mergeCell ref="H4:L4"/>
    <mergeCell ref="M4:M5"/>
    <mergeCell ref="N4:N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2AC8-99BF-4A33-B791-A0CB345F3E11}">
  <dimension ref="A1:AF193"/>
  <sheetViews>
    <sheetView workbookViewId="0"/>
  </sheetViews>
  <sheetFormatPr defaultColWidth="9.1796875" defaultRowHeight="12.5" outlineLevelCol="1"/>
  <cols>
    <col min="1" max="1" width="1" style="206" customWidth="1"/>
    <col min="2" max="2" width="2.453125" style="206" customWidth="1"/>
    <col min="3" max="3" width="1.81640625" style="206" customWidth="1"/>
    <col min="4" max="4" width="37" style="206" customWidth="1"/>
    <col min="5" max="6" width="21" style="206" customWidth="1" outlineLevel="1"/>
    <col min="7" max="7" width="21" style="206" customWidth="1"/>
    <col min="8" max="9" width="21" style="206" customWidth="1" outlineLevel="1"/>
    <col min="10" max="10" width="21" style="206" customWidth="1"/>
    <col min="11" max="12" width="21" style="206" hidden="1" customWidth="1" outlineLevel="1"/>
    <col min="13" max="13" width="21" style="206" customWidth="1" collapsed="1"/>
    <col min="14" max="15" width="21" style="206" customWidth="1" outlineLevel="1"/>
    <col min="16" max="16" width="21" style="206" customWidth="1"/>
    <col min="17" max="18" width="21" style="206" customWidth="1" outlineLevel="1"/>
    <col min="19" max="19" width="21" style="206" customWidth="1"/>
    <col min="20" max="21" width="21" style="206" customWidth="1" outlineLevel="1"/>
    <col min="22" max="22" width="21" style="206" customWidth="1"/>
    <col min="23" max="24" width="21" style="206" hidden="1" customWidth="1" outlineLevel="1"/>
    <col min="25" max="25" width="21" style="206" customWidth="1" collapsed="1"/>
    <col min="26" max="26" width="1.54296875" style="206" customWidth="1"/>
    <col min="27" max="27" width="21" style="206" customWidth="1"/>
    <col min="28" max="28" width="1.54296875" style="206" customWidth="1"/>
    <col min="29" max="31" width="21" style="206" customWidth="1"/>
    <col min="32" max="32" width="9.1796875" style="206"/>
    <col min="33" max="33" width="15" style="206" bestFit="1" customWidth="1"/>
    <col min="34" max="16384" width="9.1796875" style="206"/>
  </cols>
  <sheetData>
    <row r="1" spans="1:31" s="417" customFormat="1" ht="13">
      <c r="A1" s="414" t="s">
        <v>542</v>
      </c>
      <c r="B1" s="415"/>
      <c r="C1" s="416"/>
    </row>
    <row r="2" spans="1:31" s="417" customFormat="1" ht="13">
      <c r="A2" s="414" t="s">
        <v>421</v>
      </c>
      <c r="B2" s="415"/>
      <c r="C2" s="416"/>
    </row>
    <row r="3" spans="1:31" s="417" customFormat="1" ht="13">
      <c r="A3" s="418" t="s">
        <v>818</v>
      </c>
      <c r="B3" s="415"/>
      <c r="C3" s="416"/>
    </row>
    <row r="4" spans="1:31" s="417" customFormat="1" ht="13">
      <c r="B4" s="415"/>
      <c r="C4" s="416"/>
    </row>
    <row r="5" spans="1:31" s="417" customFormat="1"/>
    <row r="6" spans="1:31" s="422" customFormat="1" ht="13">
      <c r="A6" s="419" t="s">
        <v>423</v>
      </c>
      <c r="B6" s="420"/>
      <c r="C6" s="421"/>
    </row>
    <row r="7" spans="1:31" s="423" customFormat="1">
      <c r="H7" s="424"/>
      <c r="K7" s="424"/>
      <c r="N7" s="424"/>
      <c r="Q7" s="424"/>
      <c r="T7" s="424"/>
      <c r="W7" s="424"/>
    </row>
    <row r="8" spans="1:31" s="423" customFormat="1">
      <c r="G8" s="425"/>
      <c r="H8" s="424"/>
      <c r="K8" s="424"/>
      <c r="N8" s="424"/>
      <c r="Q8" s="424"/>
      <c r="T8" s="424"/>
      <c r="W8" s="424"/>
    </row>
    <row r="9" spans="1:31" s="423" customFormat="1" ht="13">
      <c r="E9" s="426"/>
      <c r="F9" s="426"/>
      <c r="G9" s="426" t="s">
        <v>462</v>
      </c>
      <c r="H9" s="426"/>
      <c r="I9" s="426"/>
      <c r="J9" s="426" t="s">
        <v>463</v>
      </c>
      <c r="K9" s="426"/>
      <c r="L9" s="426"/>
      <c r="M9" s="426" t="s">
        <v>802</v>
      </c>
      <c r="N9" s="426"/>
      <c r="O9" s="426"/>
      <c r="P9" s="426" t="s">
        <v>464</v>
      </c>
      <c r="Q9" s="426"/>
      <c r="R9" s="426"/>
      <c r="S9" s="426" t="s">
        <v>465</v>
      </c>
      <c r="T9" s="426"/>
      <c r="U9" s="426"/>
      <c r="V9" s="426" t="s">
        <v>531</v>
      </c>
      <c r="W9" s="426"/>
      <c r="X9" s="426"/>
      <c r="Y9" s="426" t="s">
        <v>461</v>
      </c>
    </row>
    <row r="10" spans="1:31" s="423" customFormat="1"/>
    <row r="11" spans="1:31" s="423" customFormat="1" ht="13">
      <c r="B11" s="427" t="s">
        <v>424</v>
      </c>
      <c r="C11" s="427" t="s">
        <v>425</v>
      </c>
      <c r="E11" s="423">
        <v>1</v>
      </c>
      <c r="H11" s="423">
        <v>1</v>
      </c>
      <c r="K11" s="423">
        <v>1</v>
      </c>
      <c r="N11" s="423">
        <v>1</v>
      </c>
      <c r="Q11" s="423">
        <v>1</v>
      </c>
      <c r="T11" s="423">
        <v>1</v>
      </c>
      <c r="W11" s="423">
        <v>1</v>
      </c>
    </row>
    <row r="12" spans="1:31" s="423" customFormat="1" ht="13">
      <c r="E12" s="428" t="s">
        <v>426</v>
      </c>
      <c r="F12" s="428" t="s">
        <v>334</v>
      </c>
      <c r="G12" s="428" t="s">
        <v>427</v>
      </c>
      <c r="H12" s="428" t="s">
        <v>426</v>
      </c>
      <c r="I12" s="428" t="s">
        <v>334</v>
      </c>
      <c r="J12" s="428" t="s">
        <v>427</v>
      </c>
      <c r="K12" s="428" t="s">
        <v>426</v>
      </c>
      <c r="L12" s="428" t="s">
        <v>334</v>
      </c>
      <c r="M12" s="428" t="s">
        <v>427</v>
      </c>
      <c r="N12" s="428" t="s">
        <v>426</v>
      </c>
      <c r="O12" s="428" t="s">
        <v>334</v>
      </c>
      <c r="P12" s="428" t="s">
        <v>427</v>
      </c>
      <c r="Q12" s="428" t="s">
        <v>426</v>
      </c>
      <c r="R12" s="428" t="s">
        <v>334</v>
      </c>
      <c r="S12" s="428" t="s">
        <v>427</v>
      </c>
      <c r="T12" s="428" t="s">
        <v>426</v>
      </c>
      <c r="U12" s="428" t="s">
        <v>334</v>
      </c>
      <c r="V12" s="428" t="s">
        <v>427</v>
      </c>
      <c r="W12" s="428" t="s">
        <v>426</v>
      </c>
      <c r="X12" s="428" t="s">
        <v>334</v>
      </c>
      <c r="Y12" s="428" t="s">
        <v>427</v>
      </c>
      <c r="AA12" s="428" t="s">
        <v>428</v>
      </c>
      <c r="AC12" s="428" t="s">
        <v>11</v>
      </c>
      <c r="AD12" s="428" t="s">
        <v>429</v>
      </c>
      <c r="AE12" s="428" t="s">
        <v>13</v>
      </c>
    </row>
    <row r="13" spans="1:31" s="423" customFormat="1" ht="13">
      <c r="E13" s="429">
        <v>44926</v>
      </c>
      <c r="F13" s="429"/>
      <c r="G13" s="429">
        <v>44926</v>
      </c>
      <c r="H13" s="429">
        <v>44926</v>
      </c>
      <c r="I13" s="429"/>
      <c r="J13" s="429">
        <v>44926</v>
      </c>
      <c r="K13" s="429">
        <v>44926</v>
      </c>
      <c r="L13" s="429"/>
      <c r="M13" s="429">
        <v>44926</v>
      </c>
      <c r="N13" s="429">
        <v>44926</v>
      </c>
      <c r="O13" s="429"/>
      <c r="P13" s="429">
        <v>44926</v>
      </c>
      <c r="Q13" s="429">
        <v>44926</v>
      </c>
      <c r="R13" s="429"/>
      <c r="S13" s="429">
        <v>44926</v>
      </c>
      <c r="T13" s="429">
        <v>44926</v>
      </c>
      <c r="U13" s="429"/>
      <c r="V13" s="429">
        <v>44926</v>
      </c>
      <c r="W13" s="429">
        <v>44926</v>
      </c>
      <c r="X13" s="429"/>
      <c r="Y13" s="429">
        <v>44926</v>
      </c>
      <c r="AA13" s="429">
        <v>44926</v>
      </c>
      <c r="AC13" s="429">
        <v>44926</v>
      </c>
      <c r="AD13" s="429">
        <v>44926</v>
      </c>
      <c r="AE13" s="429">
        <v>44926</v>
      </c>
    </row>
    <row r="14" spans="1:31" s="423" customFormat="1" ht="13" customHeight="1">
      <c r="C14" s="430"/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431"/>
      <c r="U14" s="431"/>
      <c r="V14" s="431"/>
      <c r="W14" s="431"/>
      <c r="X14" s="431"/>
      <c r="Y14" s="431"/>
      <c r="AA14" s="432"/>
      <c r="AC14" s="432"/>
      <c r="AD14" s="432"/>
      <c r="AE14" s="432"/>
    </row>
    <row r="15" spans="1:31" s="423" customFormat="1">
      <c r="A15" s="433"/>
      <c r="C15" s="423" t="s">
        <v>543</v>
      </c>
      <c r="D15" s="434"/>
      <c r="E15" s="435">
        <v>0</v>
      </c>
      <c r="F15" s="435"/>
      <c r="G15" s="435">
        <f>SUM(E15:F15)</f>
        <v>0</v>
      </c>
      <c r="H15" s="435"/>
      <c r="I15" s="435"/>
      <c r="J15" s="435">
        <f>SUM(H15:I15)</f>
        <v>0</v>
      </c>
      <c r="K15" s="435">
        <v>0</v>
      </c>
      <c r="L15" s="435"/>
      <c r="M15" s="435">
        <f>SUM(K15:L15)</f>
        <v>0</v>
      </c>
      <c r="N15" s="435">
        <v>0</v>
      </c>
      <c r="O15" s="435"/>
      <c r="P15" s="435">
        <f>SUM(N15:O15)</f>
        <v>0</v>
      </c>
      <c r="Q15" s="435"/>
      <c r="R15" s="435"/>
      <c r="S15" s="435">
        <f>SUM(Q15:R15)</f>
        <v>0</v>
      </c>
      <c r="T15" s="435">
        <v>0</v>
      </c>
      <c r="U15" s="435"/>
      <c r="V15" s="435">
        <f>SUM(T15:U15)</f>
        <v>0</v>
      </c>
      <c r="W15" s="435">
        <v>0</v>
      </c>
      <c r="X15" s="435"/>
      <c r="Y15" s="435">
        <f>SUM(W15:X15)</f>
        <v>0</v>
      </c>
      <c r="AA15" s="435">
        <v>0</v>
      </c>
      <c r="AC15" s="435">
        <f>SUM(G15,J15,P15,S15,V15,Y15,AA15)</f>
        <v>0</v>
      </c>
      <c r="AD15" s="435"/>
      <c r="AE15" s="435">
        <f>SUM(AC15:AD15)</f>
        <v>0</v>
      </c>
    </row>
    <row r="16" spans="1:31" s="423" customFormat="1">
      <c r="D16" s="434" t="s">
        <v>544</v>
      </c>
      <c r="E16" s="435">
        <v>0</v>
      </c>
      <c r="F16" s="435"/>
      <c r="G16" s="435"/>
      <c r="H16" s="435"/>
      <c r="I16" s="435"/>
      <c r="J16" s="435"/>
      <c r="K16" s="435"/>
      <c r="L16" s="435"/>
      <c r="M16" s="435"/>
      <c r="N16" s="435"/>
      <c r="O16" s="435"/>
      <c r="P16" s="435"/>
      <c r="Q16" s="435"/>
      <c r="R16" s="435"/>
      <c r="S16" s="435"/>
      <c r="T16" s="435"/>
      <c r="U16" s="435"/>
      <c r="V16" s="435"/>
      <c r="W16" s="435"/>
      <c r="X16" s="435"/>
      <c r="Y16" s="435"/>
      <c r="AA16" s="435">
        <v>0</v>
      </c>
      <c r="AC16" s="435">
        <f>SUM(G16,J16,P16,S16,V16,Y16,AA16)</f>
        <v>0</v>
      </c>
      <c r="AD16" s="435"/>
      <c r="AE16" s="435">
        <f>SUM(AC16:AD16)</f>
        <v>0</v>
      </c>
    </row>
    <row r="17" spans="3:31" s="423" customFormat="1">
      <c r="D17" s="423" t="s">
        <v>545</v>
      </c>
      <c r="E17" s="435">
        <v>0</v>
      </c>
      <c r="F17" s="435"/>
      <c r="G17" s="435">
        <f>SUM(E17:F17)</f>
        <v>0</v>
      </c>
      <c r="H17" s="435">
        <v>0</v>
      </c>
      <c r="I17" s="435"/>
      <c r="J17" s="435">
        <f>SUM(H17:I17)</f>
        <v>0</v>
      </c>
      <c r="K17" s="435">
        <v>0</v>
      </c>
      <c r="L17" s="435"/>
      <c r="M17" s="435">
        <f>SUM(K17:L17)</f>
        <v>0</v>
      </c>
      <c r="N17" s="435">
        <v>0</v>
      </c>
      <c r="O17" s="435"/>
      <c r="P17" s="435">
        <f>SUM(N17:O17)</f>
        <v>0</v>
      </c>
      <c r="Q17" s="435">
        <v>0</v>
      </c>
      <c r="R17" s="435"/>
      <c r="S17" s="435">
        <f>SUM(Q17:R17)</f>
        <v>0</v>
      </c>
      <c r="T17" s="435">
        <v>0</v>
      </c>
      <c r="U17" s="435"/>
      <c r="V17" s="435">
        <f>SUM(T17:U17)</f>
        <v>0</v>
      </c>
      <c r="W17" s="435">
        <v>0</v>
      </c>
      <c r="X17" s="435"/>
      <c r="Y17" s="435">
        <f>SUM(W17:X17)</f>
        <v>0</v>
      </c>
      <c r="AA17" s="435">
        <v>0</v>
      </c>
      <c r="AC17" s="435">
        <f>SUM(G17,J17,P17,S17,V17,Y17,AA17)</f>
        <v>0</v>
      </c>
      <c r="AD17" s="435"/>
      <c r="AE17" s="435">
        <f>SUM(AC17:AD17)</f>
        <v>0</v>
      </c>
    </row>
    <row r="18" spans="3:31" s="423" customFormat="1">
      <c r="D18" s="423" t="s">
        <v>546</v>
      </c>
      <c r="E18" s="435">
        <v>0</v>
      </c>
      <c r="F18" s="435"/>
      <c r="G18" s="435">
        <f>SUM(E18:F18)</f>
        <v>0</v>
      </c>
      <c r="H18" s="435">
        <v>0</v>
      </c>
      <c r="I18" s="435"/>
      <c r="J18" s="435">
        <f>SUM(H18:I18)</f>
        <v>0</v>
      </c>
      <c r="K18" s="435">
        <v>0</v>
      </c>
      <c r="L18" s="435"/>
      <c r="M18" s="435">
        <f>SUM(K18:L18)</f>
        <v>0</v>
      </c>
      <c r="N18" s="435">
        <v>0</v>
      </c>
      <c r="O18" s="435"/>
      <c r="P18" s="435">
        <f>SUM(N18:O18)</f>
        <v>0</v>
      </c>
      <c r="Q18" s="435">
        <v>0</v>
      </c>
      <c r="R18" s="435"/>
      <c r="S18" s="435">
        <f>SUM(Q18:R18)</f>
        <v>0</v>
      </c>
      <c r="T18" s="435">
        <v>0</v>
      </c>
      <c r="U18" s="435"/>
      <c r="V18" s="435">
        <f>SUM(T18:U18)</f>
        <v>0</v>
      </c>
      <c r="W18" s="435">
        <v>0</v>
      </c>
      <c r="X18" s="435"/>
      <c r="Y18" s="435">
        <f>SUM(W18:X18)</f>
        <v>0</v>
      </c>
      <c r="AA18" s="435">
        <v>0</v>
      </c>
      <c r="AC18" s="435">
        <f t="shared" ref="AC18:AC21" si="0">SUM(G18,J18,P18,S18,V18,Y18,AA18)</f>
        <v>0</v>
      </c>
      <c r="AD18" s="435"/>
      <c r="AE18" s="435">
        <f>SUM(AC18:AD18)</f>
        <v>0</v>
      </c>
    </row>
    <row r="19" spans="3:31" s="423" customFormat="1">
      <c r="D19" s="423" t="s">
        <v>547</v>
      </c>
      <c r="E19" s="435">
        <v>0</v>
      </c>
      <c r="F19" s="435"/>
      <c r="G19" s="435">
        <f>SUM(E19:F19)</f>
        <v>0</v>
      </c>
      <c r="H19" s="435">
        <v>0</v>
      </c>
      <c r="I19" s="435"/>
      <c r="J19" s="435">
        <f>SUM(H19:I19)</f>
        <v>0</v>
      </c>
      <c r="K19" s="435">
        <v>0</v>
      </c>
      <c r="L19" s="435"/>
      <c r="M19" s="435">
        <f>SUM(K19:L19)</f>
        <v>0</v>
      </c>
      <c r="N19" s="435">
        <v>0</v>
      </c>
      <c r="O19" s="435"/>
      <c r="P19" s="435">
        <f>SUM(N19:O19)</f>
        <v>0</v>
      </c>
      <c r="Q19" s="435">
        <v>0</v>
      </c>
      <c r="R19" s="435"/>
      <c r="S19" s="435">
        <f>SUM(Q19:R19)</f>
        <v>0</v>
      </c>
      <c r="T19" s="435">
        <v>0</v>
      </c>
      <c r="U19" s="435"/>
      <c r="V19" s="435">
        <f>SUM(T19:U19)</f>
        <v>0</v>
      </c>
      <c r="W19" s="435">
        <v>0</v>
      </c>
      <c r="X19" s="435"/>
      <c r="Y19" s="435">
        <f>SUM(W19:X19)</f>
        <v>0</v>
      </c>
      <c r="AA19" s="435">
        <v>0</v>
      </c>
      <c r="AC19" s="435">
        <f t="shared" si="0"/>
        <v>0</v>
      </c>
      <c r="AD19" s="435"/>
      <c r="AE19" s="435">
        <f>SUM(AC19:AD19)</f>
        <v>0</v>
      </c>
    </row>
    <row r="20" spans="3:31" s="423" customFormat="1">
      <c r="D20" s="423" t="s">
        <v>548</v>
      </c>
      <c r="E20" s="435">
        <v>0</v>
      </c>
      <c r="F20" s="435"/>
      <c r="G20" s="435">
        <f t="shared" ref="G20:G21" si="1">SUM(E20:F20)</f>
        <v>0</v>
      </c>
      <c r="H20" s="435">
        <v>0</v>
      </c>
      <c r="I20" s="435"/>
      <c r="J20" s="435">
        <f t="shared" ref="J20:J21" si="2">SUM(H20:I20)</f>
        <v>0</v>
      </c>
      <c r="K20" s="435">
        <v>0</v>
      </c>
      <c r="L20" s="435"/>
      <c r="M20" s="435">
        <f t="shared" ref="M20:M21" si="3">SUM(K20:L20)</f>
        <v>0</v>
      </c>
      <c r="N20" s="435">
        <v>0</v>
      </c>
      <c r="O20" s="435"/>
      <c r="P20" s="435">
        <f t="shared" ref="P20:P21" si="4">SUM(N20:O20)</f>
        <v>0</v>
      </c>
      <c r="Q20" s="435">
        <v>0</v>
      </c>
      <c r="R20" s="435"/>
      <c r="S20" s="435">
        <f t="shared" ref="S20:S21" si="5">SUM(Q20:R20)</f>
        <v>0</v>
      </c>
      <c r="T20" s="435">
        <v>0</v>
      </c>
      <c r="U20" s="435"/>
      <c r="V20" s="435">
        <f t="shared" ref="V20:V21" si="6">SUM(T20:U20)</f>
        <v>0</v>
      </c>
      <c r="W20" s="435">
        <v>0</v>
      </c>
      <c r="X20" s="435"/>
      <c r="Y20" s="435">
        <f t="shared" ref="Y20:Y21" si="7">SUM(W20:X20)</f>
        <v>0</v>
      </c>
      <c r="AA20" s="435">
        <v>0</v>
      </c>
      <c r="AC20" s="435">
        <f t="shared" si="0"/>
        <v>0</v>
      </c>
      <c r="AD20" s="435"/>
      <c r="AE20" s="435">
        <f t="shared" ref="AE20:AE21" si="8">SUM(AC20:AD20)</f>
        <v>0</v>
      </c>
    </row>
    <row r="21" spans="3:31" s="423" customFormat="1">
      <c r="D21" s="434" t="s">
        <v>549</v>
      </c>
      <c r="E21" s="435">
        <v>0</v>
      </c>
      <c r="F21" s="435"/>
      <c r="G21" s="435">
        <f t="shared" si="1"/>
        <v>0</v>
      </c>
      <c r="H21" s="435">
        <v>0</v>
      </c>
      <c r="I21" s="435"/>
      <c r="J21" s="435">
        <f t="shared" si="2"/>
        <v>0</v>
      </c>
      <c r="K21" s="435">
        <v>0</v>
      </c>
      <c r="L21" s="435"/>
      <c r="M21" s="435">
        <f t="shared" si="3"/>
        <v>0</v>
      </c>
      <c r="N21" s="435">
        <v>0</v>
      </c>
      <c r="O21" s="435"/>
      <c r="P21" s="435">
        <f t="shared" si="4"/>
        <v>0</v>
      </c>
      <c r="Q21" s="435">
        <v>0</v>
      </c>
      <c r="R21" s="435"/>
      <c r="S21" s="435">
        <f t="shared" si="5"/>
        <v>0</v>
      </c>
      <c r="T21" s="435">
        <v>0</v>
      </c>
      <c r="U21" s="435"/>
      <c r="V21" s="435">
        <f t="shared" si="6"/>
        <v>0</v>
      </c>
      <c r="W21" s="435">
        <v>0</v>
      </c>
      <c r="X21" s="435"/>
      <c r="Y21" s="435">
        <f t="shared" si="7"/>
        <v>0</v>
      </c>
      <c r="AA21" s="435">
        <v>0</v>
      </c>
      <c r="AC21" s="435">
        <f t="shared" si="0"/>
        <v>0</v>
      </c>
      <c r="AD21" s="435"/>
      <c r="AE21" s="435">
        <f t="shared" si="8"/>
        <v>0</v>
      </c>
    </row>
    <row r="22" spans="3:31" s="423" customFormat="1">
      <c r="D22" s="434"/>
      <c r="E22" s="435"/>
      <c r="F22" s="435"/>
      <c r="G22" s="435"/>
      <c r="H22" s="435"/>
      <c r="I22" s="435"/>
      <c r="J22" s="435"/>
      <c r="K22" s="435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W22" s="435"/>
      <c r="X22" s="435"/>
      <c r="Y22" s="435"/>
      <c r="AA22" s="435"/>
      <c r="AC22" s="435"/>
      <c r="AD22" s="435"/>
      <c r="AE22" s="435"/>
    </row>
    <row r="23" spans="3:31" s="423" customFormat="1">
      <c r="C23" s="423" t="s">
        <v>532</v>
      </c>
      <c r="D23" s="434"/>
      <c r="E23" s="435"/>
      <c r="F23" s="435"/>
      <c r="G23" s="435"/>
      <c r="H23" s="435">
        <v>0</v>
      </c>
      <c r="I23" s="435"/>
      <c r="J23" s="435"/>
      <c r="K23" s="435">
        <v>0</v>
      </c>
      <c r="L23" s="435"/>
      <c r="M23" s="435"/>
      <c r="N23" s="435">
        <v>0</v>
      </c>
      <c r="O23" s="435"/>
      <c r="P23" s="435"/>
      <c r="Q23" s="435"/>
      <c r="R23" s="435"/>
      <c r="S23" s="435"/>
      <c r="T23" s="435"/>
      <c r="U23" s="435"/>
      <c r="V23" s="435"/>
      <c r="W23" s="435">
        <v>0</v>
      </c>
      <c r="X23" s="435"/>
      <c r="Y23" s="435"/>
      <c r="AA23" s="435"/>
      <c r="AC23" s="435"/>
      <c r="AD23" s="435"/>
      <c r="AE23" s="435"/>
    </row>
    <row r="24" spans="3:31" s="423" customFormat="1">
      <c r="D24" s="423" t="s">
        <v>550</v>
      </c>
      <c r="E24" s="435">
        <v>7997573244.1499996</v>
      </c>
      <c r="F24" s="435"/>
      <c r="G24" s="435">
        <f t="shared" ref="G24:G26" si="9">SUM(E24:F24)</f>
        <v>7997573244.1499996</v>
      </c>
      <c r="H24" s="435">
        <v>0</v>
      </c>
      <c r="I24" s="435"/>
      <c r="J24" s="435">
        <f t="shared" ref="J24:J26" si="10">SUM(H24:I24)</f>
        <v>0</v>
      </c>
      <c r="K24" s="435">
        <v>0</v>
      </c>
      <c r="L24" s="435"/>
      <c r="M24" s="435">
        <f t="shared" ref="M24:M26" si="11">SUM(K24:L24)</f>
        <v>0</v>
      </c>
      <c r="N24" s="435">
        <v>0</v>
      </c>
      <c r="O24" s="435"/>
      <c r="P24" s="435">
        <f t="shared" ref="P24:P26" si="12">SUM(N24:O24)</f>
        <v>0</v>
      </c>
      <c r="Q24" s="435">
        <v>0</v>
      </c>
      <c r="R24" s="435"/>
      <c r="S24" s="435">
        <f t="shared" ref="S24:S26" si="13">SUM(Q24:R24)</f>
        <v>0</v>
      </c>
      <c r="T24" s="435">
        <f>11948895699*1.575</f>
        <v>18819510725.924999</v>
      </c>
      <c r="U24" s="435"/>
      <c r="V24" s="435">
        <f t="shared" ref="V24:V26" si="14">SUM(T24:U24)</f>
        <v>18819510725.924999</v>
      </c>
      <c r="W24" s="435">
        <v>0</v>
      </c>
      <c r="X24" s="435"/>
      <c r="Y24" s="435">
        <f t="shared" ref="Y24:Y26" si="15">SUM(W24:X24)</f>
        <v>0</v>
      </c>
      <c r="AA24" s="435">
        <v>0</v>
      </c>
      <c r="AC24" s="435">
        <f t="shared" ref="AC24:AC26" si="16">SUM(G24,J24,P24,S24,V24,Y24,AA24)</f>
        <v>26817083970.074997</v>
      </c>
      <c r="AD24" s="435"/>
      <c r="AE24" s="435">
        <f t="shared" ref="AE24:AE26" si="17">SUM(AC24:AD24)</f>
        <v>26817083970.074997</v>
      </c>
    </row>
    <row r="25" spans="3:31" s="423" customFormat="1">
      <c r="D25" s="423" t="s">
        <v>551</v>
      </c>
      <c r="E25" s="435">
        <v>760802691.60000002</v>
      </c>
      <c r="F25" s="435"/>
      <c r="G25" s="435">
        <f t="shared" si="9"/>
        <v>760802691.60000002</v>
      </c>
      <c r="H25" s="435">
        <v>0</v>
      </c>
      <c r="I25" s="435"/>
      <c r="J25" s="435">
        <f t="shared" si="10"/>
        <v>0</v>
      </c>
      <c r="K25" s="435">
        <v>0</v>
      </c>
      <c r="L25" s="435"/>
      <c r="M25" s="435">
        <f t="shared" si="11"/>
        <v>0</v>
      </c>
      <c r="N25" s="435">
        <v>0</v>
      </c>
      <c r="O25" s="435"/>
      <c r="P25" s="435">
        <f t="shared" si="12"/>
        <v>0</v>
      </c>
      <c r="Q25" s="435">
        <v>0</v>
      </c>
      <c r="R25" s="435"/>
      <c r="S25" s="435">
        <f t="shared" si="13"/>
        <v>0</v>
      </c>
      <c r="T25" s="435">
        <v>0</v>
      </c>
      <c r="U25" s="435"/>
      <c r="V25" s="435">
        <f t="shared" si="14"/>
        <v>0</v>
      </c>
      <c r="W25" s="435">
        <v>0</v>
      </c>
      <c r="X25" s="435"/>
      <c r="Y25" s="435">
        <f t="shared" si="15"/>
        <v>0</v>
      </c>
      <c r="AA25" s="435">
        <v>0</v>
      </c>
      <c r="AC25" s="435">
        <f t="shared" si="16"/>
        <v>760802691.60000002</v>
      </c>
      <c r="AD25" s="435"/>
      <c r="AE25" s="435">
        <f t="shared" si="17"/>
        <v>760802691.60000002</v>
      </c>
    </row>
    <row r="26" spans="3:31" s="423" customFormat="1">
      <c r="D26" s="423" t="s">
        <v>552</v>
      </c>
      <c r="E26" s="435">
        <v>21784457481.25</v>
      </c>
      <c r="F26" s="435"/>
      <c r="G26" s="435">
        <f t="shared" si="9"/>
        <v>21784457481.25</v>
      </c>
      <c r="H26" s="435">
        <v>0</v>
      </c>
      <c r="I26" s="435"/>
      <c r="J26" s="435">
        <f t="shared" si="10"/>
        <v>0</v>
      </c>
      <c r="K26" s="435">
        <v>0</v>
      </c>
      <c r="L26" s="435"/>
      <c r="M26" s="435">
        <f t="shared" si="11"/>
        <v>0</v>
      </c>
      <c r="N26" s="435">
        <v>0</v>
      </c>
      <c r="O26" s="435"/>
      <c r="P26" s="435">
        <f t="shared" si="12"/>
        <v>0</v>
      </c>
      <c r="Q26" s="435">
        <v>0</v>
      </c>
      <c r="R26" s="435"/>
      <c r="S26" s="435">
        <f t="shared" si="13"/>
        <v>0</v>
      </c>
      <c r="T26" s="435">
        <v>0</v>
      </c>
      <c r="U26" s="435"/>
      <c r="V26" s="435">
        <f t="shared" si="14"/>
        <v>0</v>
      </c>
      <c r="W26" s="435">
        <v>0</v>
      </c>
      <c r="X26" s="435"/>
      <c r="Y26" s="435">
        <f t="shared" si="15"/>
        <v>0</v>
      </c>
      <c r="AA26" s="435">
        <v>0</v>
      </c>
      <c r="AC26" s="435">
        <f t="shared" si="16"/>
        <v>21784457481.25</v>
      </c>
      <c r="AD26" s="435"/>
      <c r="AE26" s="435">
        <f t="shared" si="17"/>
        <v>21784457481.25</v>
      </c>
    </row>
    <row r="27" spans="3:31" s="423" customFormat="1"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441"/>
      <c r="Q27" s="441"/>
      <c r="R27" s="441"/>
      <c r="S27" s="441"/>
      <c r="T27" s="441"/>
      <c r="U27" s="441"/>
      <c r="V27" s="441"/>
      <c r="W27" s="441"/>
      <c r="X27" s="441"/>
      <c r="Y27" s="441"/>
      <c r="AA27" s="441"/>
      <c r="AC27" s="441"/>
      <c r="AD27" s="441"/>
      <c r="AE27" s="441"/>
    </row>
    <row r="28" spans="3:31" s="427" customFormat="1" ht="13">
      <c r="C28" s="427" t="s">
        <v>178</v>
      </c>
      <c r="E28" s="442">
        <f t="shared" ref="E28:Y28" si="18">SUM(E24:E26,E20:E21,E18:E19,E15)</f>
        <v>30542833417</v>
      </c>
      <c r="F28" s="442">
        <f t="shared" si="18"/>
        <v>0</v>
      </c>
      <c r="G28" s="442">
        <f t="shared" si="18"/>
        <v>30542833417</v>
      </c>
      <c r="H28" s="442">
        <f t="shared" si="18"/>
        <v>0</v>
      </c>
      <c r="I28" s="442">
        <f t="shared" si="18"/>
        <v>0</v>
      </c>
      <c r="J28" s="442">
        <f t="shared" si="18"/>
        <v>0</v>
      </c>
      <c r="K28" s="442">
        <f t="shared" si="18"/>
        <v>0</v>
      </c>
      <c r="L28" s="442">
        <f t="shared" si="18"/>
        <v>0</v>
      </c>
      <c r="M28" s="442">
        <f t="shared" si="18"/>
        <v>0</v>
      </c>
      <c r="N28" s="442">
        <f t="shared" si="18"/>
        <v>0</v>
      </c>
      <c r="O28" s="442">
        <f t="shared" si="18"/>
        <v>0</v>
      </c>
      <c r="P28" s="442">
        <f t="shared" si="18"/>
        <v>0</v>
      </c>
      <c r="Q28" s="442">
        <f t="shared" si="18"/>
        <v>0</v>
      </c>
      <c r="R28" s="442">
        <f t="shared" si="18"/>
        <v>0</v>
      </c>
      <c r="S28" s="442">
        <f t="shared" si="18"/>
        <v>0</v>
      </c>
      <c r="T28" s="442">
        <f t="shared" si="18"/>
        <v>18819510725.924999</v>
      </c>
      <c r="U28" s="442">
        <f t="shared" si="18"/>
        <v>0</v>
      </c>
      <c r="V28" s="442">
        <f t="shared" si="18"/>
        <v>18819510725.924999</v>
      </c>
      <c r="W28" s="442">
        <f t="shared" si="18"/>
        <v>0</v>
      </c>
      <c r="X28" s="442">
        <f t="shared" si="18"/>
        <v>0</v>
      </c>
      <c r="Y28" s="442">
        <f t="shared" si="18"/>
        <v>0</v>
      </c>
      <c r="AA28" s="442">
        <f>SUM(AA24:AA26,AA20:AA21,AA18:AA19,AA15)</f>
        <v>0</v>
      </c>
      <c r="AC28" s="442">
        <f>SUM(AC24:AC26,AC20:AC21,AC18:AC19,AC15)</f>
        <v>49362344142.924995</v>
      </c>
      <c r="AD28" s="442">
        <f>SUM(AD24:AD26,AD20:AD21,AD18:AD19,AD15)</f>
        <v>0</v>
      </c>
      <c r="AE28" s="442">
        <f>SUM(AE24:AE26,AE20:AE21,AE18:AE19,AE15)</f>
        <v>49362344142.924995</v>
      </c>
    </row>
    <row r="29" spans="3:31" s="427" customFormat="1" ht="13"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443"/>
      <c r="P29" s="443"/>
      <c r="Q29" s="443"/>
      <c r="R29" s="443"/>
      <c r="S29" s="443"/>
      <c r="T29" s="443"/>
      <c r="U29" s="443"/>
      <c r="V29" s="443"/>
      <c r="W29" s="443"/>
      <c r="X29" s="443"/>
      <c r="Y29" s="443"/>
      <c r="AA29" s="443"/>
      <c r="AC29" s="443"/>
      <c r="AD29" s="443"/>
      <c r="AE29" s="443"/>
    </row>
    <row r="30" spans="3:31" s="423" customFormat="1">
      <c r="C30" s="423" t="s">
        <v>433</v>
      </c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AA30" s="441"/>
      <c r="AC30" s="441"/>
      <c r="AD30" s="441"/>
      <c r="AE30" s="441"/>
    </row>
    <row r="31" spans="3:31" s="427" customFormat="1" ht="13">
      <c r="C31" s="427" t="s">
        <v>434</v>
      </c>
      <c r="E31" s="444">
        <f t="shared" ref="E31:Q31" si="19">SUM(E28:E30)</f>
        <v>30542833417</v>
      </c>
      <c r="F31" s="444"/>
      <c r="G31" s="444">
        <f t="shared" si="19"/>
        <v>30542833417</v>
      </c>
      <c r="H31" s="444">
        <f t="shared" si="19"/>
        <v>0</v>
      </c>
      <c r="I31" s="444"/>
      <c r="J31" s="444">
        <f t="shared" ref="J31:K31" si="20">SUM(J28:J30)</f>
        <v>0</v>
      </c>
      <c r="K31" s="444">
        <f t="shared" si="20"/>
        <v>0</v>
      </c>
      <c r="L31" s="444"/>
      <c r="M31" s="444">
        <f t="shared" ref="M31:N31" si="21">SUM(M28:M30)</f>
        <v>0</v>
      </c>
      <c r="N31" s="444">
        <f t="shared" si="21"/>
        <v>0</v>
      </c>
      <c r="O31" s="444"/>
      <c r="P31" s="444">
        <f t="shared" ref="P31" si="22">SUM(P28:P30)</f>
        <v>0</v>
      </c>
      <c r="Q31" s="444">
        <f t="shared" si="19"/>
        <v>0</v>
      </c>
      <c r="R31" s="444"/>
      <c r="S31" s="444">
        <f t="shared" ref="S31:W31" si="23">SUM(S28:S30)</f>
        <v>0</v>
      </c>
      <c r="T31" s="444">
        <f t="shared" si="23"/>
        <v>18819510725.924999</v>
      </c>
      <c r="U31" s="444"/>
      <c r="V31" s="444">
        <f t="shared" ref="V31" si="24">SUM(V28:V30)</f>
        <v>18819510725.924999</v>
      </c>
      <c r="W31" s="444">
        <f t="shared" si="23"/>
        <v>0</v>
      </c>
      <c r="X31" s="444"/>
      <c r="Y31" s="444">
        <f t="shared" ref="Y31" si="25">SUM(Y28:Y30)</f>
        <v>0</v>
      </c>
      <c r="AA31" s="444">
        <f t="shared" ref="AA31" si="26">SUM(AA28:AA30)</f>
        <v>0</v>
      </c>
      <c r="AC31" s="444">
        <f t="shared" ref="AC31:AE31" si="27">SUM(AC28:AC30)</f>
        <v>49362344142.924995</v>
      </c>
      <c r="AD31" s="444">
        <f t="shared" si="27"/>
        <v>0</v>
      </c>
      <c r="AE31" s="444">
        <f t="shared" si="27"/>
        <v>49362344142.924995</v>
      </c>
    </row>
    <row r="33" spans="2:31" s="427" customFormat="1" ht="13">
      <c r="D33" s="445" t="s">
        <v>435</v>
      </c>
      <c r="E33" s="446">
        <f>'Consol SoFP 23 &amp; 22'!AG18</f>
        <v>30542833417</v>
      </c>
      <c r="F33" s="446">
        <f>'Consol SoFP 23 &amp; 22'!AI18</f>
        <v>0</v>
      </c>
      <c r="G33" s="446">
        <f>'Consol SoFP 23 &amp; 22'!AJ18</f>
        <v>30542833417</v>
      </c>
      <c r="H33" s="446">
        <f>'Consol SoFP 23 &amp; 22'!AK18</f>
        <v>0</v>
      </c>
      <c r="I33" s="446">
        <f>'Consol SoFP 23 &amp; 22'!AL18</f>
        <v>0</v>
      </c>
      <c r="J33" s="446">
        <f>'Consol SoFP 23 &amp; 22'!AM18</f>
        <v>0</v>
      </c>
      <c r="K33" s="446">
        <f>'Consol SoFP 23 &amp; 22'!AK18</f>
        <v>0</v>
      </c>
      <c r="L33" s="446">
        <f>'Consol SoFP 23 &amp; 22'!AL18</f>
        <v>0</v>
      </c>
      <c r="M33" s="446">
        <f>'Consol SoFP 23 &amp; 22'!AM18</f>
        <v>0</v>
      </c>
      <c r="N33" s="446">
        <f>'Consol SoFP 23 &amp; 22'!AN18</f>
        <v>0</v>
      </c>
      <c r="O33" s="446">
        <f>'Consol SoFP 23 &amp; 22'!AO18</f>
        <v>0</v>
      </c>
      <c r="P33" s="446">
        <f>'Consol SoFP 23 &amp; 22'!AP18</f>
        <v>0</v>
      </c>
      <c r="Q33" s="446">
        <f>'Consol SoFP 23 &amp; 22'!AQ18</f>
        <v>0</v>
      </c>
      <c r="R33" s="446">
        <f>'Consol SoFP 23 &amp; 22'!AR18</f>
        <v>0</v>
      </c>
      <c r="S33" s="446">
        <f>'Consol SoFP 23 &amp; 22'!AS18</f>
        <v>0</v>
      </c>
      <c r="T33" s="446">
        <f>'Consol SoFP 23 &amp; 22'!AT18</f>
        <v>18819510726</v>
      </c>
      <c r="U33" s="446">
        <f>'Consol SoFP 23 &amp; 22'!AU18</f>
        <v>0</v>
      </c>
      <c r="V33" s="446">
        <f>'Consol SoFP 23 &amp; 22'!AV18</f>
        <v>18819510726</v>
      </c>
      <c r="W33" s="446">
        <f>'Consol SoFP 23 &amp; 22'!AW18</f>
        <v>0</v>
      </c>
      <c r="X33" s="446">
        <f>'Consol SoFP 23 &amp; 22'!AX18</f>
        <v>0</v>
      </c>
      <c r="Y33" s="446">
        <f>'Consol SoFP 23 &amp; 22'!AY18</f>
        <v>0</v>
      </c>
      <c r="AA33" s="446">
        <v>0</v>
      </c>
      <c r="AC33" s="446">
        <f>'Consol SoFP 23 &amp; 22'!BC18</f>
        <v>49362344143</v>
      </c>
      <c r="AD33" s="446">
        <f>SUM('Consol SoFP 23 &amp; 22'!BD18:BE18)</f>
        <v>0</v>
      </c>
      <c r="AE33" s="446">
        <f>'Consol SoFP 23 &amp; 22'!BF18</f>
        <v>49362344143</v>
      </c>
    </row>
    <row r="34" spans="2:31" s="423" customFormat="1" ht="13">
      <c r="B34" s="417"/>
      <c r="C34" s="417"/>
      <c r="D34" s="445" t="s">
        <v>111</v>
      </c>
      <c r="E34" s="442">
        <f>E31-E33</f>
        <v>0</v>
      </c>
      <c r="F34" s="442"/>
      <c r="G34" s="442">
        <f>ROUND(G31-G33,0)</f>
        <v>0</v>
      </c>
      <c r="H34" s="442">
        <f t="shared" ref="H34:Y34" si="28">ROUND(H31-H33,0)</f>
        <v>0</v>
      </c>
      <c r="I34" s="442">
        <f t="shared" si="28"/>
        <v>0</v>
      </c>
      <c r="J34" s="442">
        <f t="shared" si="28"/>
        <v>0</v>
      </c>
      <c r="K34" s="442">
        <f t="shared" si="28"/>
        <v>0</v>
      </c>
      <c r="L34" s="442">
        <f t="shared" si="28"/>
        <v>0</v>
      </c>
      <c r="M34" s="442">
        <f t="shared" si="28"/>
        <v>0</v>
      </c>
      <c r="N34" s="442">
        <f t="shared" si="28"/>
        <v>0</v>
      </c>
      <c r="O34" s="442">
        <f t="shared" si="28"/>
        <v>0</v>
      </c>
      <c r="P34" s="442">
        <f t="shared" si="28"/>
        <v>0</v>
      </c>
      <c r="Q34" s="442">
        <f t="shared" si="28"/>
        <v>0</v>
      </c>
      <c r="R34" s="442">
        <f t="shared" si="28"/>
        <v>0</v>
      </c>
      <c r="S34" s="442">
        <f t="shared" si="28"/>
        <v>0</v>
      </c>
      <c r="T34" s="442">
        <f t="shared" si="28"/>
        <v>0</v>
      </c>
      <c r="U34" s="442">
        <f t="shared" si="28"/>
        <v>0</v>
      </c>
      <c r="V34" s="442">
        <f t="shared" si="28"/>
        <v>0</v>
      </c>
      <c r="W34" s="442">
        <f t="shared" si="28"/>
        <v>0</v>
      </c>
      <c r="X34" s="442">
        <f t="shared" si="28"/>
        <v>0</v>
      </c>
      <c r="Y34" s="442">
        <f t="shared" si="28"/>
        <v>0</v>
      </c>
      <c r="AA34" s="442">
        <f t="shared" ref="AA34:AE34" si="29">ROUND(AA31-AA33,0)</f>
        <v>0</v>
      </c>
      <c r="AC34" s="442">
        <f t="shared" si="29"/>
        <v>0</v>
      </c>
      <c r="AD34" s="442">
        <f t="shared" si="29"/>
        <v>0</v>
      </c>
      <c r="AE34" s="442">
        <f t="shared" si="29"/>
        <v>0</v>
      </c>
    </row>
    <row r="35" spans="2:31" s="449" customFormat="1" ht="13.5" thickBot="1">
      <c r="B35" s="447"/>
      <c r="C35" s="447"/>
      <c r="D35" s="447"/>
      <c r="E35" s="448"/>
      <c r="F35" s="448"/>
      <c r="G35" s="448"/>
      <c r="H35" s="448"/>
      <c r="I35" s="448"/>
      <c r="J35" s="448"/>
      <c r="K35" s="448"/>
      <c r="L35" s="448"/>
      <c r="M35" s="448"/>
      <c r="N35" s="448"/>
      <c r="O35" s="448"/>
      <c r="P35" s="448"/>
      <c r="Q35" s="448"/>
      <c r="R35" s="448"/>
      <c r="S35" s="448"/>
      <c r="T35" s="448"/>
      <c r="U35" s="448"/>
      <c r="V35" s="448"/>
      <c r="W35" s="448"/>
      <c r="X35" s="448"/>
      <c r="Y35" s="448"/>
      <c r="AA35" s="448"/>
      <c r="AC35" s="448"/>
      <c r="AD35" s="448"/>
      <c r="AE35" s="448"/>
    </row>
    <row r="36" spans="2:31" s="423" customFormat="1" ht="13">
      <c r="B36" s="427" t="s">
        <v>436</v>
      </c>
      <c r="C36" s="427" t="s">
        <v>437</v>
      </c>
    </row>
    <row r="37" spans="2:31" s="423" customFormat="1" ht="13">
      <c r="E37" s="428" t="s">
        <v>426</v>
      </c>
      <c r="F37" s="428" t="s">
        <v>334</v>
      </c>
      <c r="G37" s="428" t="s">
        <v>427</v>
      </c>
      <c r="H37" s="428" t="s">
        <v>426</v>
      </c>
      <c r="I37" s="428" t="s">
        <v>334</v>
      </c>
      <c r="J37" s="428" t="s">
        <v>427</v>
      </c>
      <c r="K37" s="428" t="s">
        <v>426</v>
      </c>
      <c r="L37" s="428" t="s">
        <v>334</v>
      </c>
      <c r="M37" s="428" t="s">
        <v>427</v>
      </c>
      <c r="N37" s="428" t="s">
        <v>426</v>
      </c>
      <c r="O37" s="428" t="s">
        <v>334</v>
      </c>
      <c r="P37" s="428" t="s">
        <v>427</v>
      </c>
      <c r="Q37" s="428" t="s">
        <v>426</v>
      </c>
      <c r="R37" s="428" t="s">
        <v>334</v>
      </c>
      <c r="S37" s="428" t="s">
        <v>427</v>
      </c>
      <c r="T37" s="428" t="s">
        <v>426</v>
      </c>
      <c r="U37" s="428" t="s">
        <v>334</v>
      </c>
      <c r="V37" s="428" t="s">
        <v>427</v>
      </c>
      <c r="W37" s="428" t="s">
        <v>426</v>
      </c>
      <c r="X37" s="428" t="s">
        <v>334</v>
      </c>
      <c r="Y37" s="428" t="s">
        <v>427</v>
      </c>
      <c r="AA37" s="428" t="s">
        <v>428</v>
      </c>
      <c r="AC37" s="428" t="s">
        <v>11</v>
      </c>
      <c r="AD37" s="428" t="s">
        <v>429</v>
      </c>
      <c r="AE37" s="428" t="s">
        <v>13</v>
      </c>
    </row>
    <row r="38" spans="2:31" s="423" customFormat="1" ht="13">
      <c r="E38" s="429">
        <v>44926</v>
      </c>
      <c r="F38" s="429"/>
      <c r="G38" s="429">
        <v>44926</v>
      </c>
      <c r="H38" s="429">
        <v>44926</v>
      </c>
      <c r="I38" s="429"/>
      <c r="J38" s="429">
        <v>44926</v>
      </c>
      <c r="K38" s="429">
        <v>44926</v>
      </c>
      <c r="L38" s="429"/>
      <c r="M38" s="429">
        <v>44926</v>
      </c>
      <c r="N38" s="429">
        <v>44926</v>
      </c>
      <c r="O38" s="429"/>
      <c r="P38" s="429">
        <v>44926</v>
      </c>
      <c r="Q38" s="429">
        <v>44926</v>
      </c>
      <c r="R38" s="429"/>
      <c r="S38" s="429">
        <v>44926</v>
      </c>
      <c r="T38" s="429">
        <v>44926</v>
      </c>
      <c r="U38" s="429"/>
      <c r="V38" s="429">
        <v>44926</v>
      </c>
      <c r="W38" s="429">
        <v>44926</v>
      </c>
      <c r="X38" s="429"/>
      <c r="Y38" s="429">
        <v>44926</v>
      </c>
      <c r="AA38" s="429">
        <v>44926</v>
      </c>
      <c r="AC38" s="429">
        <v>44926</v>
      </c>
      <c r="AD38" s="429">
        <v>44926</v>
      </c>
      <c r="AE38" s="429">
        <v>44926</v>
      </c>
    </row>
    <row r="39" spans="2:31" s="423" customFormat="1" ht="13" customHeight="1">
      <c r="C39" s="430"/>
      <c r="E39" s="431"/>
      <c r="F39" s="431"/>
      <c r="G39" s="431"/>
      <c r="H39" s="431"/>
      <c r="I39" s="431"/>
      <c r="J39" s="431"/>
      <c r="K39" s="431"/>
      <c r="L39" s="431"/>
      <c r="M39" s="431"/>
      <c r="N39" s="431"/>
      <c r="O39" s="431"/>
      <c r="P39" s="431"/>
      <c r="Q39" s="431"/>
      <c r="R39" s="431"/>
      <c r="S39" s="431"/>
      <c r="T39" s="431"/>
      <c r="U39" s="431"/>
      <c r="V39" s="431"/>
      <c r="W39" s="431"/>
      <c r="X39" s="431"/>
      <c r="Y39" s="431"/>
      <c r="AA39" s="432"/>
      <c r="AC39" s="432"/>
      <c r="AD39" s="432"/>
      <c r="AE39" s="432"/>
    </row>
    <row r="40" spans="2:31" s="423" customFormat="1">
      <c r="C40" s="423" t="s">
        <v>543</v>
      </c>
      <c r="D40" s="434"/>
      <c r="E40" s="435">
        <v>0</v>
      </c>
      <c r="F40" s="435"/>
      <c r="G40" s="435">
        <v>0</v>
      </c>
      <c r="H40" s="435">
        <v>0</v>
      </c>
      <c r="I40" s="435"/>
      <c r="J40" s="435">
        <f t="shared" ref="J40" si="30">SUM(H40:I40)</f>
        <v>0</v>
      </c>
      <c r="K40" s="435">
        <v>0</v>
      </c>
      <c r="L40" s="435"/>
      <c r="M40" s="435">
        <f t="shared" ref="M40" si="31">SUM(K40:L40)</f>
        <v>0</v>
      </c>
      <c r="N40" s="435">
        <v>0</v>
      </c>
      <c r="O40" s="435"/>
      <c r="P40" s="435">
        <f t="shared" ref="P40" si="32">SUM(N40:O40)</f>
        <v>0</v>
      </c>
      <c r="Q40" s="435">
        <v>0</v>
      </c>
      <c r="R40" s="435"/>
      <c r="S40" s="435">
        <f t="shared" ref="S40:S46" si="33">SUM(Q40:R40)</f>
        <v>0</v>
      </c>
      <c r="T40" s="435">
        <v>0</v>
      </c>
      <c r="U40" s="435"/>
      <c r="V40" s="435">
        <f t="shared" ref="V40" si="34">SUM(T40:U40)</f>
        <v>0</v>
      </c>
      <c r="W40" s="435">
        <v>0</v>
      </c>
      <c r="X40" s="435"/>
      <c r="Y40" s="435">
        <f t="shared" ref="Y40:Y46" si="35">SUM(W40:X40)</f>
        <v>0</v>
      </c>
      <c r="AA40" s="435">
        <v>0</v>
      </c>
      <c r="AC40" s="435">
        <f>SUM(G40,J40,P40,S40,V40,Y40,AA40)</f>
        <v>0</v>
      </c>
      <c r="AD40" s="435"/>
      <c r="AE40" s="435">
        <f>SUM(AC40:AD40)</f>
        <v>0</v>
      </c>
    </row>
    <row r="41" spans="2:31" s="423" customFormat="1">
      <c r="D41" s="434" t="s">
        <v>544</v>
      </c>
      <c r="E41" s="435">
        <v>0</v>
      </c>
      <c r="F41" s="435"/>
      <c r="G41" s="435">
        <f>SUM(E41:F41)</f>
        <v>0</v>
      </c>
      <c r="H41" s="435">
        <v>0</v>
      </c>
      <c r="I41" s="435"/>
      <c r="J41" s="435">
        <f>SUM(H41:I41)</f>
        <v>0</v>
      </c>
      <c r="K41" s="435">
        <v>0</v>
      </c>
      <c r="L41" s="435"/>
      <c r="M41" s="435">
        <f>SUM(K41:L41)</f>
        <v>0</v>
      </c>
      <c r="N41" s="435">
        <v>0</v>
      </c>
      <c r="O41" s="435"/>
      <c r="P41" s="435">
        <f>SUM(N41:O41)</f>
        <v>0</v>
      </c>
      <c r="Q41" s="435">
        <v>0</v>
      </c>
      <c r="R41" s="435"/>
      <c r="S41" s="435">
        <f>SUM(Q41:R41)</f>
        <v>0</v>
      </c>
      <c r="T41" s="435">
        <v>0</v>
      </c>
      <c r="U41" s="435"/>
      <c r="V41" s="435">
        <f>SUM(T41:U41)</f>
        <v>0</v>
      </c>
      <c r="W41" s="435">
        <v>0</v>
      </c>
      <c r="X41" s="435"/>
      <c r="Y41" s="435">
        <f>SUM(W41:X41)</f>
        <v>0</v>
      </c>
      <c r="AA41" s="435">
        <v>0</v>
      </c>
      <c r="AC41" s="435">
        <f t="shared" ref="AC41:AC46" si="36">SUM(G41,J41,P41,S41,V41,Y41,AA41)</f>
        <v>0</v>
      </c>
      <c r="AD41" s="435"/>
      <c r="AE41" s="435">
        <f>SUM(AC41:AD41)</f>
        <v>0</v>
      </c>
    </row>
    <row r="42" spans="2:31" s="423" customFormat="1">
      <c r="D42" s="423" t="s">
        <v>545</v>
      </c>
      <c r="E42" s="435">
        <v>0</v>
      </c>
      <c r="F42" s="435"/>
      <c r="G42" s="435">
        <f>SUM(E42:F42)</f>
        <v>0</v>
      </c>
      <c r="H42" s="435">
        <v>0</v>
      </c>
      <c r="I42" s="435"/>
      <c r="J42" s="435">
        <f>SUM(H42:I42)</f>
        <v>0</v>
      </c>
      <c r="K42" s="435">
        <v>0</v>
      </c>
      <c r="L42" s="435"/>
      <c r="M42" s="435">
        <f>SUM(K42:L42)</f>
        <v>0</v>
      </c>
      <c r="N42" s="435">
        <v>0</v>
      </c>
      <c r="O42" s="435"/>
      <c r="P42" s="435">
        <f>SUM(N42:O42)</f>
        <v>0</v>
      </c>
      <c r="Q42" s="435">
        <v>0</v>
      </c>
      <c r="R42" s="435"/>
      <c r="S42" s="435">
        <f>SUM(Q42:R42)</f>
        <v>0</v>
      </c>
      <c r="T42" s="435">
        <v>0</v>
      </c>
      <c r="U42" s="435"/>
      <c r="V42" s="435">
        <f>SUM(T42:U42)</f>
        <v>0</v>
      </c>
      <c r="W42" s="435">
        <v>0</v>
      </c>
      <c r="X42" s="435"/>
      <c r="Y42" s="435">
        <f>SUM(W42:X42)</f>
        <v>0</v>
      </c>
      <c r="AA42" s="435">
        <v>0</v>
      </c>
      <c r="AC42" s="435">
        <f t="shared" si="36"/>
        <v>0</v>
      </c>
      <c r="AD42" s="435"/>
      <c r="AE42" s="435">
        <f>SUM(AC42:AD42)</f>
        <v>0</v>
      </c>
    </row>
    <row r="43" spans="2:31" s="423" customFormat="1">
      <c r="D43" s="423" t="s">
        <v>546</v>
      </c>
      <c r="E43" s="435">
        <v>0</v>
      </c>
      <c r="F43" s="435"/>
      <c r="G43" s="435">
        <f>SUM(E43:F43)</f>
        <v>0</v>
      </c>
      <c r="H43" s="435">
        <v>0</v>
      </c>
      <c r="I43" s="435"/>
      <c r="J43" s="435">
        <f>SUM(H43:I43)</f>
        <v>0</v>
      </c>
      <c r="K43" s="435">
        <v>0</v>
      </c>
      <c r="L43" s="435"/>
      <c r="M43" s="435">
        <f>SUM(K43:L43)</f>
        <v>0</v>
      </c>
      <c r="N43" s="435">
        <v>0</v>
      </c>
      <c r="O43" s="435"/>
      <c r="P43" s="435">
        <f>SUM(N43:O43)</f>
        <v>0</v>
      </c>
      <c r="Q43" s="435">
        <v>0</v>
      </c>
      <c r="R43" s="435"/>
      <c r="S43" s="435">
        <f>SUM(Q43:R43)</f>
        <v>0</v>
      </c>
      <c r="T43" s="435">
        <v>0</v>
      </c>
      <c r="U43" s="435"/>
      <c r="V43" s="435">
        <f>SUM(T43:U43)</f>
        <v>0</v>
      </c>
      <c r="W43" s="435">
        <v>0</v>
      </c>
      <c r="X43" s="435"/>
      <c r="Y43" s="435">
        <f>SUM(W43:X43)</f>
        <v>0</v>
      </c>
      <c r="AA43" s="435">
        <v>0</v>
      </c>
      <c r="AC43" s="435">
        <f t="shared" si="36"/>
        <v>0</v>
      </c>
      <c r="AD43" s="435"/>
      <c r="AE43" s="435">
        <f>SUM(AC43:AD43)</f>
        <v>0</v>
      </c>
    </row>
    <row r="44" spans="2:31" s="423" customFormat="1">
      <c r="D44" s="423" t="s">
        <v>547</v>
      </c>
      <c r="E44" s="435">
        <v>0</v>
      </c>
      <c r="F44" s="435"/>
      <c r="G44" s="435">
        <f>SUM(E44:F44)</f>
        <v>0</v>
      </c>
      <c r="H44" s="435">
        <v>0</v>
      </c>
      <c r="I44" s="435"/>
      <c r="J44" s="435">
        <f>SUM(H44:I44)</f>
        <v>0</v>
      </c>
      <c r="K44" s="435">
        <v>0</v>
      </c>
      <c r="L44" s="435"/>
      <c r="M44" s="435">
        <f>SUM(K44:L44)</f>
        <v>0</v>
      </c>
      <c r="N44" s="435">
        <v>0</v>
      </c>
      <c r="O44" s="435"/>
      <c r="P44" s="435">
        <f>SUM(N44:O44)</f>
        <v>0</v>
      </c>
      <c r="Q44" s="435">
        <v>0</v>
      </c>
      <c r="R44" s="435"/>
      <c r="S44" s="435">
        <f>SUM(Q44:R44)</f>
        <v>0</v>
      </c>
      <c r="T44" s="435">
        <v>0</v>
      </c>
      <c r="U44" s="435"/>
      <c r="V44" s="435">
        <f>SUM(T44:U44)</f>
        <v>0</v>
      </c>
      <c r="W44" s="435">
        <v>0</v>
      </c>
      <c r="X44" s="435"/>
      <c r="Y44" s="435">
        <f>SUM(W44:X44)</f>
        <v>0</v>
      </c>
      <c r="AA44" s="435">
        <v>0</v>
      </c>
      <c r="AC44" s="435">
        <f t="shared" si="36"/>
        <v>0</v>
      </c>
      <c r="AD44" s="435"/>
      <c r="AE44" s="435">
        <f>SUM(AC44:AD44)</f>
        <v>0</v>
      </c>
    </row>
    <row r="45" spans="2:31" s="423" customFormat="1">
      <c r="D45" s="423" t="s">
        <v>548</v>
      </c>
      <c r="E45" s="435">
        <v>0</v>
      </c>
      <c r="F45" s="435"/>
      <c r="G45" s="435">
        <f t="shared" ref="G45:G46" si="37">SUM(E45:F45)</f>
        <v>0</v>
      </c>
      <c r="H45" s="435">
        <v>0</v>
      </c>
      <c r="I45" s="435"/>
      <c r="J45" s="435">
        <f t="shared" ref="J45:J46" si="38">SUM(H45:I45)</f>
        <v>0</v>
      </c>
      <c r="K45" s="435">
        <v>0</v>
      </c>
      <c r="L45" s="435"/>
      <c r="M45" s="435">
        <f t="shared" ref="M45:M46" si="39">SUM(K45:L45)</f>
        <v>0</v>
      </c>
      <c r="N45" s="435">
        <v>0</v>
      </c>
      <c r="O45" s="435"/>
      <c r="P45" s="435">
        <f t="shared" ref="P45:P46" si="40">SUM(N45:O45)</f>
        <v>0</v>
      </c>
      <c r="Q45" s="435">
        <v>0</v>
      </c>
      <c r="R45" s="435"/>
      <c r="S45" s="435">
        <f t="shared" si="33"/>
        <v>0</v>
      </c>
      <c r="T45" s="435">
        <v>0</v>
      </c>
      <c r="U45" s="435"/>
      <c r="V45" s="435">
        <f t="shared" ref="V45:V46" si="41">SUM(T45:U45)</f>
        <v>0</v>
      </c>
      <c r="W45" s="435">
        <v>0</v>
      </c>
      <c r="X45" s="435"/>
      <c r="Y45" s="435">
        <f t="shared" si="35"/>
        <v>0</v>
      </c>
      <c r="AA45" s="435">
        <v>0</v>
      </c>
      <c r="AC45" s="435">
        <f t="shared" si="36"/>
        <v>0</v>
      </c>
      <c r="AD45" s="435"/>
      <c r="AE45" s="435">
        <f t="shared" ref="AE45:AE46" si="42">SUM(AC45:AD45)</f>
        <v>0</v>
      </c>
    </row>
    <row r="46" spans="2:31" s="423" customFormat="1">
      <c r="D46" s="423" t="s">
        <v>549</v>
      </c>
      <c r="E46" s="435">
        <v>0</v>
      </c>
      <c r="F46" s="435"/>
      <c r="G46" s="435">
        <f t="shared" si="37"/>
        <v>0</v>
      </c>
      <c r="H46" s="435">
        <v>0</v>
      </c>
      <c r="I46" s="435"/>
      <c r="J46" s="435">
        <f t="shared" si="38"/>
        <v>0</v>
      </c>
      <c r="K46" s="435">
        <v>0</v>
      </c>
      <c r="L46" s="435"/>
      <c r="M46" s="435">
        <f t="shared" si="39"/>
        <v>0</v>
      </c>
      <c r="N46" s="435">
        <v>0</v>
      </c>
      <c r="O46" s="435"/>
      <c r="P46" s="435">
        <f t="shared" si="40"/>
        <v>0</v>
      </c>
      <c r="Q46" s="435">
        <v>0</v>
      </c>
      <c r="R46" s="435"/>
      <c r="S46" s="435">
        <f t="shared" si="33"/>
        <v>0</v>
      </c>
      <c r="T46" s="435">
        <v>0</v>
      </c>
      <c r="U46" s="435"/>
      <c r="V46" s="435">
        <f t="shared" si="41"/>
        <v>0</v>
      </c>
      <c r="W46" s="435">
        <v>0</v>
      </c>
      <c r="X46" s="435"/>
      <c r="Y46" s="435">
        <f t="shared" si="35"/>
        <v>0</v>
      </c>
      <c r="AA46" s="435">
        <v>0</v>
      </c>
      <c r="AC46" s="435">
        <f t="shared" si="36"/>
        <v>0</v>
      </c>
      <c r="AD46" s="435"/>
      <c r="AE46" s="435">
        <f t="shared" si="42"/>
        <v>0</v>
      </c>
    </row>
    <row r="48" spans="2:31" s="427" customFormat="1" ht="13">
      <c r="C48" s="427" t="s">
        <v>178</v>
      </c>
      <c r="E48" s="442">
        <f t="shared" ref="E48:AA48" si="43">SUM(E40:E46)</f>
        <v>0</v>
      </c>
      <c r="F48" s="442">
        <f t="shared" si="43"/>
        <v>0</v>
      </c>
      <c r="G48" s="442">
        <f t="shared" si="43"/>
        <v>0</v>
      </c>
      <c r="H48" s="442">
        <f t="shared" si="43"/>
        <v>0</v>
      </c>
      <c r="I48" s="442">
        <f t="shared" si="43"/>
        <v>0</v>
      </c>
      <c r="J48" s="442">
        <f t="shared" si="43"/>
        <v>0</v>
      </c>
      <c r="K48" s="442">
        <f t="shared" si="43"/>
        <v>0</v>
      </c>
      <c r="L48" s="442">
        <f t="shared" si="43"/>
        <v>0</v>
      </c>
      <c r="M48" s="442">
        <f t="shared" si="43"/>
        <v>0</v>
      </c>
      <c r="N48" s="442">
        <f t="shared" si="43"/>
        <v>0</v>
      </c>
      <c r="O48" s="442">
        <f t="shared" si="43"/>
        <v>0</v>
      </c>
      <c r="P48" s="442">
        <f t="shared" si="43"/>
        <v>0</v>
      </c>
      <c r="Q48" s="442">
        <f t="shared" si="43"/>
        <v>0</v>
      </c>
      <c r="R48" s="442">
        <f t="shared" si="43"/>
        <v>0</v>
      </c>
      <c r="S48" s="442">
        <f t="shared" si="43"/>
        <v>0</v>
      </c>
      <c r="T48" s="442">
        <f t="shared" si="43"/>
        <v>0</v>
      </c>
      <c r="U48" s="442">
        <f t="shared" si="43"/>
        <v>0</v>
      </c>
      <c r="V48" s="442">
        <f t="shared" si="43"/>
        <v>0</v>
      </c>
      <c r="W48" s="442">
        <f t="shared" si="43"/>
        <v>0</v>
      </c>
      <c r="X48" s="442">
        <f t="shared" si="43"/>
        <v>0</v>
      </c>
      <c r="Y48" s="442">
        <f t="shared" si="43"/>
        <v>0</v>
      </c>
      <c r="Z48" s="442">
        <f t="shared" si="43"/>
        <v>0</v>
      </c>
      <c r="AA48" s="442">
        <f t="shared" si="43"/>
        <v>0</v>
      </c>
      <c r="AC48" s="442">
        <f>SUM(AC40:AC46)</f>
        <v>0</v>
      </c>
      <c r="AD48" s="442">
        <f>SUM(AD40:AD46)</f>
        <v>0</v>
      </c>
      <c r="AE48" s="442">
        <f>SUM(AE40:AE46)</f>
        <v>0</v>
      </c>
    </row>
    <row r="49" spans="2:32" s="427" customFormat="1" ht="13">
      <c r="E49" s="443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  <c r="Q49" s="443"/>
      <c r="R49" s="443"/>
      <c r="S49" s="443"/>
      <c r="T49" s="443"/>
      <c r="U49" s="443"/>
      <c r="V49" s="443"/>
      <c r="W49" s="443"/>
      <c r="X49" s="443"/>
      <c r="Y49" s="443"/>
      <c r="AA49" s="443"/>
      <c r="AC49" s="443"/>
      <c r="AD49" s="443"/>
      <c r="AE49" s="443"/>
    </row>
    <row r="50" spans="2:32" s="423" customFormat="1">
      <c r="C50" s="423" t="s">
        <v>433</v>
      </c>
      <c r="E50" s="441"/>
      <c r="F50" s="441"/>
      <c r="G50" s="441"/>
      <c r="H50" s="441"/>
      <c r="I50" s="441"/>
      <c r="J50" s="441"/>
      <c r="K50" s="441"/>
      <c r="L50" s="441"/>
      <c r="M50" s="441"/>
      <c r="N50" s="441"/>
      <c r="O50" s="441"/>
      <c r="P50" s="441"/>
      <c r="Q50" s="441"/>
      <c r="R50" s="441"/>
      <c r="S50" s="441"/>
      <c r="T50" s="441"/>
      <c r="U50" s="441"/>
      <c r="V50" s="441"/>
      <c r="W50" s="441"/>
      <c r="X50" s="441"/>
      <c r="Y50" s="441"/>
      <c r="AA50" s="441">
        <v>0</v>
      </c>
      <c r="AC50" s="441">
        <v>0</v>
      </c>
      <c r="AD50" s="441">
        <v>0</v>
      </c>
      <c r="AE50" s="441">
        <v>0</v>
      </c>
    </row>
    <row r="51" spans="2:32" s="427" customFormat="1" ht="13">
      <c r="C51" s="427" t="s">
        <v>434</v>
      </c>
      <c r="E51" s="444">
        <f t="shared" ref="E51:Q51" si="44">SUM(E48:E50)</f>
        <v>0</v>
      </c>
      <c r="F51" s="444"/>
      <c r="G51" s="444">
        <f t="shared" si="44"/>
        <v>0</v>
      </c>
      <c r="H51" s="444">
        <f t="shared" si="44"/>
        <v>0</v>
      </c>
      <c r="I51" s="444"/>
      <c r="J51" s="444">
        <f t="shared" ref="J51:K51" si="45">SUM(J48:J50)</f>
        <v>0</v>
      </c>
      <c r="K51" s="444">
        <f t="shared" si="45"/>
        <v>0</v>
      </c>
      <c r="L51" s="444"/>
      <c r="M51" s="444">
        <f t="shared" ref="M51:N51" si="46">SUM(M48:M50)</f>
        <v>0</v>
      </c>
      <c r="N51" s="444">
        <f t="shared" si="46"/>
        <v>0</v>
      </c>
      <c r="O51" s="444"/>
      <c r="P51" s="444">
        <f t="shared" ref="P51" si="47">SUM(P48:P50)</f>
        <v>0</v>
      </c>
      <c r="Q51" s="444">
        <f t="shared" si="44"/>
        <v>0</v>
      </c>
      <c r="R51" s="444"/>
      <c r="S51" s="444">
        <f t="shared" ref="S51:W51" si="48">SUM(S48:S50)</f>
        <v>0</v>
      </c>
      <c r="T51" s="444">
        <f t="shared" si="48"/>
        <v>0</v>
      </c>
      <c r="U51" s="444"/>
      <c r="V51" s="444">
        <f t="shared" ref="V51" si="49">SUM(V48:V50)</f>
        <v>0</v>
      </c>
      <c r="W51" s="444">
        <f t="shared" si="48"/>
        <v>0</v>
      </c>
      <c r="X51" s="444"/>
      <c r="Y51" s="444">
        <f t="shared" ref="Y51" si="50">SUM(Y48:Y50)</f>
        <v>0</v>
      </c>
      <c r="AA51" s="444">
        <f t="shared" ref="AA51" si="51">SUM(AA48:AA50)</f>
        <v>0</v>
      </c>
      <c r="AC51" s="444">
        <f t="shared" ref="AC51:AE51" si="52">SUM(AC48:AC50)</f>
        <v>0</v>
      </c>
      <c r="AD51" s="444">
        <f t="shared" si="52"/>
        <v>0</v>
      </c>
      <c r="AE51" s="444">
        <f t="shared" si="52"/>
        <v>0</v>
      </c>
    </row>
    <row r="52" spans="2:32" s="427" customFormat="1" ht="13">
      <c r="E52" s="443"/>
      <c r="F52" s="443"/>
      <c r="G52" s="443"/>
      <c r="H52" s="443"/>
      <c r="I52" s="443"/>
      <c r="J52" s="443"/>
      <c r="K52" s="443"/>
      <c r="L52" s="443"/>
      <c r="M52" s="443"/>
      <c r="N52" s="443"/>
      <c r="O52" s="443"/>
      <c r="P52" s="443"/>
      <c r="Q52" s="443"/>
      <c r="R52" s="443"/>
      <c r="S52" s="443"/>
      <c r="T52" s="443"/>
      <c r="U52" s="443"/>
      <c r="V52" s="443"/>
      <c r="W52" s="443"/>
      <c r="X52" s="443"/>
      <c r="Y52" s="443"/>
      <c r="AA52" s="443"/>
      <c r="AC52" s="443"/>
      <c r="AD52" s="443"/>
      <c r="AE52" s="443"/>
    </row>
    <row r="53" spans="2:32" s="427" customFormat="1" ht="13">
      <c r="D53" s="445" t="s">
        <v>435</v>
      </c>
      <c r="E53" s="446">
        <f>'Consol SoFP 23 &amp; 22'!IY21</f>
        <v>0</v>
      </c>
      <c r="F53" s="446">
        <f>'Consol SoFP 23 &amp; 22'!AI21</f>
        <v>0</v>
      </c>
      <c r="G53" s="446">
        <f>'Consol SoFP 23 &amp; 22'!AJ21</f>
        <v>0</v>
      </c>
      <c r="H53" s="446">
        <f>'Consol SoFP 23 &amp; 22'!AK21</f>
        <v>0</v>
      </c>
      <c r="I53" s="446">
        <f>'Consol SoFP 23 &amp; 22'!AL21</f>
        <v>0</v>
      </c>
      <c r="J53" s="446">
        <f>'Consol SoFP 23 &amp; 22'!AM21</f>
        <v>0</v>
      </c>
      <c r="K53" s="446">
        <f>'Consol SoFP 23 &amp; 22'!AK21</f>
        <v>0</v>
      </c>
      <c r="L53" s="446">
        <f>'Consol SoFP 23 &amp; 22'!AL21</f>
        <v>0</v>
      </c>
      <c r="M53" s="446">
        <f>'Consol SoFP 23 &amp; 22'!AM21</f>
        <v>0</v>
      </c>
      <c r="N53" s="446">
        <f>'Consol SoFP 23 &amp; 22'!AN21</f>
        <v>0</v>
      </c>
      <c r="O53" s="446">
        <f>'Consol SoFP 23 &amp; 22'!AO21</f>
        <v>0</v>
      </c>
      <c r="P53" s="446">
        <f>'Consol SoFP 23 &amp; 22'!AP21</f>
        <v>0</v>
      </c>
      <c r="Q53" s="446">
        <f>'Consol SoFP 23 &amp; 22'!AQ21</f>
        <v>0</v>
      </c>
      <c r="R53" s="446">
        <f>'Consol SoFP 23 &amp; 22'!AR21</f>
        <v>0</v>
      </c>
      <c r="S53" s="446">
        <f>'Consol SoFP 23 &amp; 22'!AS21</f>
        <v>0</v>
      </c>
      <c r="T53" s="446">
        <f>'Consol SoFP 23 &amp; 22'!AT21</f>
        <v>0</v>
      </c>
      <c r="U53" s="446">
        <f>'Consol SoFP 23 &amp; 22'!AU21</f>
        <v>0</v>
      </c>
      <c r="V53" s="446">
        <f>'Consol SoFP 23 &amp; 22'!AV21</f>
        <v>0</v>
      </c>
      <c r="W53" s="446">
        <f>'Consol SoFP 23 &amp; 22'!AW21</f>
        <v>0</v>
      </c>
      <c r="X53" s="446">
        <f>'Consol SoFP 23 &amp; 22'!AX21</f>
        <v>0</v>
      </c>
      <c r="Y53" s="446">
        <f>'Consol SoFP 23 &amp; 22'!AY21</f>
        <v>0</v>
      </c>
      <c r="AA53" s="446">
        <v>0</v>
      </c>
      <c r="AC53" s="446">
        <f>'Consol SoFP 23 &amp; 22'!BC21</f>
        <v>0</v>
      </c>
      <c r="AD53" s="446">
        <f>SUM('Consol SoFP 23 &amp; 22'!BD21:BE21)</f>
        <v>0</v>
      </c>
      <c r="AE53" s="446">
        <f>'Consol SoFP 23 &amp; 22'!BF21</f>
        <v>0</v>
      </c>
    </row>
    <row r="54" spans="2:32" s="423" customFormat="1" ht="13">
      <c r="B54" s="417"/>
      <c r="C54" s="417"/>
      <c r="D54" s="445" t="s">
        <v>111</v>
      </c>
      <c r="E54" s="442">
        <f>ROUND(E51-E53,0)</f>
        <v>0</v>
      </c>
      <c r="F54" s="442">
        <f t="shared" ref="F54:Y54" si="53">ROUND(F51-F53,0)</f>
        <v>0</v>
      </c>
      <c r="G54" s="442">
        <f t="shared" si="53"/>
        <v>0</v>
      </c>
      <c r="H54" s="442">
        <f t="shared" si="53"/>
        <v>0</v>
      </c>
      <c r="I54" s="442">
        <f t="shared" si="53"/>
        <v>0</v>
      </c>
      <c r="J54" s="442">
        <f t="shared" si="53"/>
        <v>0</v>
      </c>
      <c r="K54" s="442">
        <f t="shared" si="53"/>
        <v>0</v>
      </c>
      <c r="L54" s="442">
        <f t="shared" si="53"/>
        <v>0</v>
      </c>
      <c r="M54" s="442">
        <f t="shared" si="53"/>
        <v>0</v>
      </c>
      <c r="N54" s="442">
        <f t="shared" si="53"/>
        <v>0</v>
      </c>
      <c r="O54" s="442">
        <f t="shared" si="53"/>
        <v>0</v>
      </c>
      <c r="P54" s="442">
        <f t="shared" si="53"/>
        <v>0</v>
      </c>
      <c r="Q54" s="442">
        <f t="shared" si="53"/>
        <v>0</v>
      </c>
      <c r="R54" s="442">
        <f t="shared" si="53"/>
        <v>0</v>
      </c>
      <c r="S54" s="442">
        <f t="shared" si="53"/>
        <v>0</v>
      </c>
      <c r="T54" s="442">
        <f t="shared" si="53"/>
        <v>0</v>
      </c>
      <c r="U54" s="442">
        <f t="shared" si="53"/>
        <v>0</v>
      </c>
      <c r="V54" s="442">
        <f t="shared" si="53"/>
        <v>0</v>
      </c>
      <c r="W54" s="442">
        <f t="shared" si="53"/>
        <v>0</v>
      </c>
      <c r="X54" s="442">
        <f t="shared" si="53"/>
        <v>0</v>
      </c>
      <c r="Y54" s="442">
        <f t="shared" si="53"/>
        <v>0</v>
      </c>
      <c r="AA54" s="442">
        <f t="shared" ref="AA54" si="54">AA51-AA53</f>
        <v>0</v>
      </c>
      <c r="AC54" s="442">
        <f t="shared" ref="AC54:AE54" si="55">ROUND(AC51-AC53,0)</f>
        <v>0</v>
      </c>
      <c r="AD54" s="442">
        <f t="shared" si="55"/>
        <v>0</v>
      </c>
      <c r="AE54" s="442">
        <f t="shared" si="55"/>
        <v>0</v>
      </c>
    </row>
    <row r="55" spans="2:32" s="449" customFormat="1" ht="13.5" thickBot="1">
      <c r="B55" s="447"/>
      <c r="C55" s="447"/>
      <c r="D55" s="447"/>
      <c r="E55" s="448"/>
      <c r="F55" s="448"/>
      <c r="G55" s="448"/>
      <c r="H55" s="448"/>
      <c r="I55" s="448"/>
      <c r="J55" s="448"/>
      <c r="K55" s="448"/>
      <c r="L55" s="448"/>
      <c r="M55" s="448"/>
      <c r="N55" s="448"/>
      <c r="O55" s="448"/>
      <c r="P55" s="448"/>
      <c r="Q55" s="448"/>
      <c r="R55" s="448"/>
      <c r="S55" s="448"/>
      <c r="T55" s="448"/>
      <c r="U55" s="448"/>
      <c r="V55" s="448"/>
      <c r="W55" s="448"/>
      <c r="X55" s="448"/>
      <c r="Y55" s="448"/>
      <c r="AA55" s="448"/>
      <c r="AC55" s="448"/>
      <c r="AD55" s="448"/>
      <c r="AE55" s="448"/>
    </row>
    <row r="56" spans="2:32" s="417" customFormat="1" ht="13">
      <c r="B56" s="414" t="s">
        <v>438</v>
      </c>
    </row>
    <row r="57" spans="2:32" s="423" customFormat="1" ht="13">
      <c r="E57" s="428" t="s">
        <v>426</v>
      </c>
      <c r="F57" s="428" t="s">
        <v>334</v>
      </c>
      <c r="G57" s="428" t="s">
        <v>427</v>
      </c>
      <c r="H57" s="428" t="s">
        <v>426</v>
      </c>
      <c r="I57" s="428" t="s">
        <v>334</v>
      </c>
      <c r="J57" s="428" t="s">
        <v>427</v>
      </c>
      <c r="K57" s="428" t="s">
        <v>426</v>
      </c>
      <c r="L57" s="428" t="s">
        <v>334</v>
      </c>
      <c r="M57" s="428" t="s">
        <v>427</v>
      </c>
      <c r="N57" s="428" t="s">
        <v>426</v>
      </c>
      <c r="O57" s="428" t="s">
        <v>334</v>
      </c>
      <c r="P57" s="428" t="s">
        <v>427</v>
      </c>
      <c r="Q57" s="428" t="s">
        <v>426</v>
      </c>
      <c r="R57" s="428" t="s">
        <v>334</v>
      </c>
      <c r="S57" s="428" t="s">
        <v>427</v>
      </c>
      <c r="T57" s="428" t="s">
        <v>426</v>
      </c>
      <c r="U57" s="428" t="s">
        <v>334</v>
      </c>
      <c r="V57" s="428" t="s">
        <v>427</v>
      </c>
      <c r="W57" s="428" t="s">
        <v>426</v>
      </c>
      <c r="X57" s="428" t="s">
        <v>334</v>
      </c>
      <c r="Y57" s="428" t="s">
        <v>427</v>
      </c>
      <c r="AA57" s="428" t="s">
        <v>428</v>
      </c>
      <c r="AC57" s="428" t="s">
        <v>11</v>
      </c>
      <c r="AD57" s="428" t="s">
        <v>429</v>
      </c>
      <c r="AE57" s="428" t="s">
        <v>13</v>
      </c>
    </row>
    <row r="58" spans="2:32" s="423" customFormat="1" ht="13">
      <c r="E58" s="429">
        <v>44926</v>
      </c>
      <c r="F58" s="429"/>
      <c r="G58" s="429">
        <v>44926</v>
      </c>
      <c r="H58" s="429">
        <v>44926</v>
      </c>
      <c r="I58" s="429"/>
      <c r="J58" s="429">
        <v>44926</v>
      </c>
      <c r="K58" s="429">
        <v>44926</v>
      </c>
      <c r="L58" s="429"/>
      <c r="M58" s="429">
        <v>44926</v>
      </c>
      <c r="N58" s="429">
        <v>44926</v>
      </c>
      <c r="O58" s="429"/>
      <c r="P58" s="429">
        <v>44926</v>
      </c>
      <c r="Q58" s="429">
        <v>44926</v>
      </c>
      <c r="R58" s="429"/>
      <c r="S58" s="429">
        <v>44926</v>
      </c>
      <c r="T58" s="429">
        <v>44926</v>
      </c>
      <c r="U58" s="429"/>
      <c r="V58" s="429">
        <v>44926</v>
      </c>
      <c r="W58" s="429">
        <v>44926</v>
      </c>
      <c r="X58" s="429"/>
      <c r="Y58" s="429">
        <v>44926</v>
      </c>
      <c r="AA58" s="429">
        <v>44926</v>
      </c>
      <c r="AC58" s="429">
        <v>44926</v>
      </c>
      <c r="AD58" s="429">
        <v>44926</v>
      </c>
      <c r="AE58" s="429">
        <v>44926</v>
      </c>
    </row>
    <row r="59" spans="2:32" s="423" customFormat="1" ht="13" customHeight="1">
      <c r="C59" s="430"/>
      <c r="D59" s="430"/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0"/>
      <c r="AA59" s="452"/>
      <c r="AC59" s="452"/>
      <c r="AD59" s="452"/>
      <c r="AE59" s="452"/>
    </row>
    <row r="60" spans="2:32" s="438" customFormat="1">
      <c r="C60" s="423" t="s">
        <v>543</v>
      </c>
      <c r="D60" s="434"/>
      <c r="E60" s="435">
        <v>0</v>
      </c>
      <c r="F60" s="440"/>
      <c r="G60" s="440">
        <f t="shared" ref="G60:G69" si="56">SUM(E60:F60)</f>
        <v>0</v>
      </c>
      <c r="H60" s="435">
        <v>1417500000</v>
      </c>
      <c r="I60" s="440"/>
      <c r="J60" s="440">
        <f t="shared" ref="J60" si="57">SUM(H60:I60)</f>
        <v>1417500000</v>
      </c>
      <c r="K60" s="435">
        <v>0</v>
      </c>
      <c r="L60" s="440"/>
      <c r="M60" s="440">
        <f t="shared" ref="M60" si="58">SUM(K60:L60)</f>
        <v>0</v>
      </c>
      <c r="N60" s="435">
        <v>0</v>
      </c>
      <c r="O60" s="440"/>
      <c r="P60" s="440">
        <f t="shared" ref="P60" si="59">SUM(N60:O60)</f>
        <v>0</v>
      </c>
      <c r="Q60" s="440">
        <f>8925774573*1.575</f>
        <v>14058094952.475</v>
      </c>
      <c r="R60" s="440"/>
      <c r="S60" s="440">
        <f t="shared" ref="S60:S69" si="60">SUM(Q60:R60)</f>
        <v>14058094952.475</v>
      </c>
      <c r="T60" s="440">
        <v>0</v>
      </c>
      <c r="U60" s="440"/>
      <c r="V60" s="440">
        <f t="shared" ref="V60" si="61">SUM(T60:U60)</f>
        <v>0</v>
      </c>
      <c r="W60" s="440">
        <v>0</v>
      </c>
      <c r="X60" s="440"/>
      <c r="Y60" s="440">
        <f t="shared" ref="Y60:Y69" si="62">SUM(W60:X60)</f>
        <v>0</v>
      </c>
      <c r="AA60" s="440">
        <v>0</v>
      </c>
      <c r="AC60" s="435">
        <f>SUM(G60,J60,P60,S60,V60,Y60,AA60)</f>
        <v>15475594952.475</v>
      </c>
      <c r="AD60" s="440">
        <f>'Elimination 22'!H65+'Elimination 22'!H73+'Elimination 22'!H76+'Elimination 22'!G83</f>
        <v>-15475594952.475002</v>
      </c>
      <c r="AE60" s="440">
        <f>SUM(AC60:AD60)</f>
        <v>0</v>
      </c>
    </row>
    <row r="61" spans="2:32" s="423" customFormat="1">
      <c r="D61" s="434" t="s">
        <v>544</v>
      </c>
      <c r="E61" s="435">
        <v>130394112646.51161</v>
      </c>
      <c r="F61" s="435"/>
      <c r="G61" s="435">
        <f>SUM(E61:F61)</f>
        <v>130394112646.51161</v>
      </c>
      <c r="H61" s="435">
        <v>3050955732.8249998</v>
      </c>
      <c r="I61" s="435"/>
      <c r="J61" s="435">
        <f>SUM(H61:I61)</f>
        <v>3050955732.8249998</v>
      </c>
      <c r="K61" s="435">
        <v>0</v>
      </c>
      <c r="L61" s="435"/>
      <c r="M61" s="435">
        <f>SUM(K61:L61)</f>
        <v>0</v>
      </c>
      <c r="N61" s="435">
        <v>0</v>
      </c>
      <c r="O61" s="435"/>
      <c r="P61" s="435">
        <f>SUM(N61:O61)</f>
        <v>0</v>
      </c>
      <c r="Q61" s="435">
        <v>0</v>
      </c>
      <c r="R61" s="435"/>
      <c r="S61" s="435">
        <f>SUM(Q61:R61)</f>
        <v>0</v>
      </c>
      <c r="T61" s="440">
        <v>0</v>
      </c>
      <c r="U61" s="435"/>
      <c r="V61" s="435">
        <f>SUM(T61:U61)</f>
        <v>0</v>
      </c>
      <c r="W61" s="440">
        <v>0</v>
      </c>
      <c r="X61" s="435"/>
      <c r="Y61" s="435">
        <f>SUM(W61:X61)</f>
        <v>0</v>
      </c>
      <c r="AA61" s="435">
        <v>0</v>
      </c>
      <c r="AC61" s="435">
        <f>SUM(G61,J61,P61,S61,V61,Y61,AA61)</f>
        <v>133445068379.33661</v>
      </c>
      <c r="AD61" s="435">
        <f>'Elimination 22'!H74+'Elimination 22'!H81</f>
        <v>-133445068379.33661</v>
      </c>
      <c r="AE61" s="435">
        <f>SUM(AC61:AD61)</f>
        <v>0</v>
      </c>
    </row>
    <row r="62" spans="2:32" s="423" customFormat="1">
      <c r="D62" s="423" t="s">
        <v>545</v>
      </c>
      <c r="E62" s="435">
        <v>0</v>
      </c>
      <c r="F62" s="435"/>
      <c r="G62" s="435">
        <f>SUM(E62:F62)</f>
        <v>0</v>
      </c>
      <c r="H62" s="435">
        <v>0</v>
      </c>
      <c r="I62" s="435"/>
      <c r="J62" s="435">
        <f>SUM(H62:I62)</f>
        <v>0</v>
      </c>
      <c r="K62" s="435">
        <v>0</v>
      </c>
      <c r="L62" s="435"/>
      <c r="M62" s="435">
        <f>SUM(K62:L62)</f>
        <v>0</v>
      </c>
      <c r="N62" s="435">
        <v>0</v>
      </c>
      <c r="O62" s="435"/>
      <c r="P62" s="435">
        <f>SUM(N62:O62)</f>
        <v>0</v>
      </c>
      <c r="Q62" s="435">
        <v>0</v>
      </c>
      <c r="R62" s="435"/>
      <c r="S62" s="435">
        <f>SUM(Q62:R62)</f>
        <v>0</v>
      </c>
      <c r="T62" s="440">
        <v>0</v>
      </c>
      <c r="U62" s="435"/>
      <c r="V62" s="435">
        <f>SUM(T62:U62)</f>
        <v>0</v>
      </c>
      <c r="W62" s="440">
        <v>0</v>
      </c>
      <c r="X62" s="435"/>
      <c r="Y62" s="435">
        <f>SUM(W62:X62)</f>
        <v>0</v>
      </c>
      <c r="AA62" s="435">
        <v>0</v>
      </c>
      <c r="AC62" s="435">
        <f>SUM(G62,J62,P62,S62,V62,Y62,AA62)</f>
        <v>0</v>
      </c>
      <c r="AD62" s="435">
        <f t="shared" ref="AD62" si="63">-AC62</f>
        <v>0</v>
      </c>
      <c r="AE62" s="435">
        <f>SUM(AC62:AD62)</f>
        <v>0</v>
      </c>
    </row>
    <row r="63" spans="2:32" s="438" customFormat="1">
      <c r="C63" s="423"/>
      <c r="D63" s="423" t="s">
        <v>546</v>
      </c>
      <c r="E63" s="435">
        <v>0</v>
      </c>
      <c r="F63" s="440"/>
      <c r="G63" s="440">
        <f t="shared" si="56"/>
        <v>0</v>
      </c>
      <c r="H63" s="435">
        <v>0</v>
      </c>
      <c r="I63" s="440"/>
      <c r="J63" s="440">
        <f t="shared" ref="J63:J66" si="64">SUM(H63:I63)</f>
        <v>0</v>
      </c>
      <c r="K63" s="435">
        <v>0</v>
      </c>
      <c r="L63" s="440"/>
      <c r="M63" s="440">
        <f t="shared" ref="M63:M66" si="65">SUM(K63:L63)</f>
        <v>0</v>
      </c>
      <c r="N63" s="435">
        <v>0</v>
      </c>
      <c r="O63" s="440"/>
      <c r="P63" s="440">
        <f t="shared" ref="P63:P66" si="66">SUM(N63:O63)</f>
        <v>0</v>
      </c>
      <c r="Q63" s="440">
        <v>0</v>
      </c>
      <c r="R63" s="440"/>
      <c r="S63" s="440">
        <f t="shared" si="60"/>
        <v>0</v>
      </c>
      <c r="T63" s="440">
        <v>0</v>
      </c>
      <c r="U63" s="440"/>
      <c r="V63" s="440">
        <f t="shared" ref="V63:V66" si="67">SUM(T63:U63)</f>
        <v>0</v>
      </c>
      <c r="W63" s="440">
        <v>0</v>
      </c>
      <c r="X63" s="440"/>
      <c r="Y63" s="440">
        <f t="shared" si="62"/>
        <v>0</v>
      </c>
      <c r="AA63" s="440">
        <v>0</v>
      </c>
      <c r="AC63" s="435">
        <f t="shared" ref="AC63:AC69" si="68">SUM(G63,J63,P63,S63,V63,Y63,AA63)</f>
        <v>0</v>
      </c>
      <c r="AD63" s="440"/>
      <c r="AE63" s="440">
        <f t="shared" ref="AE63:AE69" si="69">SUM(AC63:AD63)</f>
        <v>0</v>
      </c>
    </row>
    <row r="64" spans="2:32" s="423" customFormat="1">
      <c r="D64" s="423" t="s">
        <v>547</v>
      </c>
      <c r="E64" s="435">
        <v>1575000</v>
      </c>
      <c r="F64" s="440"/>
      <c r="G64" s="440">
        <f t="shared" si="56"/>
        <v>1575000</v>
      </c>
      <c r="H64" s="435">
        <v>0</v>
      </c>
      <c r="I64" s="440"/>
      <c r="J64" s="440">
        <f t="shared" si="64"/>
        <v>0</v>
      </c>
      <c r="K64" s="435">
        <v>0</v>
      </c>
      <c r="L64" s="440"/>
      <c r="M64" s="440">
        <f t="shared" si="65"/>
        <v>0</v>
      </c>
      <c r="N64" s="435">
        <v>0</v>
      </c>
      <c r="O64" s="440"/>
      <c r="P64" s="440">
        <f t="shared" si="66"/>
        <v>0</v>
      </c>
      <c r="Q64" s="440">
        <v>0</v>
      </c>
      <c r="R64" s="440"/>
      <c r="S64" s="440">
        <f t="shared" si="60"/>
        <v>0</v>
      </c>
      <c r="T64" s="440">
        <v>0</v>
      </c>
      <c r="U64" s="440"/>
      <c r="V64" s="440">
        <f t="shared" si="67"/>
        <v>0</v>
      </c>
      <c r="W64" s="440">
        <v>0</v>
      </c>
      <c r="X64" s="440"/>
      <c r="Y64" s="440">
        <f t="shared" si="62"/>
        <v>0</v>
      </c>
      <c r="Z64" s="438"/>
      <c r="AA64" s="440">
        <v>0</v>
      </c>
      <c r="AB64" s="438"/>
      <c r="AC64" s="435">
        <f t="shared" si="68"/>
        <v>1575000</v>
      </c>
      <c r="AD64" s="440">
        <f>'Elimination 22'!H67</f>
        <v>-1575000</v>
      </c>
      <c r="AE64" s="440">
        <f t="shared" si="69"/>
        <v>0</v>
      </c>
      <c r="AF64" s="438"/>
    </row>
    <row r="65" spans="2:32" s="423" customFormat="1">
      <c r="D65" s="423" t="s">
        <v>548</v>
      </c>
      <c r="E65" s="435">
        <v>0</v>
      </c>
      <c r="F65" s="440"/>
      <c r="G65" s="440">
        <f t="shared" si="56"/>
        <v>0</v>
      </c>
      <c r="H65" s="435">
        <v>85479975</v>
      </c>
      <c r="I65" s="440"/>
      <c r="J65" s="440">
        <f t="shared" si="64"/>
        <v>85479975</v>
      </c>
      <c r="K65" s="435">
        <v>0</v>
      </c>
      <c r="L65" s="440"/>
      <c r="M65" s="440">
        <f t="shared" si="65"/>
        <v>0</v>
      </c>
      <c r="N65" s="435">
        <v>0</v>
      </c>
      <c r="O65" s="440"/>
      <c r="P65" s="440">
        <f t="shared" si="66"/>
        <v>0</v>
      </c>
      <c r="Q65" s="440">
        <v>0</v>
      </c>
      <c r="R65" s="440"/>
      <c r="S65" s="440">
        <f t="shared" si="60"/>
        <v>0</v>
      </c>
      <c r="T65" s="440">
        <v>0</v>
      </c>
      <c r="U65" s="440"/>
      <c r="V65" s="440">
        <f t="shared" si="67"/>
        <v>0</v>
      </c>
      <c r="W65" s="440">
        <v>0</v>
      </c>
      <c r="X65" s="440"/>
      <c r="Y65" s="440">
        <f t="shared" si="62"/>
        <v>0</v>
      </c>
      <c r="Z65" s="438"/>
      <c r="AA65" s="440">
        <v>0</v>
      </c>
      <c r="AB65" s="438"/>
      <c r="AC65" s="435">
        <f t="shared" si="68"/>
        <v>85479975</v>
      </c>
      <c r="AD65" s="440">
        <f>'Elimination 22'!H80</f>
        <v>-85479975</v>
      </c>
      <c r="AE65" s="440">
        <f t="shared" si="69"/>
        <v>0</v>
      </c>
      <c r="AF65" s="438"/>
    </row>
    <row r="66" spans="2:32" s="423" customFormat="1">
      <c r="D66" s="423" t="s">
        <v>549</v>
      </c>
      <c r="E66" s="435">
        <v>0</v>
      </c>
      <c r="F66" s="435"/>
      <c r="G66" s="435">
        <f t="shared" si="56"/>
        <v>0</v>
      </c>
      <c r="H66" s="435">
        <v>0</v>
      </c>
      <c r="I66" s="435"/>
      <c r="J66" s="435">
        <f t="shared" si="64"/>
        <v>0</v>
      </c>
      <c r="K66" s="435">
        <v>0</v>
      </c>
      <c r="L66" s="435"/>
      <c r="M66" s="435">
        <f t="shared" si="65"/>
        <v>0</v>
      </c>
      <c r="N66" s="435">
        <v>0</v>
      </c>
      <c r="O66" s="435"/>
      <c r="P66" s="435">
        <f t="shared" si="66"/>
        <v>0</v>
      </c>
      <c r="Q66" s="435">
        <v>0</v>
      </c>
      <c r="R66" s="435"/>
      <c r="S66" s="435">
        <f t="shared" si="60"/>
        <v>0</v>
      </c>
      <c r="T66" s="440">
        <v>0</v>
      </c>
      <c r="U66" s="435"/>
      <c r="V66" s="435">
        <f t="shared" si="67"/>
        <v>0</v>
      </c>
      <c r="W66" s="440">
        <v>0</v>
      </c>
      <c r="X66" s="435"/>
      <c r="Y66" s="435">
        <f t="shared" si="62"/>
        <v>0</v>
      </c>
      <c r="AA66" s="435">
        <v>0</v>
      </c>
      <c r="AC66" s="435">
        <f t="shared" si="68"/>
        <v>0</v>
      </c>
      <c r="AD66" s="435">
        <f>-AC66</f>
        <v>0</v>
      </c>
      <c r="AE66" s="435">
        <f t="shared" si="69"/>
        <v>0</v>
      </c>
    </row>
    <row r="67" spans="2:32" s="423" customFormat="1">
      <c r="C67" s="438" t="s">
        <v>532</v>
      </c>
      <c r="D67" s="439"/>
      <c r="E67" s="435"/>
      <c r="F67" s="435"/>
      <c r="G67" s="435"/>
      <c r="H67" s="435"/>
      <c r="I67" s="435"/>
      <c r="J67" s="435"/>
      <c r="K67" s="435"/>
      <c r="L67" s="435"/>
      <c r="M67" s="435"/>
      <c r="N67" s="435"/>
      <c r="O67" s="435"/>
      <c r="P67" s="435"/>
      <c r="Q67" s="435"/>
      <c r="R67" s="435"/>
      <c r="S67" s="435"/>
      <c r="T67" s="435"/>
      <c r="U67" s="435"/>
      <c r="V67" s="435"/>
      <c r="W67" s="435"/>
      <c r="X67" s="435"/>
      <c r="Y67" s="435"/>
      <c r="AA67" s="435"/>
      <c r="AC67" s="435"/>
      <c r="AD67" s="435"/>
      <c r="AE67" s="435"/>
    </row>
    <row r="68" spans="2:32" s="423" customFormat="1">
      <c r="D68" s="423" t="s">
        <v>550</v>
      </c>
      <c r="E68" s="435">
        <v>3078151390.125</v>
      </c>
      <c r="F68" s="435"/>
      <c r="G68" s="435">
        <f t="shared" si="56"/>
        <v>3078151390.125</v>
      </c>
      <c r="H68" s="435">
        <v>0</v>
      </c>
      <c r="I68" s="435"/>
      <c r="J68" s="435">
        <f t="shared" ref="J68:J69" si="70">SUM(H68:I68)</f>
        <v>0</v>
      </c>
      <c r="K68" s="435">
        <v>0</v>
      </c>
      <c r="L68" s="435"/>
      <c r="M68" s="435">
        <f t="shared" ref="M68:M69" si="71">SUM(K68:L68)</f>
        <v>0</v>
      </c>
      <c r="N68" s="435">
        <v>0</v>
      </c>
      <c r="O68" s="435"/>
      <c r="P68" s="435">
        <f t="shared" ref="P68:P69" si="72">SUM(N68:O68)</f>
        <v>0</v>
      </c>
      <c r="Q68" s="435">
        <v>0</v>
      </c>
      <c r="R68" s="435"/>
      <c r="S68" s="435">
        <f t="shared" si="60"/>
        <v>0</v>
      </c>
      <c r="T68" s="435">
        <v>0</v>
      </c>
      <c r="U68" s="435"/>
      <c r="V68" s="435">
        <f t="shared" ref="V68:V69" si="73">SUM(T68:U68)</f>
        <v>0</v>
      </c>
      <c r="W68" s="435">
        <v>0</v>
      </c>
      <c r="X68" s="435"/>
      <c r="Y68" s="435">
        <f t="shared" si="62"/>
        <v>0</v>
      </c>
      <c r="AA68" s="435">
        <v>0</v>
      </c>
      <c r="AC68" s="435">
        <f t="shared" si="68"/>
        <v>3078151390.125</v>
      </c>
      <c r="AD68" s="435"/>
      <c r="AE68" s="435">
        <f t="shared" si="69"/>
        <v>3078151390.125</v>
      </c>
    </row>
    <row r="69" spans="2:32" s="423" customFormat="1">
      <c r="D69" s="423" t="s">
        <v>551</v>
      </c>
      <c r="E69" s="435">
        <v>2102644643.9749999</v>
      </c>
      <c r="F69" s="435"/>
      <c r="G69" s="435">
        <f t="shared" si="56"/>
        <v>2102644643.9749999</v>
      </c>
      <c r="H69" s="435">
        <v>0</v>
      </c>
      <c r="I69" s="435"/>
      <c r="J69" s="435">
        <f t="shared" si="70"/>
        <v>0</v>
      </c>
      <c r="K69" s="435">
        <v>0</v>
      </c>
      <c r="L69" s="435"/>
      <c r="M69" s="435">
        <f t="shared" si="71"/>
        <v>0</v>
      </c>
      <c r="N69" s="435">
        <v>0</v>
      </c>
      <c r="O69" s="435"/>
      <c r="P69" s="435">
        <f t="shared" si="72"/>
        <v>0</v>
      </c>
      <c r="Q69" s="435">
        <v>0</v>
      </c>
      <c r="R69" s="435"/>
      <c r="S69" s="435">
        <f t="shared" si="60"/>
        <v>0</v>
      </c>
      <c r="T69" s="435">
        <v>0</v>
      </c>
      <c r="U69" s="435"/>
      <c r="V69" s="435">
        <f t="shared" si="73"/>
        <v>0</v>
      </c>
      <c r="W69" s="435">
        <v>0</v>
      </c>
      <c r="X69" s="435"/>
      <c r="Y69" s="435">
        <f t="shared" si="62"/>
        <v>0</v>
      </c>
      <c r="AA69" s="435">
        <v>0</v>
      </c>
      <c r="AC69" s="435">
        <f t="shared" si="68"/>
        <v>2102644643.9749999</v>
      </c>
      <c r="AD69" s="435"/>
      <c r="AE69" s="435">
        <f t="shared" si="69"/>
        <v>2102644643.9749999</v>
      </c>
    </row>
    <row r="70" spans="2:32" s="423" customFormat="1">
      <c r="E70" s="441"/>
      <c r="F70" s="441"/>
      <c r="G70" s="441"/>
      <c r="H70" s="441">
        <v>0</v>
      </c>
      <c r="I70" s="441"/>
      <c r="J70" s="441"/>
      <c r="K70" s="441">
        <v>0</v>
      </c>
      <c r="L70" s="441"/>
      <c r="M70" s="441"/>
      <c r="N70" s="441">
        <v>0</v>
      </c>
      <c r="O70" s="441"/>
      <c r="P70" s="441"/>
      <c r="Q70" s="441"/>
      <c r="R70" s="441"/>
      <c r="S70" s="441"/>
      <c r="T70" s="441">
        <v>0</v>
      </c>
      <c r="U70" s="441"/>
      <c r="V70" s="441"/>
      <c r="W70" s="441">
        <v>0</v>
      </c>
      <c r="X70" s="441"/>
      <c r="Y70" s="441"/>
      <c r="AA70" s="441"/>
      <c r="AC70" s="441"/>
      <c r="AD70" s="441"/>
      <c r="AE70" s="441"/>
    </row>
    <row r="71" spans="2:32" s="427" customFormat="1" ht="13">
      <c r="C71" s="427" t="s">
        <v>178</v>
      </c>
      <c r="E71" s="442">
        <f>SUM(E60:E69)</f>
        <v>135576483680.61162</v>
      </c>
      <c r="F71" s="442"/>
      <c r="G71" s="442">
        <f>SUM(G60:G69)</f>
        <v>135576483680.61162</v>
      </c>
      <c r="H71" s="442">
        <f>SUM(H60:H69)</f>
        <v>4553935707.8249998</v>
      </c>
      <c r="I71" s="442"/>
      <c r="J71" s="442">
        <f>SUM(J60:J69)</f>
        <v>4553935707.8249998</v>
      </c>
      <c r="K71" s="442">
        <f>SUM(K60:K69)</f>
        <v>0</v>
      </c>
      <c r="L71" s="442"/>
      <c r="M71" s="442">
        <f>SUM(M60:M69)</f>
        <v>0</v>
      </c>
      <c r="N71" s="442">
        <f>SUM(N60:N69)</f>
        <v>0</v>
      </c>
      <c r="O71" s="442"/>
      <c r="P71" s="442">
        <f>SUM(P60:P69)</f>
        <v>0</v>
      </c>
      <c r="Q71" s="442">
        <f>SUM(Q60:Q69)</f>
        <v>14058094952.475</v>
      </c>
      <c r="R71" s="442"/>
      <c r="S71" s="442">
        <f>SUM(S60:S69)</f>
        <v>14058094952.475</v>
      </c>
      <c r="T71" s="442">
        <f>SUM(T60:T69)</f>
        <v>0</v>
      </c>
      <c r="U71" s="442"/>
      <c r="V71" s="442">
        <f>SUM(V60:V69)</f>
        <v>0</v>
      </c>
      <c r="W71" s="442">
        <f>SUM(W60:W69)</f>
        <v>0</v>
      </c>
      <c r="X71" s="442"/>
      <c r="Y71" s="442">
        <f>SUM(Y60:Y69)</f>
        <v>0</v>
      </c>
      <c r="AA71" s="442">
        <f>SUM(AA60:AA69)</f>
        <v>0</v>
      </c>
      <c r="AC71" s="442">
        <f>'Consol SoFP 23 &amp; 22'!BC26</f>
        <v>23794401695</v>
      </c>
      <c r="AD71" s="442">
        <f>SUM('Consol SoFP 23 &amp; 22'!BD26:BE26)</f>
        <v>-18613605660.300003</v>
      </c>
      <c r="AE71" s="442">
        <f>'Consol SoFP 23 &amp; 22'!BF26</f>
        <v>5180796035</v>
      </c>
    </row>
    <row r="72" spans="2:32" s="423" customFormat="1">
      <c r="C72" s="423" t="s">
        <v>433</v>
      </c>
      <c r="E72" s="441"/>
      <c r="F72" s="441"/>
      <c r="G72" s="441"/>
      <c r="H72" s="441"/>
      <c r="I72" s="441"/>
      <c r="J72" s="441"/>
      <c r="K72" s="441"/>
      <c r="L72" s="441"/>
      <c r="M72" s="441"/>
      <c r="N72" s="441"/>
      <c r="O72" s="441"/>
      <c r="P72" s="441"/>
      <c r="Q72" s="441"/>
      <c r="R72" s="441"/>
      <c r="S72" s="441"/>
      <c r="T72" s="441"/>
      <c r="U72" s="441"/>
      <c r="V72" s="441"/>
      <c r="W72" s="441"/>
      <c r="X72" s="441"/>
      <c r="Y72" s="441"/>
      <c r="AA72" s="441">
        <v>0</v>
      </c>
      <c r="AC72" s="441">
        <v>0</v>
      </c>
      <c r="AD72" s="441">
        <v>0</v>
      </c>
      <c r="AE72" s="441">
        <v>0</v>
      </c>
    </row>
    <row r="73" spans="2:32" s="427" customFormat="1" ht="13">
      <c r="C73" s="427" t="s">
        <v>439</v>
      </c>
      <c r="E73" s="444">
        <f>SUM(E71:E72)</f>
        <v>135576483680.61162</v>
      </c>
      <c r="F73" s="444"/>
      <c r="G73" s="444">
        <f>SUM(G71:G72)</f>
        <v>135576483680.61162</v>
      </c>
      <c r="H73" s="444">
        <f>SUM(H71:H72)</f>
        <v>4553935707.8249998</v>
      </c>
      <c r="I73" s="444"/>
      <c r="J73" s="444">
        <f>SUM(J71:J72)</f>
        <v>4553935707.8249998</v>
      </c>
      <c r="K73" s="444">
        <f>SUM(K71:K72)</f>
        <v>0</v>
      </c>
      <c r="L73" s="444"/>
      <c r="M73" s="444">
        <f>SUM(M71:M72)</f>
        <v>0</v>
      </c>
      <c r="N73" s="444">
        <f>SUM(N71:N72)</f>
        <v>0</v>
      </c>
      <c r="O73" s="444"/>
      <c r="P73" s="444">
        <f>SUM(P71:P72)</f>
        <v>0</v>
      </c>
      <c r="Q73" s="444">
        <f>SUM(Q71:Q72)</f>
        <v>14058094952.475</v>
      </c>
      <c r="R73" s="444"/>
      <c r="S73" s="444">
        <f>SUM(S71:S72)</f>
        <v>14058094952.475</v>
      </c>
      <c r="T73" s="444">
        <f>SUM(T71:T72)</f>
        <v>0</v>
      </c>
      <c r="U73" s="444"/>
      <c r="V73" s="444">
        <f>SUM(V71:V72)</f>
        <v>0</v>
      </c>
      <c r="W73" s="444">
        <f>SUM(W71:W72)</f>
        <v>0</v>
      </c>
      <c r="X73" s="444"/>
      <c r="Y73" s="444">
        <f>SUM(Y71:Y72)</f>
        <v>0</v>
      </c>
      <c r="AA73" s="444">
        <f t="shared" ref="AA73" si="74">SUM(AA71:AA72)</f>
        <v>0</v>
      </c>
      <c r="AC73" s="444">
        <f t="shared" ref="AC73:AE73" si="75">SUM(AC71:AC72)</f>
        <v>23794401695</v>
      </c>
      <c r="AD73" s="444">
        <f t="shared" si="75"/>
        <v>-18613605660.300003</v>
      </c>
      <c r="AE73" s="444">
        <f t="shared" si="75"/>
        <v>5180796035</v>
      </c>
    </row>
    <row r="74" spans="2:32" s="427" customFormat="1" ht="13">
      <c r="E74" s="443"/>
      <c r="F74" s="443"/>
      <c r="G74" s="443"/>
      <c r="H74" s="443"/>
      <c r="I74" s="443"/>
      <c r="J74" s="443"/>
      <c r="K74" s="443"/>
      <c r="L74" s="443"/>
      <c r="M74" s="443"/>
      <c r="N74" s="443"/>
      <c r="O74" s="443"/>
      <c r="P74" s="443"/>
      <c r="Q74" s="443"/>
      <c r="R74" s="443"/>
      <c r="S74" s="443"/>
      <c r="T74" s="443"/>
      <c r="U74" s="443"/>
      <c r="V74" s="443"/>
      <c r="W74" s="443"/>
      <c r="X74" s="443"/>
      <c r="Y74" s="443"/>
      <c r="AA74" s="443"/>
      <c r="AC74" s="443"/>
      <c r="AD74" s="443"/>
      <c r="AE74" s="443"/>
    </row>
    <row r="75" spans="2:32" s="417" customFormat="1" ht="13">
      <c r="D75" s="445" t="s">
        <v>435</v>
      </c>
      <c r="E75" s="435">
        <f>'Consol SoFP 23 &amp; 22'!AG43+'Consol SoFP 23 &amp; 22'!AG26</f>
        <v>135576483680.925</v>
      </c>
      <c r="F75" s="435"/>
      <c r="G75" s="435">
        <f>'Consol SoFP 23 &amp; 22'!AJ26+'Consol SoFP 23 &amp; 22'!AJ43</f>
        <v>135576483680.925</v>
      </c>
      <c r="H75" s="435">
        <f>'Consol SoFP 23 &amp; 22'!AK26</f>
        <v>4553935708</v>
      </c>
      <c r="I75" s="435">
        <f>'Consol SoFP 23 &amp; 22'!AL26</f>
        <v>0</v>
      </c>
      <c r="J75" s="435">
        <f>'Consol SoFP 23 &amp; 22'!AM26+'Consol SoFP 23 &amp; 22'!AM43</f>
        <v>4553935708</v>
      </c>
      <c r="K75" s="435">
        <f>'Consol SoFP 23 &amp; 22'!AK26+'Consol SoFP 23 &amp; 22'!AK43</f>
        <v>4553935708</v>
      </c>
      <c r="L75" s="435">
        <f>'Consol SoFP 23 &amp; 22'!AL26+'Consol SoFP 23 &amp; 22'!AL43</f>
        <v>0</v>
      </c>
      <c r="M75" s="435">
        <v>0</v>
      </c>
      <c r="N75" s="435">
        <f>'Consol SoFP 23 &amp; 22'!AN26+'Consol SoFP 23 &amp; 22'!AN43</f>
        <v>0</v>
      </c>
      <c r="O75" s="435">
        <f>'Consol SoFP 23 &amp; 22'!AO26+'Consol SoFP 23 &amp; 22'!AO43</f>
        <v>0</v>
      </c>
      <c r="P75" s="435">
        <f>'Consol SoFP 23 &amp; 22'!AP26+'Consol SoFP 23 &amp; 22'!AP43</f>
        <v>0</v>
      </c>
      <c r="Q75" s="435">
        <f>'Consol SoFP 23 &amp; 22'!AQ26+'Consol SoFP 23 &amp; 22'!AQ43</f>
        <v>14058094952</v>
      </c>
      <c r="R75" s="435">
        <f>'Consol SoFP 23 &amp; 22'!AR26+'Consol SoFP 23 &amp; 22'!AR43</f>
        <v>0</v>
      </c>
      <c r="S75" s="435">
        <f>'Consol SoFP 23 &amp; 22'!AS26+'Consol SoFP 23 &amp; 22'!AS43</f>
        <v>14058094952</v>
      </c>
      <c r="T75" s="435">
        <f>'Consol SoFP 23 &amp; 22'!AT26+'Consol SoFP 23 &amp; 22'!AT43</f>
        <v>0</v>
      </c>
      <c r="U75" s="435">
        <f>'Consol SoFP 23 &amp; 22'!AU26+'Consol SoFP 23 &amp; 22'!AU43</f>
        <v>0</v>
      </c>
      <c r="V75" s="435">
        <f>'Consol SoFP 23 &amp; 22'!AV26+'Consol SoFP 23 &amp; 22'!AV43</f>
        <v>0</v>
      </c>
      <c r="W75" s="435">
        <f>'Consol SoFP 23 &amp; 22'!AW26+'Consol SoFP 23 &amp; 22'!AW43</f>
        <v>0</v>
      </c>
      <c r="X75" s="435">
        <f>'Consol SoFP 23 &amp; 22'!AX26+'Consol SoFP 23 &amp; 22'!AX43</f>
        <v>0</v>
      </c>
      <c r="Y75" s="435">
        <f>'Consol SoFP 23 &amp; 22'!AY26+'Consol SoFP 23 &amp; 22'!AY43</f>
        <v>0</v>
      </c>
      <c r="AA75" s="435">
        <v>0</v>
      </c>
      <c r="AC75" s="435">
        <f>'Consol SoFP 23 &amp; 22'!BC26</f>
        <v>23794401695</v>
      </c>
      <c r="AD75" s="435">
        <f>SUM('Consol SoFP 23 &amp; 22'!BD26:BE26)</f>
        <v>-18613605660.300003</v>
      </c>
      <c r="AE75" s="435">
        <f>'Consol SoFP 23 &amp; 22'!BF26</f>
        <v>5180796035</v>
      </c>
    </row>
    <row r="76" spans="2:32" s="417" customFormat="1" ht="13">
      <c r="D76" s="445" t="s">
        <v>111</v>
      </c>
      <c r="E76" s="442">
        <f>ROUND(E73-E75,0)</f>
        <v>0</v>
      </c>
      <c r="F76" s="442">
        <f t="shared" ref="F76:Y76" si="76">ROUND(F73-F75,0)</f>
        <v>0</v>
      </c>
      <c r="G76" s="442">
        <f t="shared" si="76"/>
        <v>0</v>
      </c>
      <c r="H76" s="442">
        <f t="shared" si="76"/>
        <v>0</v>
      </c>
      <c r="I76" s="442">
        <f t="shared" si="76"/>
        <v>0</v>
      </c>
      <c r="J76" s="442">
        <f t="shared" si="76"/>
        <v>0</v>
      </c>
      <c r="K76" s="442">
        <f t="shared" si="76"/>
        <v>-4553935708</v>
      </c>
      <c r="L76" s="442">
        <f t="shared" si="76"/>
        <v>0</v>
      </c>
      <c r="M76" s="442">
        <f t="shared" si="76"/>
        <v>0</v>
      </c>
      <c r="N76" s="442">
        <f t="shared" si="76"/>
        <v>0</v>
      </c>
      <c r="O76" s="442">
        <f t="shared" si="76"/>
        <v>0</v>
      </c>
      <c r="P76" s="442">
        <f t="shared" si="76"/>
        <v>0</v>
      </c>
      <c r="Q76" s="442">
        <f t="shared" si="76"/>
        <v>0</v>
      </c>
      <c r="R76" s="442">
        <f t="shared" si="76"/>
        <v>0</v>
      </c>
      <c r="S76" s="442">
        <f t="shared" si="76"/>
        <v>0</v>
      </c>
      <c r="T76" s="442">
        <f t="shared" si="76"/>
        <v>0</v>
      </c>
      <c r="U76" s="442">
        <f t="shared" si="76"/>
        <v>0</v>
      </c>
      <c r="V76" s="442">
        <f t="shared" si="76"/>
        <v>0</v>
      </c>
      <c r="W76" s="442">
        <f t="shared" si="76"/>
        <v>0</v>
      </c>
      <c r="X76" s="442">
        <f t="shared" si="76"/>
        <v>0</v>
      </c>
      <c r="Y76" s="442">
        <f t="shared" si="76"/>
        <v>0</v>
      </c>
      <c r="AA76" s="442">
        <f t="shared" ref="AA76" si="77">AA73-AA75</f>
        <v>0</v>
      </c>
      <c r="AC76" s="442">
        <f t="shared" ref="AC76:AE76" si="78">ROUND(AC73-AC75,0)</f>
        <v>0</v>
      </c>
      <c r="AD76" s="442">
        <f t="shared" ref="AD76" si="79">AD73-AD75</f>
        <v>0</v>
      </c>
      <c r="AE76" s="442">
        <f t="shared" si="78"/>
        <v>0</v>
      </c>
    </row>
    <row r="77" spans="2:32" s="449" customFormat="1" ht="13.5" thickBot="1">
      <c r="B77" s="447"/>
      <c r="C77" s="447"/>
      <c r="D77" s="447"/>
      <c r="E77" s="448"/>
      <c r="F77" s="448"/>
      <c r="G77" s="448"/>
      <c r="H77" s="448"/>
      <c r="I77" s="448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48"/>
      <c r="X77" s="448"/>
      <c r="Y77" s="448"/>
      <c r="AA77" s="448"/>
      <c r="AC77" s="448"/>
      <c r="AD77" s="448"/>
      <c r="AE77" s="448"/>
    </row>
    <row r="79" spans="2:32" s="417" customFormat="1" ht="13">
      <c r="B79" s="414" t="s">
        <v>440</v>
      </c>
    </row>
    <row r="80" spans="2:32" s="423" customFormat="1" ht="13">
      <c r="E80" s="428" t="s">
        <v>426</v>
      </c>
      <c r="F80" s="428" t="s">
        <v>334</v>
      </c>
      <c r="G80" s="428" t="s">
        <v>427</v>
      </c>
      <c r="H80" s="428" t="s">
        <v>426</v>
      </c>
      <c r="I80" s="428" t="s">
        <v>334</v>
      </c>
      <c r="J80" s="428" t="s">
        <v>427</v>
      </c>
      <c r="K80" s="428" t="s">
        <v>426</v>
      </c>
      <c r="L80" s="428" t="s">
        <v>334</v>
      </c>
      <c r="M80" s="428" t="s">
        <v>427</v>
      </c>
      <c r="N80" s="428" t="s">
        <v>426</v>
      </c>
      <c r="O80" s="428" t="s">
        <v>334</v>
      </c>
      <c r="P80" s="428" t="s">
        <v>427</v>
      </c>
      <c r="Q80" s="428" t="s">
        <v>426</v>
      </c>
      <c r="R80" s="428" t="s">
        <v>334</v>
      </c>
      <c r="S80" s="428" t="s">
        <v>427</v>
      </c>
      <c r="T80" s="428" t="s">
        <v>426</v>
      </c>
      <c r="U80" s="428" t="s">
        <v>334</v>
      </c>
      <c r="V80" s="428" t="s">
        <v>427</v>
      </c>
      <c r="W80" s="428" t="s">
        <v>426</v>
      </c>
      <c r="X80" s="428" t="s">
        <v>334</v>
      </c>
      <c r="Y80" s="428" t="s">
        <v>427</v>
      </c>
      <c r="AA80" s="428" t="s">
        <v>428</v>
      </c>
      <c r="AC80" s="428" t="s">
        <v>11</v>
      </c>
      <c r="AD80" s="428" t="s">
        <v>429</v>
      </c>
      <c r="AE80" s="428" t="s">
        <v>13</v>
      </c>
    </row>
    <row r="81" spans="3:31" s="423" customFormat="1" ht="13">
      <c r="E81" s="429">
        <v>44926</v>
      </c>
      <c r="F81" s="429"/>
      <c r="G81" s="429">
        <v>44926</v>
      </c>
      <c r="H81" s="429">
        <v>44926</v>
      </c>
      <c r="I81" s="429"/>
      <c r="J81" s="429">
        <v>44926</v>
      </c>
      <c r="K81" s="429">
        <v>44926</v>
      </c>
      <c r="L81" s="429"/>
      <c r="M81" s="429">
        <v>44926</v>
      </c>
      <c r="N81" s="429">
        <v>44926</v>
      </c>
      <c r="O81" s="429"/>
      <c r="P81" s="429">
        <v>44926</v>
      </c>
      <c r="Q81" s="429">
        <v>44926</v>
      </c>
      <c r="R81" s="429"/>
      <c r="S81" s="429">
        <v>44926</v>
      </c>
      <c r="T81" s="429">
        <v>44926</v>
      </c>
      <c r="U81" s="429"/>
      <c r="V81" s="429">
        <v>44926</v>
      </c>
      <c r="W81" s="429">
        <v>44926</v>
      </c>
      <c r="X81" s="429"/>
      <c r="Y81" s="429">
        <v>44926</v>
      </c>
      <c r="AA81" s="429">
        <v>44926</v>
      </c>
      <c r="AC81" s="429">
        <v>44926</v>
      </c>
      <c r="AD81" s="429">
        <v>44926</v>
      </c>
      <c r="AE81" s="429">
        <v>44926</v>
      </c>
    </row>
    <row r="82" spans="3:31" s="417" customFormat="1" ht="13">
      <c r="D82" s="416"/>
      <c r="E82" s="443"/>
      <c r="F82" s="443"/>
      <c r="G82" s="443"/>
      <c r="H82" s="443"/>
      <c r="I82" s="443"/>
      <c r="J82" s="443"/>
      <c r="K82" s="443"/>
      <c r="L82" s="443"/>
      <c r="M82" s="443"/>
      <c r="N82" s="443"/>
      <c r="O82" s="443"/>
      <c r="P82" s="443"/>
      <c r="Q82" s="443"/>
      <c r="R82" s="443"/>
      <c r="S82" s="443"/>
      <c r="T82" s="443"/>
      <c r="U82" s="443"/>
      <c r="V82" s="443"/>
      <c r="W82" s="443"/>
      <c r="X82" s="443"/>
      <c r="Y82" s="443"/>
      <c r="AA82" s="443"/>
      <c r="AC82" s="443"/>
      <c r="AD82" s="443"/>
      <c r="AE82" s="443"/>
    </row>
    <row r="83" spans="3:31" s="423" customFormat="1">
      <c r="C83" s="423" t="s">
        <v>543</v>
      </c>
      <c r="D83" s="434"/>
      <c r="E83" s="435">
        <v>0</v>
      </c>
      <c r="F83" s="435"/>
      <c r="G83" s="435">
        <f t="shared" ref="G83:G89" si="80">SUM(E83:F83)</f>
        <v>0</v>
      </c>
      <c r="H83" s="435">
        <v>0</v>
      </c>
      <c r="I83" s="435"/>
      <c r="J83" s="435">
        <f t="shared" ref="J83" si="81">SUM(H83:I83)</f>
        <v>0</v>
      </c>
      <c r="K83" s="435">
        <v>0</v>
      </c>
      <c r="L83" s="435"/>
      <c r="M83" s="435">
        <f t="shared" ref="M83:M89" si="82">SUM(K83:L83)</f>
        <v>0</v>
      </c>
      <c r="N83" s="435">
        <v>0</v>
      </c>
      <c r="O83" s="435"/>
      <c r="P83" s="435">
        <f t="shared" ref="P83" si="83">SUM(N83:O83)</f>
        <v>0</v>
      </c>
      <c r="Q83" s="435">
        <v>0</v>
      </c>
      <c r="R83" s="435"/>
      <c r="S83" s="435">
        <f t="shared" ref="S83:S89" si="84">SUM(Q83:R83)</f>
        <v>0</v>
      </c>
      <c r="T83" s="435">
        <v>0</v>
      </c>
      <c r="U83" s="435"/>
      <c r="V83" s="435">
        <f t="shared" ref="V83" si="85">SUM(T83:U83)</f>
        <v>0</v>
      </c>
      <c r="W83" s="435">
        <v>0</v>
      </c>
      <c r="X83" s="435"/>
      <c r="Y83" s="435">
        <f t="shared" ref="Y83:Y89" si="86">SUM(W83:X83)</f>
        <v>0</v>
      </c>
      <c r="AA83" s="435">
        <v>0</v>
      </c>
      <c r="AC83" s="435">
        <f>SUM(G83,J83,P83,S83,V83,Y83,AA83)</f>
        <v>0</v>
      </c>
      <c r="AD83" s="435"/>
      <c r="AE83" s="435">
        <f>SUM(AC83:AD83)</f>
        <v>0</v>
      </c>
    </row>
    <row r="84" spans="3:31" s="423" customFormat="1">
      <c r="D84" s="434" t="s">
        <v>544</v>
      </c>
      <c r="E84" s="435">
        <v>1798008334.2783434</v>
      </c>
      <c r="F84" s="435"/>
      <c r="G84" s="435">
        <f>SUM(E84:F84)</f>
        <v>1798008334.2783434</v>
      </c>
      <c r="H84" s="435">
        <v>0</v>
      </c>
      <c r="I84" s="435"/>
      <c r="J84" s="435">
        <f>SUM(H84:I84)</f>
        <v>0</v>
      </c>
      <c r="K84" s="435">
        <v>0</v>
      </c>
      <c r="L84" s="435"/>
      <c r="M84" s="435">
        <f>SUM(K84:L84)</f>
        <v>0</v>
      </c>
      <c r="N84" s="435">
        <v>0</v>
      </c>
      <c r="O84" s="435"/>
      <c r="P84" s="435">
        <f>SUM(N84:O84)</f>
        <v>0</v>
      </c>
      <c r="Q84" s="435">
        <v>0</v>
      </c>
      <c r="R84" s="435"/>
      <c r="S84" s="435">
        <f>SUM(Q84:R84)</f>
        <v>0</v>
      </c>
      <c r="T84" s="435">
        <v>0</v>
      </c>
      <c r="U84" s="435"/>
      <c r="V84" s="435">
        <f>SUM(T84:U84)</f>
        <v>0</v>
      </c>
      <c r="W84" s="435">
        <v>0</v>
      </c>
      <c r="X84" s="435"/>
      <c r="Y84" s="435">
        <f>SUM(W84:X84)</f>
        <v>0</v>
      </c>
      <c r="AA84" s="435">
        <v>0</v>
      </c>
      <c r="AC84" s="435">
        <f>SUM(G84,J84,P84,S84,V84,Y84,AA84)</f>
        <v>1798008334.2783434</v>
      </c>
      <c r="AD84" s="435">
        <f>'Elimination 22'!H75</f>
        <v>-1798008334.2783434</v>
      </c>
      <c r="AE84" s="435">
        <f>SUM(AC84:AD84)</f>
        <v>0</v>
      </c>
    </row>
    <row r="85" spans="3:31" s="423" customFormat="1">
      <c r="D85" s="423" t="s">
        <v>545</v>
      </c>
      <c r="E85" s="435">
        <v>0</v>
      </c>
      <c r="F85" s="435"/>
      <c r="G85" s="435">
        <f>SUM(E85:F85)</f>
        <v>0</v>
      </c>
      <c r="H85" s="435">
        <v>0</v>
      </c>
      <c r="I85" s="435"/>
      <c r="J85" s="435">
        <f>SUM(H85:I85)</f>
        <v>0</v>
      </c>
      <c r="K85" s="435">
        <v>0</v>
      </c>
      <c r="L85" s="435"/>
      <c r="M85" s="435">
        <f>SUM(K85:L85)</f>
        <v>0</v>
      </c>
      <c r="N85" s="435">
        <v>0</v>
      </c>
      <c r="O85" s="435"/>
      <c r="P85" s="435">
        <f>SUM(N85:O85)</f>
        <v>0</v>
      </c>
      <c r="Q85" s="435">
        <v>0</v>
      </c>
      <c r="R85" s="435"/>
      <c r="S85" s="435">
        <f>SUM(Q85:R85)</f>
        <v>0</v>
      </c>
      <c r="T85" s="435">
        <v>0</v>
      </c>
      <c r="U85" s="435"/>
      <c r="V85" s="435">
        <f>SUM(T85:U85)</f>
        <v>0</v>
      </c>
      <c r="W85" s="435">
        <v>0</v>
      </c>
      <c r="X85" s="435"/>
      <c r="Y85" s="435">
        <f>SUM(W85:X85)</f>
        <v>0</v>
      </c>
      <c r="AA85" s="435">
        <v>0</v>
      </c>
      <c r="AC85" s="435">
        <f>SUM(G85,J85,P85,S85,V85,Y85,AA85)</f>
        <v>0</v>
      </c>
      <c r="AD85" s="435"/>
      <c r="AE85" s="435">
        <f>SUM(AC85:AD85)</f>
        <v>0</v>
      </c>
    </row>
    <row r="86" spans="3:31" s="423" customFormat="1">
      <c r="D86" s="423" t="s">
        <v>546</v>
      </c>
      <c r="E86" s="435">
        <v>16469976444.866993</v>
      </c>
      <c r="F86" s="435"/>
      <c r="G86" s="435">
        <f t="shared" si="80"/>
        <v>16469976444.866993</v>
      </c>
      <c r="H86" s="435">
        <v>0</v>
      </c>
      <c r="I86" s="435"/>
      <c r="J86" s="435">
        <f t="shared" ref="J86:J89" si="87">SUM(H86:I86)</f>
        <v>0</v>
      </c>
      <c r="K86" s="435">
        <v>0</v>
      </c>
      <c r="L86" s="435"/>
      <c r="M86" s="435">
        <f t="shared" si="82"/>
        <v>0</v>
      </c>
      <c r="N86" s="435">
        <v>0</v>
      </c>
      <c r="O86" s="435"/>
      <c r="P86" s="435">
        <f t="shared" ref="P86:P89" si="88">SUM(N86:O86)</f>
        <v>0</v>
      </c>
      <c r="Q86" s="435">
        <v>0</v>
      </c>
      <c r="R86" s="435"/>
      <c r="S86" s="435">
        <f t="shared" si="84"/>
        <v>0</v>
      </c>
      <c r="T86" s="435">
        <v>0</v>
      </c>
      <c r="U86" s="435"/>
      <c r="V86" s="435">
        <f t="shared" ref="V86:V89" si="89">SUM(T86:U86)</f>
        <v>0</v>
      </c>
      <c r="W86" s="435">
        <v>0</v>
      </c>
      <c r="X86" s="435"/>
      <c r="Y86" s="435">
        <f t="shared" si="86"/>
        <v>0</v>
      </c>
      <c r="AA86" s="435">
        <v>0</v>
      </c>
      <c r="AC86" s="435">
        <f t="shared" ref="AC86:AC89" si="90">SUM(G86,J86,P86,S86,V86,Y86,AA86)</f>
        <v>16469976444.866993</v>
      </c>
      <c r="AD86" s="435">
        <f>'Elimination 22'!H66</f>
        <v>-16469976444.866993</v>
      </c>
      <c r="AE86" s="435">
        <f t="shared" ref="AE86:AE89" si="91">SUM(AC86:AD86)</f>
        <v>0</v>
      </c>
    </row>
    <row r="87" spans="3:31" s="423" customFormat="1">
      <c r="D87" s="423" t="s">
        <v>547</v>
      </c>
      <c r="E87" s="435">
        <v>0</v>
      </c>
      <c r="F87" s="435"/>
      <c r="G87" s="435">
        <f t="shared" si="80"/>
        <v>0</v>
      </c>
      <c r="H87" s="435">
        <v>0</v>
      </c>
      <c r="I87" s="435"/>
      <c r="J87" s="435">
        <f t="shared" si="87"/>
        <v>0</v>
      </c>
      <c r="K87" s="435">
        <v>0</v>
      </c>
      <c r="L87" s="435"/>
      <c r="M87" s="435">
        <f t="shared" si="82"/>
        <v>0</v>
      </c>
      <c r="N87" s="435">
        <v>0</v>
      </c>
      <c r="O87" s="435"/>
      <c r="P87" s="435">
        <f t="shared" si="88"/>
        <v>0</v>
      </c>
      <c r="Q87" s="435">
        <v>0</v>
      </c>
      <c r="R87" s="435"/>
      <c r="S87" s="435">
        <f t="shared" si="84"/>
        <v>0</v>
      </c>
      <c r="T87" s="435">
        <v>0</v>
      </c>
      <c r="U87" s="435"/>
      <c r="V87" s="435">
        <f t="shared" si="89"/>
        <v>0</v>
      </c>
      <c r="W87" s="435">
        <v>0</v>
      </c>
      <c r="X87" s="435"/>
      <c r="Y87" s="435">
        <f t="shared" si="86"/>
        <v>0</v>
      </c>
      <c r="AA87" s="435">
        <v>0</v>
      </c>
      <c r="AC87" s="435">
        <f t="shared" si="90"/>
        <v>0</v>
      </c>
      <c r="AD87" s="435"/>
      <c r="AE87" s="435">
        <f t="shared" si="91"/>
        <v>0</v>
      </c>
    </row>
    <row r="88" spans="3:31" s="423" customFormat="1">
      <c r="D88" s="423" t="s">
        <v>548</v>
      </c>
      <c r="E88" s="435">
        <v>0</v>
      </c>
      <c r="F88" s="435"/>
      <c r="G88" s="435">
        <f t="shared" si="80"/>
        <v>0</v>
      </c>
      <c r="H88" s="435">
        <v>0</v>
      </c>
      <c r="I88" s="435"/>
      <c r="J88" s="435">
        <f t="shared" si="87"/>
        <v>0</v>
      </c>
      <c r="K88" s="435">
        <v>0</v>
      </c>
      <c r="L88" s="435"/>
      <c r="M88" s="435">
        <f t="shared" si="82"/>
        <v>0</v>
      </c>
      <c r="N88" s="435">
        <v>0</v>
      </c>
      <c r="O88" s="435"/>
      <c r="P88" s="435">
        <f t="shared" si="88"/>
        <v>0</v>
      </c>
      <c r="Q88" s="435">
        <v>0</v>
      </c>
      <c r="R88" s="435"/>
      <c r="S88" s="435">
        <f t="shared" si="84"/>
        <v>0</v>
      </c>
      <c r="T88" s="435">
        <v>0</v>
      </c>
      <c r="U88" s="435"/>
      <c r="V88" s="435">
        <f t="shared" si="89"/>
        <v>0</v>
      </c>
      <c r="W88" s="435">
        <v>0</v>
      </c>
      <c r="X88" s="435"/>
      <c r="Y88" s="435">
        <f t="shared" si="86"/>
        <v>0</v>
      </c>
      <c r="AA88" s="435">
        <v>0</v>
      </c>
      <c r="AC88" s="435">
        <f t="shared" si="90"/>
        <v>0</v>
      </c>
      <c r="AD88" s="435"/>
      <c r="AE88" s="435">
        <f t="shared" si="91"/>
        <v>0</v>
      </c>
    </row>
    <row r="89" spans="3:31" s="423" customFormat="1">
      <c r="D89" s="423" t="s">
        <v>549</v>
      </c>
      <c r="E89" s="435">
        <v>0</v>
      </c>
      <c r="F89" s="435"/>
      <c r="G89" s="435">
        <f t="shared" si="80"/>
        <v>0</v>
      </c>
      <c r="H89" s="435">
        <v>0</v>
      </c>
      <c r="I89" s="435"/>
      <c r="J89" s="435">
        <f t="shared" si="87"/>
        <v>0</v>
      </c>
      <c r="K89" s="435">
        <v>0</v>
      </c>
      <c r="L89" s="435"/>
      <c r="M89" s="435">
        <f t="shared" si="82"/>
        <v>0</v>
      </c>
      <c r="N89" s="435">
        <v>0</v>
      </c>
      <c r="O89" s="435"/>
      <c r="P89" s="435">
        <f t="shared" si="88"/>
        <v>0</v>
      </c>
      <c r="Q89" s="435">
        <v>0</v>
      </c>
      <c r="R89" s="435"/>
      <c r="S89" s="435">
        <f t="shared" si="84"/>
        <v>0</v>
      </c>
      <c r="T89" s="435">
        <v>0</v>
      </c>
      <c r="U89" s="435"/>
      <c r="V89" s="435">
        <f t="shared" si="89"/>
        <v>0</v>
      </c>
      <c r="W89" s="435">
        <v>0</v>
      </c>
      <c r="X89" s="435"/>
      <c r="Y89" s="435">
        <f t="shared" si="86"/>
        <v>0</v>
      </c>
      <c r="AA89" s="435">
        <v>0</v>
      </c>
      <c r="AC89" s="435">
        <f t="shared" si="90"/>
        <v>0</v>
      </c>
      <c r="AD89" s="435"/>
      <c r="AE89" s="435">
        <f t="shared" si="91"/>
        <v>0</v>
      </c>
    </row>
    <row r="90" spans="3:31" s="423" customFormat="1">
      <c r="D90" s="434"/>
      <c r="E90" s="435"/>
      <c r="F90" s="435"/>
      <c r="G90" s="435"/>
      <c r="H90" s="435">
        <v>0</v>
      </c>
      <c r="I90" s="435"/>
      <c r="J90" s="435"/>
      <c r="K90" s="435">
        <v>0</v>
      </c>
      <c r="L90" s="435"/>
      <c r="M90" s="435"/>
      <c r="N90" s="435">
        <v>0</v>
      </c>
      <c r="O90" s="435"/>
      <c r="P90" s="435"/>
      <c r="Q90" s="435">
        <v>0</v>
      </c>
      <c r="R90" s="435"/>
      <c r="S90" s="435"/>
      <c r="T90" s="435">
        <v>0</v>
      </c>
      <c r="U90" s="435"/>
      <c r="V90" s="435"/>
      <c r="W90" s="435">
        <v>0</v>
      </c>
      <c r="X90" s="435"/>
      <c r="Y90" s="435"/>
      <c r="AA90" s="435"/>
      <c r="AC90" s="435"/>
      <c r="AD90" s="435"/>
      <c r="AE90" s="435"/>
    </row>
    <row r="91" spans="3:31" s="423" customFormat="1">
      <c r="C91" s="438" t="s">
        <v>441</v>
      </c>
      <c r="D91" s="455"/>
      <c r="E91" s="435"/>
      <c r="F91" s="435"/>
      <c r="G91" s="435"/>
      <c r="H91" s="435"/>
      <c r="I91" s="435"/>
      <c r="J91" s="435"/>
      <c r="K91" s="435"/>
      <c r="L91" s="435"/>
      <c r="M91" s="435"/>
      <c r="N91" s="435"/>
      <c r="O91" s="435"/>
      <c r="P91" s="435"/>
      <c r="Q91" s="435"/>
      <c r="R91" s="435"/>
      <c r="S91" s="435"/>
      <c r="T91" s="435"/>
      <c r="U91" s="435"/>
      <c r="V91" s="435"/>
      <c r="W91" s="435"/>
      <c r="X91" s="435"/>
      <c r="Y91" s="435"/>
      <c r="AA91" s="435"/>
      <c r="AC91" s="435"/>
      <c r="AD91" s="435"/>
      <c r="AE91" s="435"/>
    </row>
    <row r="92" spans="3:31" s="423" customFormat="1">
      <c r="D92" s="434" t="s">
        <v>553</v>
      </c>
      <c r="E92" s="435">
        <v>0</v>
      </c>
      <c r="F92" s="435"/>
      <c r="G92" s="435">
        <f t="shared" ref="G92" si="92">SUM(E92:F92)</f>
        <v>0</v>
      </c>
      <c r="H92" s="435"/>
      <c r="I92" s="435"/>
      <c r="J92" s="435"/>
      <c r="K92" s="435"/>
      <c r="L92" s="435"/>
      <c r="M92" s="435"/>
      <c r="N92" s="435"/>
      <c r="O92" s="435"/>
      <c r="P92" s="435"/>
      <c r="Q92" s="435">
        <v>0</v>
      </c>
      <c r="R92" s="435"/>
      <c r="S92" s="435"/>
      <c r="T92" s="435"/>
      <c r="U92" s="435"/>
      <c r="V92" s="435"/>
      <c r="W92" s="435"/>
      <c r="X92" s="435"/>
      <c r="Y92" s="435"/>
      <c r="AA92" s="435"/>
      <c r="AC92" s="435">
        <f>SUM(G92,S92,Y92)</f>
        <v>0</v>
      </c>
      <c r="AD92" s="435"/>
      <c r="AE92" s="435">
        <f t="shared" ref="AE92" si="93">SUM(AC92:AD92)</f>
        <v>0</v>
      </c>
    </row>
    <row r="93" spans="3:31" s="423" customFormat="1">
      <c r="E93" s="441"/>
      <c r="F93" s="441"/>
      <c r="G93" s="441"/>
      <c r="H93" s="441"/>
      <c r="I93" s="441"/>
      <c r="J93" s="441"/>
      <c r="K93" s="441"/>
      <c r="L93" s="441"/>
      <c r="M93" s="441"/>
      <c r="N93" s="441"/>
      <c r="O93" s="441"/>
      <c r="P93" s="441"/>
      <c r="Q93" s="441"/>
      <c r="R93" s="441"/>
      <c r="S93" s="441"/>
      <c r="T93" s="441"/>
      <c r="U93" s="441"/>
      <c r="V93" s="441"/>
      <c r="W93" s="441"/>
      <c r="X93" s="441"/>
      <c r="Y93" s="441"/>
      <c r="AA93" s="441"/>
      <c r="AC93" s="441"/>
      <c r="AD93" s="441"/>
      <c r="AE93" s="441"/>
    </row>
    <row r="94" spans="3:31" s="427" customFormat="1" ht="13">
      <c r="C94" s="427" t="s">
        <v>178</v>
      </c>
      <c r="E94" s="442">
        <f t="shared" ref="E94:Y94" si="94">SUM(E83:E92)</f>
        <v>18267984779.145336</v>
      </c>
      <c r="F94" s="442">
        <f t="shared" si="94"/>
        <v>0</v>
      </c>
      <c r="G94" s="442">
        <f t="shared" si="94"/>
        <v>18267984779.145336</v>
      </c>
      <c r="H94" s="442">
        <f t="shared" si="94"/>
        <v>0</v>
      </c>
      <c r="I94" s="442">
        <f t="shared" si="94"/>
        <v>0</v>
      </c>
      <c r="J94" s="442">
        <f t="shared" si="94"/>
        <v>0</v>
      </c>
      <c r="K94" s="442">
        <f t="shared" si="94"/>
        <v>0</v>
      </c>
      <c r="L94" s="442">
        <f t="shared" si="94"/>
        <v>0</v>
      </c>
      <c r="M94" s="442">
        <f t="shared" si="94"/>
        <v>0</v>
      </c>
      <c r="N94" s="442">
        <f t="shared" si="94"/>
        <v>0</v>
      </c>
      <c r="O94" s="442">
        <f t="shared" si="94"/>
        <v>0</v>
      </c>
      <c r="P94" s="442">
        <f t="shared" si="94"/>
        <v>0</v>
      </c>
      <c r="Q94" s="442">
        <f t="shared" si="94"/>
        <v>0</v>
      </c>
      <c r="R94" s="442">
        <f t="shared" si="94"/>
        <v>0</v>
      </c>
      <c r="S94" s="442">
        <f t="shared" si="94"/>
        <v>0</v>
      </c>
      <c r="T94" s="442">
        <f t="shared" si="94"/>
        <v>0</v>
      </c>
      <c r="U94" s="442">
        <f t="shared" si="94"/>
        <v>0</v>
      </c>
      <c r="V94" s="442">
        <f t="shared" si="94"/>
        <v>0</v>
      </c>
      <c r="W94" s="442">
        <f t="shared" si="94"/>
        <v>0</v>
      </c>
      <c r="X94" s="442">
        <f t="shared" si="94"/>
        <v>0</v>
      </c>
      <c r="Y94" s="442">
        <f t="shared" si="94"/>
        <v>0</v>
      </c>
      <c r="AA94" s="442">
        <f>SUM(AA83:AA89)</f>
        <v>0</v>
      </c>
      <c r="AC94" s="442">
        <f>SUM(AC83:AC92)</f>
        <v>18267984779.145336</v>
      </c>
      <c r="AD94" s="442">
        <f>SUM(AD83:AD89)</f>
        <v>-18267984779.145336</v>
      </c>
      <c r="AE94" s="442">
        <f>SUM(AE83:AE92)</f>
        <v>0</v>
      </c>
    </row>
    <row r="95" spans="3:31" s="423" customFormat="1">
      <c r="C95" s="423" t="s">
        <v>433</v>
      </c>
      <c r="E95" s="441"/>
      <c r="F95" s="441"/>
      <c r="G95" s="441"/>
      <c r="H95" s="441"/>
      <c r="I95" s="441"/>
      <c r="J95" s="441"/>
      <c r="K95" s="441"/>
      <c r="L95" s="441"/>
      <c r="M95" s="441"/>
      <c r="N95" s="441"/>
      <c r="O95" s="441"/>
      <c r="P95" s="441"/>
      <c r="Q95" s="441"/>
      <c r="R95" s="441"/>
      <c r="S95" s="441"/>
      <c r="T95" s="441"/>
      <c r="U95" s="441"/>
      <c r="V95" s="441"/>
      <c r="W95" s="441"/>
      <c r="X95" s="441"/>
      <c r="Y95" s="441"/>
      <c r="AA95" s="441">
        <v>0</v>
      </c>
      <c r="AC95" s="441">
        <v>0</v>
      </c>
      <c r="AD95" s="441">
        <v>0</v>
      </c>
      <c r="AE95" s="441">
        <v>0</v>
      </c>
    </row>
    <row r="96" spans="3:31" s="427" customFormat="1" ht="13">
      <c r="C96" s="427" t="s">
        <v>439</v>
      </c>
      <c r="E96" s="444">
        <f>SUM(E94:E95)</f>
        <v>18267984779.145336</v>
      </c>
      <c r="F96" s="444"/>
      <c r="G96" s="444">
        <f>SUM(G94:G95)</f>
        <v>18267984779.145336</v>
      </c>
      <c r="H96" s="444">
        <f>SUM(H94:H95)</f>
        <v>0</v>
      </c>
      <c r="I96" s="444"/>
      <c r="J96" s="444">
        <f>SUM(J94:J95)</f>
        <v>0</v>
      </c>
      <c r="K96" s="444">
        <f>SUM(K94:K95)</f>
        <v>0</v>
      </c>
      <c r="L96" s="444"/>
      <c r="M96" s="444">
        <f>SUM(M94:M95)</f>
        <v>0</v>
      </c>
      <c r="N96" s="444">
        <f>SUM(N94:N95)</f>
        <v>0</v>
      </c>
      <c r="O96" s="444"/>
      <c r="P96" s="444">
        <f>SUM(P94:P95)</f>
        <v>0</v>
      </c>
      <c r="Q96" s="444">
        <f>SUM(Q94:Q95)</f>
        <v>0</v>
      </c>
      <c r="R96" s="444"/>
      <c r="S96" s="444">
        <f>SUM(S94:S95)</f>
        <v>0</v>
      </c>
      <c r="T96" s="444">
        <f>SUM(T94:T95)</f>
        <v>0</v>
      </c>
      <c r="U96" s="444"/>
      <c r="V96" s="444">
        <f>SUM(V94:V95)</f>
        <v>0</v>
      </c>
      <c r="W96" s="444">
        <f>SUM(W94:W95)</f>
        <v>0</v>
      </c>
      <c r="X96" s="444"/>
      <c r="Y96" s="444">
        <f>SUM(Y94:Y95)</f>
        <v>0</v>
      </c>
      <c r="AA96" s="444">
        <f t="shared" ref="AA96" si="95">SUM(AA94:AA95)</f>
        <v>0</v>
      </c>
      <c r="AC96" s="444">
        <f t="shared" ref="AC96:AE96" si="96">SUM(AC94:AC95)</f>
        <v>18267984779.145336</v>
      </c>
      <c r="AD96" s="444">
        <f t="shared" si="96"/>
        <v>-18267984779.145336</v>
      </c>
      <c r="AE96" s="444">
        <f t="shared" si="96"/>
        <v>0</v>
      </c>
    </row>
    <row r="97" spans="2:31" s="427" customFormat="1" ht="13">
      <c r="E97" s="443"/>
      <c r="F97" s="443"/>
      <c r="G97" s="443"/>
      <c r="H97" s="443"/>
      <c r="I97" s="443"/>
      <c r="J97" s="443"/>
      <c r="K97" s="443"/>
      <c r="L97" s="443"/>
      <c r="M97" s="443"/>
      <c r="N97" s="443"/>
      <c r="O97" s="443"/>
      <c r="P97" s="443"/>
      <c r="Q97" s="443"/>
      <c r="R97" s="443"/>
      <c r="S97" s="443"/>
      <c r="T97" s="443"/>
      <c r="U97" s="443"/>
      <c r="V97" s="443"/>
      <c r="W97" s="443"/>
      <c r="X97" s="443"/>
      <c r="Y97" s="443"/>
      <c r="AA97" s="443"/>
      <c r="AC97" s="443"/>
      <c r="AD97" s="443"/>
      <c r="AE97" s="443"/>
    </row>
    <row r="98" spans="2:31" s="417" customFormat="1" ht="13">
      <c r="D98" s="445" t="s">
        <v>435</v>
      </c>
      <c r="E98" s="435">
        <f>'Consol SoFP 23 &amp; 22'!AG29</f>
        <v>18267984779</v>
      </c>
      <c r="F98" s="435"/>
      <c r="G98" s="435">
        <f>'Consol SoFP 23 &amp; 22'!AJ29</f>
        <v>18267984779</v>
      </c>
      <c r="H98" s="435">
        <f>'Consol SoFP 23 &amp; 22'!AK29</f>
        <v>0</v>
      </c>
      <c r="I98" s="435">
        <f>'Consol SoFP 23 &amp; 22'!AL29</f>
        <v>0</v>
      </c>
      <c r="J98" s="435">
        <f>'Consol SoFP 23 &amp; 22'!AM29</f>
        <v>0</v>
      </c>
      <c r="K98" s="435">
        <f>'Consol SoFP 23 &amp; 22'!AK29</f>
        <v>0</v>
      </c>
      <c r="L98" s="435">
        <f>'Consol SoFP 23 &amp; 22'!AL29</f>
        <v>0</v>
      </c>
      <c r="M98" s="435">
        <f>'Consol SoFP 23 &amp; 22'!AM29</f>
        <v>0</v>
      </c>
      <c r="N98" s="435">
        <f>'Consol SoFP 23 &amp; 22'!AN29</f>
        <v>0</v>
      </c>
      <c r="O98" s="435">
        <f>'Consol SoFP 23 &amp; 22'!AO29</f>
        <v>0</v>
      </c>
      <c r="P98" s="435">
        <f>'Consol SoFP 23 &amp; 22'!AP29</f>
        <v>0</v>
      </c>
      <c r="Q98" s="435">
        <f>'Consol SoFP 23 &amp; 22'!AQ29</f>
        <v>0</v>
      </c>
      <c r="R98" s="435">
        <f>'Consol SoFP 23 &amp; 22'!AR29</f>
        <v>0</v>
      </c>
      <c r="S98" s="435">
        <f>'Consol SoFP 23 &amp; 22'!AS29</f>
        <v>0</v>
      </c>
      <c r="T98" s="435">
        <f>'Consol SoFP 23 &amp; 22'!AT29</f>
        <v>0</v>
      </c>
      <c r="U98" s="435">
        <f>'Consol SoFP 23 &amp; 22'!AU29</f>
        <v>0</v>
      </c>
      <c r="V98" s="435">
        <f>'Consol SoFP 23 &amp; 22'!AV29</f>
        <v>0</v>
      </c>
      <c r="W98" s="435">
        <f>'Consol SoFP 23 &amp; 22'!AW29</f>
        <v>0</v>
      </c>
      <c r="X98" s="435">
        <f>'Consol SoFP 23 &amp; 22'!AX29</f>
        <v>0</v>
      </c>
      <c r="Y98" s="435">
        <f>'Consol SoFP 23 &amp; 22'!AY29</f>
        <v>0</v>
      </c>
      <c r="AA98" s="435">
        <v>0</v>
      </c>
      <c r="AC98" s="435">
        <f>'Consol SoFP 23 &amp; 22'!BC29</f>
        <v>18267984779</v>
      </c>
      <c r="AD98" s="435">
        <f>SUM('Consol SoFP 23 &amp; 22'!BD29:BE29)</f>
        <v>-18267984779.145336</v>
      </c>
      <c r="AE98" s="435">
        <f>'Consol SoFP 23 &amp; 22'!BF29</f>
        <v>0</v>
      </c>
    </row>
    <row r="99" spans="2:31" s="417" customFormat="1" ht="13">
      <c r="D99" s="445" t="s">
        <v>111</v>
      </c>
      <c r="E99" s="442">
        <f>E96-E98</f>
        <v>0.14533615112304688</v>
      </c>
      <c r="F99" s="442"/>
      <c r="G99" s="442">
        <f>G96-G98</f>
        <v>0.14533615112304688</v>
      </c>
      <c r="H99" s="442">
        <f>H96-H98</f>
        <v>0</v>
      </c>
      <c r="I99" s="442"/>
      <c r="J99" s="442">
        <f>J96-J98</f>
        <v>0</v>
      </c>
      <c r="K99" s="442">
        <f>K96-K98</f>
        <v>0</v>
      </c>
      <c r="L99" s="442"/>
      <c r="M99" s="442">
        <f>M96-M98</f>
        <v>0</v>
      </c>
      <c r="N99" s="442">
        <f>N96-N98</f>
        <v>0</v>
      </c>
      <c r="O99" s="442"/>
      <c r="P99" s="442">
        <f>P96-P98</f>
        <v>0</v>
      </c>
      <c r="Q99" s="442">
        <f>Q96-Q98</f>
        <v>0</v>
      </c>
      <c r="R99" s="442"/>
      <c r="S99" s="442">
        <f>S96-S98</f>
        <v>0</v>
      </c>
      <c r="T99" s="442">
        <f>T96-T98</f>
        <v>0</v>
      </c>
      <c r="U99" s="442"/>
      <c r="V99" s="442">
        <f>V96-V98</f>
        <v>0</v>
      </c>
      <c r="W99" s="442">
        <f>W96-W98</f>
        <v>0</v>
      </c>
      <c r="X99" s="442"/>
      <c r="Y99" s="442">
        <f>Y96-Y98</f>
        <v>0</v>
      </c>
      <c r="AA99" s="442">
        <f t="shared" ref="AA99" si="97">AA96-AA98</f>
        <v>0</v>
      </c>
      <c r="AC99" s="442">
        <f t="shared" ref="AC99:AE99" si="98">AC96-AC98</f>
        <v>0.14533615112304688</v>
      </c>
      <c r="AD99" s="442">
        <f t="shared" si="98"/>
        <v>0</v>
      </c>
      <c r="AE99" s="442">
        <f t="shared" si="98"/>
        <v>0</v>
      </c>
    </row>
    <row r="100" spans="2:31" s="449" customFormat="1" ht="13.5" thickBot="1">
      <c r="B100" s="447"/>
      <c r="C100" s="447"/>
      <c r="D100" s="447"/>
      <c r="E100" s="448"/>
      <c r="F100" s="448"/>
      <c r="G100" s="448"/>
      <c r="H100" s="448"/>
      <c r="I100" s="448"/>
      <c r="J100" s="448"/>
      <c r="K100" s="448"/>
      <c r="L100" s="448"/>
      <c r="M100" s="448"/>
      <c r="N100" s="448"/>
      <c r="O100" s="448"/>
      <c r="P100" s="448"/>
      <c r="Q100" s="448"/>
      <c r="R100" s="448"/>
      <c r="S100" s="448"/>
      <c r="T100" s="448"/>
      <c r="U100" s="448"/>
      <c r="V100" s="448"/>
      <c r="W100" s="448"/>
      <c r="X100" s="448"/>
      <c r="Y100" s="448"/>
      <c r="AA100" s="448"/>
      <c r="AC100" s="448"/>
      <c r="AD100" s="448"/>
      <c r="AE100" s="448"/>
    </row>
    <row r="101" spans="2:31" s="417" customFormat="1" ht="13">
      <c r="B101" s="414" t="s">
        <v>444</v>
      </c>
    </row>
    <row r="102" spans="2:31" s="423" customFormat="1" ht="13">
      <c r="E102" s="428" t="s">
        <v>426</v>
      </c>
      <c r="F102" s="428" t="s">
        <v>334</v>
      </c>
      <c r="G102" s="428" t="s">
        <v>427</v>
      </c>
      <c r="H102" s="428" t="s">
        <v>426</v>
      </c>
      <c r="I102" s="428" t="s">
        <v>334</v>
      </c>
      <c r="J102" s="428" t="s">
        <v>427</v>
      </c>
      <c r="K102" s="428" t="s">
        <v>426</v>
      </c>
      <c r="L102" s="428" t="s">
        <v>334</v>
      </c>
      <c r="M102" s="428" t="s">
        <v>427</v>
      </c>
      <c r="N102" s="428" t="s">
        <v>426</v>
      </c>
      <c r="O102" s="428" t="s">
        <v>334</v>
      </c>
      <c r="P102" s="428" t="s">
        <v>427</v>
      </c>
      <c r="Q102" s="428" t="s">
        <v>426</v>
      </c>
      <c r="R102" s="428" t="s">
        <v>334</v>
      </c>
      <c r="S102" s="428" t="s">
        <v>427</v>
      </c>
      <c r="T102" s="428" t="s">
        <v>426</v>
      </c>
      <c r="U102" s="428" t="s">
        <v>334</v>
      </c>
      <c r="V102" s="428" t="s">
        <v>427</v>
      </c>
      <c r="W102" s="428" t="s">
        <v>426</v>
      </c>
      <c r="X102" s="428" t="s">
        <v>334</v>
      </c>
      <c r="Y102" s="428" t="s">
        <v>427</v>
      </c>
      <c r="AA102" s="428" t="s">
        <v>428</v>
      </c>
      <c r="AC102" s="428" t="s">
        <v>11</v>
      </c>
      <c r="AD102" s="428" t="s">
        <v>429</v>
      </c>
      <c r="AE102" s="428" t="s">
        <v>13</v>
      </c>
    </row>
    <row r="103" spans="2:31" s="423" customFormat="1" ht="13">
      <c r="E103" s="429">
        <v>44926</v>
      </c>
      <c r="F103" s="429"/>
      <c r="G103" s="429">
        <v>44926</v>
      </c>
      <c r="H103" s="429">
        <v>44926</v>
      </c>
      <c r="I103" s="429"/>
      <c r="J103" s="429">
        <v>44926</v>
      </c>
      <c r="K103" s="429">
        <v>44926</v>
      </c>
      <c r="L103" s="429"/>
      <c r="M103" s="429">
        <v>44926</v>
      </c>
      <c r="N103" s="429">
        <v>44926</v>
      </c>
      <c r="O103" s="429"/>
      <c r="P103" s="429">
        <v>44926</v>
      </c>
      <c r="Q103" s="429">
        <v>44926</v>
      </c>
      <c r="R103" s="429"/>
      <c r="S103" s="429">
        <v>44926</v>
      </c>
      <c r="T103" s="429">
        <v>44926</v>
      </c>
      <c r="U103" s="429"/>
      <c r="V103" s="429">
        <v>44926</v>
      </c>
      <c r="W103" s="429">
        <v>44926</v>
      </c>
      <c r="X103" s="429"/>
      <c r="Y103" s="429">
        <v>44926</v>
      </c>
      <c r="AA103" s="429">
        <v>44926</v>
      </c>
      <c r="AC103" s="429">
        <v>44926</v>
      </c>
      <c r="AD103" s="429">
        <v>44926</v>
      </c>
      <c r="AE103" s="429">
        <v>44926</v>
      </c>
    </row>
    <row r="104" spans="2:31" s="417" customFormat="1" ht="13">
      <c r="D104" s="416"/>
      <c r="E104" s="443"/>
      <c r="F104" s="443"/>
      <c r="G104" s="443"/>
      <c r="H104" s="443"/>
      <c r="I104" s="443"/>
      <c r="J104" s="443"/>
      <c r="K104" s="443"/>
      <c r="L104" s="443"/>
      <c r="M104" s="443"/>
      <c r="N104" s="443"/>
      <c r="O104" s="443"/>
      <c r="P104" s="443"/>
      <c r="Q104" s="443"/>
      <c r="R104" s="443"/>
      <c r="S104" s="443"/>
      <c r="T104" s="443"/>
      <c r="U104" s="443"/>
      <c r="V104" s="443"/>
      <c r="W104" s="443"/>
      <c r="X104" s="443"/>
      <c r="Y104" s="443"/>
      <c r="AA104" s="443"/>
      <c r="AC104" s="443"/>
      <c r="AD104" s="443"/>
      <c r="AE104" s="443"/>
    </row>
    <row r="105" spans="2:31" s="423" customFormat="1">
      <c r="C105" s="423" t="s">
        <v>543</v>
      </c>
      <c r="D105" s="434"/>
      <c r="E105" s="435">
        <v>0</v>
      </c>
      <c r="F105" s="435"/>
      <c r="G105" s="435">
        <f t="shared" ref="G105" si="99">SUM(E105:F105)</f>
        <v>0</v>
      </c>
      <c r="H105" s="435">
        <v>0</v>
      </c>
      <c r="I105" s="435"/>
      <c r="J105" s="435">
        <f t="shared" ref="J105" si="100">SUM(H105:I105)</f>
        <v>0</v>
      </c>
      <c r="K105" s="435">
        <v>0</v>
      </c>
      <c r="L105" s="435"/>
      <c r="M105" s="435">
        <f t="shared" ref="M105:M111" si="101">SUM(K105:L105)</f>
        <v>0</v>
      </c>
      <c r="N105" s="435">
        <v>0</v>
      </c>
      <c r="O105" s="435"/>
      <c r="P105" s="435">
        <f t="shared" ref="P105" si="102">SUM(N105:O105)</f>
        <v>0</v>
      </c>
      <c r="Q105" s="435">
        <v>0</v>
      </c>
      <c r="R105" s="435"/>
      <c r="S105" s="435">
        <f t="shared" ref="S105" si="103">SUM(Q105:R105)</f>
        <v>0</v>
      </c>
      <c r="T105" s="435">
        <v>0</v>
      </c>
      <c r="U105" s="435"/>
      <c r="V105" s="435">
        <f t="shared" ref="V105" si="104">SUM(T105:U105)</f>
        <v>0</v>
      </c>
      <c r="W105" s="435">
        <v>0</v>
      </c>
      <c r="X105" s="435"/>
      <c r="Y105" s="435">
        <f t="shared" ref="Y105" si="105">SUM(W105:X105)</f>
        <v>0</v>
      </c>
      <c r="AA105" s="435">
        <v>0</v>
      </c>
      <c r="AC105" s="435">
        <f>SUM(G105,J105,P105,S105,V105,Y105,AA105)</f>
        <v>0</v>
      </c>
      <c r="AD105" s="435"/>
      <c r="AE105" s="435">
        <f>SUM(AC105:AD105)</f>
        <v>0</v>
      </c>
    </row>
    <row r="106" spans="2:31" s="423" customFormat="1">
      <c r="D106" s="434" t="s">
        <v>544</v>
      </c>
      <c r="E106" s="435">
        <v>0</v>
      </c>
      <c r="F106" s="435"/>
      <c r="G106" s="435">
        <f>SUM(E106:F106)</f>
        <v>0</v>
      </c>
      <c r="H106" s="435">
        <v>0</v>
      </c>
      <c r="I106" s="435"/>
      <c r="J106" s="435">
        <f>SUM(H106:I106)</f>
        <v>0</v>
      </c>
      <c r="K106" s="435">
        <v>0</v>
      </c>
      <c r="L106" s="435"/>
      <c r="M106" s="435">
        <f>SUM(K106:L106)</f>
        <v>0</v>
      </c>
      <c r="N106" s="435">
        <v>0</v>
      </c>
      <c r="O106" s="435"/>
      <c r="P106" s="435">
        <f>SUM(N106:O106)</f>
        <v>0</v>
      </c>
      <c r="Q106" s="435">
        <v>0</v>
      </c>
      <c r="R106" s="435"/>
      <c r="S106" s="435">
        <f>SUM(Q106:R106)</f>
        <v>0</v>
      </c>
      <c r="T106" s="435">
        <v>0</v>
      </c>
      <c r="U106" s="435"/>
      <c r="V106" s="435">
        <f>SUM(T106:U106)</f>
        <v>0</v>
      </c>
      <c r="W106" s="435">
        <v>0</v>
      </c>
      <c r="X106" s="435"/>
      <c r="Y106" s="435">
        <f>SUM(W106:X106)</f>
        <v>0</v>
      </c>
      <c r="AA106" s="435">
        <v>0</v>
      </c>
      <c r="AC106" s="435">
        <f>SUM(G106,J106,P106,S106,V106,Y106,AA106)</f>
        <v>0</v>
      </c>
      <c r="AD106" s="435"/>
      <c r="AE106" s="435">
        <f>SUM(AC106:AD106)</f>
        <v>0</v>
      </c>
    </row>
    <row r="107" spans="2:31" s="423" customFormat="1">
      <c r="D107" s="423" t="s">
        <v>545</v>
      </c>
      <c r="E107" s="435">
        <v>0</v>
      </c>
      <c r="F107" s="435"/>
      <c r="G107" s="435">
        <f>SUM(E107:F107)</f>
        <v>0</v>
      </c>
      <c r="H107" s="435">
        <v>0</v>
      </c>
      <c r="I107" s="435"/>
      <c r="J107" s="435">
        <f>SUM(H107:I107)</f>
        <v>0</v>
      </c>
      <c r="K107" s="435">
        <v>0</v>
      </c>
      <c r="L107" s="435"/>
      <c r="M107" s="435">
        <f>SUM(K107:L107)</f>
        <v>0</v>
      </c>
      <c r="N107" s="435">
        <v>0</v>
      </c>
      <c r="O107" s="435"/>
      <c r="P107" s="435">
        <f>SUM(N107:O107)</f>
        <v>0</v>
      </c>
      <c r="Q107" s="435">
        <v>0</v>
      </c>
      <c r="R107" s="435"/>
      <c r="S107" s="435">
        <f>SUM(Q107:R107)</f>
        <v>0</v>
      </c>
      <c r="T107" s="435">
        <v>0</v>
      </c>
      <c r="U107" s="435"/>
      <c r="V107" s="435">
        <f>SUM(T107:U107)</f>
        <v>0</v>
      </c>
      <c r="W107" s="435">
        <v>0</v>
      </c>
      <c r="X107" s="435"/>
      <c r="Y107" s="435">
        <f>SUM(W107:X107)</f>
        <v>0</v>
      </c>
      <c r="AA107" s="435">
        <v>0</v>
      </c>
      <c r="AC107" s="435">
        <f>SUM(G107,J107,P107,S107,V107,Y107,AA107)</f>
        <v>0</v>
      </c>
      <c r="AD107" s="435"/>
      <c r="AE107" s="435">
        <f>SUM(AC107:AD107)</f>
        <v>0</v>
      </c>
    </row>
    <row r="108" spans="2:31" s="423" customFormat="1">
      <c r="D108" s="423" t="s">
        <v>546</v>
      </c>
      <c r="E108" s="435">
        <v>0</v>
      </c>
      <c r="F108" s="435"/>
      <c r="G108" s="435">
        <f t="shared" ref="G108:G111" si="106">SUM(E108:F108)</f>
        <v>0</v>
      </c>
      <c r="H108" s="435">
        <v>0</v>
      </c>
      <c r="I108" s="435"/>
      <c r="J108" s="435">
        <f t="shared" ref="J108:J111" si="107">SUM(H108:I108)</f>
        <v>0</v>
      </c>
      <c r="K108" s="435">
        <v>0</v>
      </c>
      <c r="L108" s="435"/>
      <c r="M108" s="435">
        <f t="shared" si="101"/>
        <v>0</v>
      </c>
      <c r="N108" s="435">
        <v>0</v>
      </c>
      <c r="O108" s="435"/>
      <c r="P108" s="435">
        <f t="shared" ref="P108:P111" si="108">SUM(N108:O108)</f>
        <v>0</v>
      </c>
      <c r="Q108" s="435">
        <v>0</v>
      </c>
      <c r="R108" s="435"/>
      <c r="S108" s="435">
        <f t="shared" ref="S108:S111" si="109">SUM(Q108:R108)</f>
        <v>0</v>
      </c>
      <c r="T108" s="435">
        <v>0</v>
      </c>
      <c r="U108" s="435"/>
      <c r="V108" s="435">
        <f t="shared" ref="V108:V111" si="110">SUM(T108:U108)</f>
        <v>0</v>
      </c>
      <c r="W108" s="435">
        <v>0</v>
      </c>
      <c r="X108" s="435"/>
      <c r="Y108" s="435">
        <f t="shared" ref="Y108:Y111" si="111">SUM(W108:X108)</f>
        <v>0</v>
      </c>
      <c r="AA108" s="435">
        <v>0</v>
      </c>
      <c r="AC108" s="435">
        <f t="shared" ref="AC108:AC114" si="112">SUM(G108,J108,P108,S108,V108,Y108,AA108)</f>
        <v>0</v>
      </c>
      <c r="AD108" s="435"/>
      <c r="AE108" s="435">
        <f t="shared" ref="AE108:AE109" si="113">SUM(AC108:AD108)</f>
        <v>0</v>
      </c>
    </row>
    <row r="109" spans="2:31" s="423" customFormat="1">
      <c r="D109" s="423" t="s">
        <v>547</v>
      </c>
      <c r="E109" s="435">
        <v>0</v>
      </c>
      <c r="F109" s="435"/>
      <c r="G109" s="435">
        <f t="shared" si="106"/>
        <v>0</v>
      </c>
      <c r="H109" s="435">
        <v>0</v>
      </c>
      <c r="I109" s="435"/>
      <c r="J109" s="435">
        <f t="shared" si="107"/>
        <v>0</v>
      </c>
      <c r="K109" s="435">
        <v>0</v>
      </c>
      <c r="L109" s="435"/>
      <c r="M109" s="435">
        <f t="shared" si="101"/>
        <v>0</v>
      </c>
      <c r="N109" s="435">
        <v>0</v>
      </c>
      <c r="O109" s="435"/>
      <c r="P109" s="435">
        <f t="shared" si="108"/>
        <v>0</v>
      </c>
      <c r="Q109" s="435">
        <v>0</v>
      </c>
      <c r="R109" s="435"/>
      <c r="S109" s="435">
        <f t="shared" si="109"/>
        <v>0</v>
      </c>
      <c r="T109" s="435">
        <v>0</v>
      </c>
      <c r="U109" s="435"/>
      <c r="V109" s="435">
        <f t="shared" si="110"/>
        <v>0</v>
      </c>
      <c r="W109" s="435">
        <v>0</v>
      </c>
      <c r="X109" s="435"/>
      <c r="Y109" s="435">
        <f t="shared" si="111"/>
        <v>0</v>
      </c>
      <c r="AA109" s="435">
        <v>0</v>
      </c>
      <c r="AC109" s="435">
        <f t="shared" si="112"/>
        <v>0</v>
      </c>
      <c r="AD109" s="435"/>
      <c r="AE109" s="435">
        <f t="shared" si="113"/>
        <v>0</v>
      </c>
    </row>
    <row r="110" spans="2:31" s="423" customFormat="1">
      <c r="D110" s="423" t="s">
        <v>548</v>
      </c>
      <c r="E110" s="435">
        <v>0</v>
      </c>
      <c r="F110" s="435"/>
      <c r="G110" s="435">
        <f t="shared" si="106"/>
        <v>0</v>
      </c>
      <c r="H110" s="435">
        <v>0</v>
      </c>
      <c r="I110" s="435"/>
      <c r="J110" s="435">
        <f t="shared" si="107"/>
        <v>0</v>
      </c>
      <c r="K110" s="435">
        <v>0</v>
      </c>
      <c r="L110" s="435"/>
      <c r="M110" s="435">
        <f t="shared" si="101"/>
        <v>0</v>
      </c>
      <c r="N110" s="435">
        <v>0</v>
      </c>
      <c r="O110" s="435"/>
      <c r="P110" s="435">
        <f t="shared" si="108"/>
        <v>0</v>
      </c>
      <c r="Q110" s="435">
        <v>0</v>
      </c>
      <c r="R110" s="435"/>
      <c r="S110" s="435">
        <f t="shared" si="109"/>
        <v>0</v>
      </c>
      <c r="T110" s="435">
        <v>0</v>
      </c>
      <c r="U110" s="435"/>
      <c r="V110" s="435">
        <f t="shared" si="110"/>
        <v>0</v>
      </c>
      <c r="W110" s="435">
        <v>0</v>
      </c>
      <c r="X110" s="435"/>
      <c r="Y110" s="435">
        <f t="shared" si="111"/>
        <v>0</v>
      </c>
      <c r="AA110" s="435">
        <v>0</v>
      </c>
      <c r="AC110" s="435">
        <f t="shared" si="112"/>
        <v>0</v>
      </c>
      <c r="AD110" s="435"/>
      <c r="AE110" s="435">
        <f t="shared" ref="AE110:AE111" si="114">SUM(AC110:AD110)</f>
        <v>0</v>
      </c>
    </row>
    <row r="111" spans="2:31" s="423" customFormat="1">
      <c r="D111" s="423" t="s">
        <v>549</v>
      </c>
      <c r="E111" s="435">
        <v>0</v>
      </c>
      <c r="F111" s="435"/>
      <c r="G111" s="435">
        <f t="shared" si="106"/>
        <v>0</v>
      </c>
      <c r="H111" s="435">
        <v>0</v>
      </c>
      <c r="I111" s="435"/>
      <c r="J111" s="435">
        <f t="shared" si="107"/>
        <v>0</v>
      </c>
      <c r="K111" s="435">
        <v>0</v>
      </c>
      <c r="L111" s="435"/>
      <c r="M111" s="435">
        <f t="shared" si="101"/>
        <v>0</v>
      </c>
      <c r="N111" s="435">
        <v>0</v>
      </c>
      <c r="O111" s="435"/>
      <c r="P111" s="435">
        <f t="shared" si="108"/>
        <v>0</v>
      </c>
      <c r="Q111" s="435">
        <v>0</v>
      </c>
      <c r="R111" s="435"/>
      <c r="S111" s="435">
        <f t="shared" si="109"/>
        <v>0</v>
      </c>
      <c r="T111" s="435">
        <v>0</v>
      </c>
      <c r="U111" s="435"/>
      <c r="V111" s="435">
        <f t="shared" si="110"/>
        <v>0</v>
      </c>
      <c r="W111" s="435">
        <v>0</v>
      </c>
      <c r="X111" s="435"/>
      <c r="Y111" s="435">
        <f t="shared" si="111"/>
        <v>0</v>
      </c>
      <c r="AA111" s="435">
        <v>0</v>
      </c>
      <c r="AC111" s="435">
        <f t="shared" si="112"/>
        <v>0</v>
      </c>
      <c r="AD111" s="435"/>
      <c r="AE111" s="435">
        <f t="shared" si="114"/>
        <v>0</v>
      </c>
    </row>
    <row r="112" spans="2:31" s="423" customFormat="1">
      <c r="C112" s="438" t="s">
        <v>532</v>
      </c>
      <c r="D112" s="439"/>
      <c r="E112" s="435"/>
      <c r="F112" s="435"/>
      <c r="G112" s="435"/>
      <c r="H112" s="435"/>
      <c r="I112" s="435"/>
      <c r="J112" s="435"/>
      <c r="K112" s="435"/>
      <c r="L112" s="435"/>
      <c r="M112" s="435"/>
      <c r="N112" s="435"/>
      <c r="O112" s="435"/>
      <c r="P112" s="435"/>
      <c r="Q112" s="435"/>
      <c r="R112" s="435"/>
      <c r="S112" s="435"/>
      <c r="T112" s="435"/>
      <c r="U112" s="435"/>
      <c r="V112" s="435"/>
      <c r="W112" s="435"/>
      <c r="X112" s="435"/>
      <c r="Y112" s="435"/>
      <c r="AA112" s="435"/>
      <c r="AC112" s="435"/>
      <c r="AD112" s="435"/>
      <c r="AE112" s="435"/>
    </row>
    <row r="113" spans="2:31" s="423" customFormat="1">
      <c r="D113" s="423" t="s">
        <v>550</v>
      </c>
      <c r="E113" s="435">
        <v>0</v>
      </c>
      <c r="F113" s="435"/>
      <c r="G113" s="435">
        <f t="shared" ref="G113:G114" si="115">SUM(E113:F113)</f>
        <v>0</v>
      </c>
      <c r="H113" s="435">
        <v>0</v>
      </c>
      <c r="I113" s="435"/>
      <c r="J113" s="435">
        <f t="shared" ref="J113:J114" si="116">SUM(H113:I113)</f>
        <v>0</v>
      </c>
      <c r="K113" s="435">
        <v>0</v>
      </c>
      <c r="L113" s="435"/>
      <c r="M113" s="435">
        <f t="shared" ref="M113:M114" si="117">SUM(K113:L113)</f>
        <v>0</v>
      </c>
      <c r="N113" s="435">
        <v>0</v>
      </c>
      <c r="O113" s="435"/>
      <c r="P113" s="435">
        <f t="shared" ref="P113:P114" si="118">SUM(N113:O113)</f>
        <v>0</v>
      </c>
      <c r="Q113" s="435"/>
      <c r="R113" s="435"/>
      <c r="S113" s="435">
        <f t="shared" ref="S113:S114" si="119">SUM(Q113:R113)</f>
        <v>0</v>
      </c>
      <c r="T113" s="435">
        <v>0</v>
      </c>
      <c r="U113" s="435"/>
      <c r="V113" s="435">
        <f t="shared" ref="V113:V114" si="120">SUM(T113:U113)</f>
        <v>0</v>
      </c>
      <c r="W113" s="435">
        <v>0</v>
      </c>
      <c r="X113" s="435"/>
      <c r="Y113" s="435">
        <f t="shared" ref="Y113:Y114" si="121">SUM(W113:X113)</f>
        <v>0</v>
      </c>
      <c r="AA113" s="435">
        <v>0</v>
      </c>
      <c r="AC113" s="435">
        <f t="shared" si="112"/>
        <v>0</v>
      </c>
      <c r="AD113" s="435"/>
      <c r="AE113" s="435">
        <f t="shared" ref="AE113:AE114" si="122">SUM(AC113:AD113)</f>
        <v>0</v>
      </c>
    </row>
    <row r="114" spans="2:31" s="423" customFormat="1">
      <c r="D114" s="423" t="s">
        <v>551</v>
      </c>
      <c r="E114" s="435">
        <v>0</v>
      </c>
      <c r="F114" s="435"/>
      <c r="G114" s="435">
        <f t="shared" si="115"/>
        <v>0</v>
      </c>
      <c r="H114" s="435">
        <v>0</v>
      </c>
      <c r="I114" s="435"/>
      <c r="J114" s="435">
        <f t="shared" si="116"/>
        <v>0</v>
      </c>
      <c r="K114" s="435">
        <v>0</v>
      </c>
      <c r="L114" s="435"/>
      <c r="M114" s="435">
        <f t="shared" si="117"/>
        <v>0</v>
      </c>
      <c r="N114" s="435">
        <v>0</v>
      </c>
      <c r="O114" s="435"/>
      <c r="P114" s="435">
        <f t="shared" si="118"/>
        <v>0</v>
      </c>
      <c r="Q114" s="435">
        <v>0</v>
      </c>
      <c r="R114" s="435"/>
      <c r="S114" s="435">
        <f t="shared" si="119"/>
        <v>0</v>
      </c>
      <c r="T114" s="435">
        <v>0</v>
      </c>
      <c r="U114" s="435"/>
      <c r="V114" s="435">
        <f t="shared" si="120"/>
        <v>0</v>
      </c>
      <c r="W114" s="435">
        <v>0</v>
      </c>
      <c r="X114" s="435"/>
      <c r="Y114" s="435">
        <f t="shared" si="121"/>
        <v>0</v>
      </c>
      <c r="AA114" s="435">
        <v>0</v>
      </c>
      <c r="AC114" s="435">
        <f t="shared" si="112"/>
        <v>0</v>
      </c>
      <c r="AD114" s="435"/>
      <c r="AE114" s="435">
        <f t="shared" si="122"/>
        <v>0</v>
      </c>
    </row>
    <row r="115" spans="2:31" s="423" customFormat="1">
      <c r="D115" s="434"/>
      <c r="E115" s="435"/>
      <c r="F115" s="435"/>
      <c r="G115" s="435"/>
      <c r="H115" s="435"/>
      <c r="I115" s="435"/>
      <c r="J115" s="435"/>
      <c r="K115" s="435"/>
      <c r="L115" s="435"/>
      <c r="M115" s="435"/>
      <c r="N115" s="435"/>
      <c r="O115" s="435"/>
      <c r="P115" s="435"/>
      <c r="Q115" s="435">
        <v>0</v>
      </c>
      <c r="R115" s="435"/>
      <c r="S115" s="435"/>
      <c r="T115" s="435"/>
      <c r="U115" s="435"/>
      <c r="V115" s="435"/>
      <c r="W115" s="435"/>
      <c r="X115" s="435"/>
      <c r="Y115" s="435"/>
      <c r="AA115" s="435"/>
      <c r="AC115" s="435"/>
      <c r="AD115" s="435"/>
      <c r="AE115" s="435"/>
    </row>
    <row r="116" spans="2:31" s="423" customFormat="1">
      <c r="C116" s="438" t="s">
        <v>441</v>
      </c>
      <c r="D116" s="455"/>
      <c r="E116" s="435"/>
      <c r="F116" s="435"/>
      <c r="G116" s="435"/>
      <c r="H116" s="435"/>
      <c r="I116" s="435"/>
      <c r="J116" s="435"/>
      <c r="K116" s="435"/>
      <c r="L116" s="435"/>
      <c r="M116" s="435"/>
      <c r="N116" s="435"/>
      <c r="O116" s="435"/>
      <c r="P116" s="435"/>
      <c r="Q116" s="435"/>
      <c r="R116" s="435"/>
      <c r="S116" s="435"/>
      <c r="T116" s="435"/>
      <c r="U116" s="435"/>
      <c r="V116" s="435"/>
      <c r="W116" s="435"/>
      <c r="X116" s="435"/>
      <c r="Y116" s="435"/>
      <c r="AA116" s="435"/>
      <c r="AC116" s="435"/>
      <c r="AD116" s="435"/>
      <c r="AE116" s="435"/>
    </row>
    <row r="117" spans="2:31" s="423" customFormat="1">
      <c r="D117" s="434" t="s">
        <v>554</v>
      </c>
      <c r="E117" s="435">
        <v>0</v>
      </c>
      <c r="F117" s="435"/>
      <c r="G117" s="435">
        <f t="shared" ref="G117:G118" si="123">SUM(E117:F117)</f>
        <v>0</v>
      </c>
      <c r="H117" s="435">
        <v>0</v>
      </c>
      <c r="I117" s="435"/>
      <c r="J117" s="435">
        <f t="shared" ref="J117:J118" si="124">SUM(H117:I117)</f>
        <v>0</v>
      </c>
      <c r="K117" s="435">
        <v>23625000</v>
      </c>
      <c r="L117" s="435"/>
      <c r="M117" s="435">
        <f>K117</f>
        <v>23625000</v>
      </c>
      <c r="N117" s="435">
        <v>23625000</v>
      </c>
      <c r="O117" s="435"/>
      <c r="P117" s="435">
        <f>N117</f>
        <v>23625000</v>
      </c>
      <c r="Q117" s="435">
        <v>0</v>
      </c>
      <c r="R117" s="435"/>
      <c r="S117" s="435">
        <f t="shared" ref="S117:S118" si="125">SUM(Q117:R117)</f>
        <v>0</v>
      </c>
      <c r="T117" s="435">
        <v>850500000</v>
      </c>
      <c r="U117" s="435"/>
      <c r="V117" s="435">
        <f t="shared" ref="V117:V118" si="126">SUM(T117:U117)</f>
        <v>850500000</v>
      </c>
      <c r="W117" s="435">
        <v>0</v>
      </c>
      <c r="X117" s="435"/>
      <c r="Y117" s="435">
        <f t="shared" ref="Y117:Y118" si="127">SUM(W117:X117)</f>
        <v>0</v>
      </c>
      <c r="AA117" s="435"/>
      <c r="AC117" s="435">
        <f t="shared" ref="AC117:AC118" si="128">SUM(G117,J117,P117,S117,V117,Y117,AA117)</f>
        <v>874125000</v>
      </c>
      <c r="AD117" s="435"/>
      <c r="AE117" s="435">
        <f t="shared" ref="AE117:AE118" si="129">SUM(AC117:AD117)</f>
        <v>874125000</v>
      </c>
    </row>
    <row r="118" spans="2:31" s="423" customFormat="1">
      <c r="D118" s="434" t="s">
        <v>555</v>
      </c>
      <c r="E118" s="435">
        <v>0</v>
      </c>
      <c r="F118" s="435"/>
      <c r="G118" s="435">
        <f t="shared" si="123"/>
        <v>0</v>
      </c>
      <c r="H118" s="435"/>
      <c r="I118" s="435"/>
      <c r="J118" s="435">
        <f t="shared" si="124"/>
        <v>0</v>
      </c>
      <c r="K118" s="435"/>
      <c r="L118" s="435"/>
      <c r="M118" s="435">
        <f t="shared" ref="M118" si="130">SUM(K118:L118)</f>
        <v>0</v>
      </c>
      <c r="N118" s="435"/>
      <c r="O118" s="435"/>
      <c r="P118" s="435">
        <f t="shared" ref="P118" si="131">SUM(N118:O118)</f>
        <v>0</v>
      </c>
      <c r="Q118" s="435">
        <v>0</v>
      </c>
      <c r="R118" s="435"/>
      <c r="S118" s="435">
        <f t="shared" si="125"/>
        <v>0</v>
      </c>
      <c r="T118" s="435"/>
      <c r="U118" s="435"/>
      <c r="V118" s="435">
        <f t="shared" si="126"/>
        <v>0</v>
      </c>
      <c r="W118" s="435"/>
      <c r="X118" s="435"/>
      <c r="Y118" s="435">
        <f t="shared" si="127"/>
        <v>0</v>
      </c>
      <c r="AA118" s="435"/>
      <c r="AC118" s="435">
        <f t="shared" si="128"/>
        <v>0</v>
      </c>
      <c r="AD118" s="435"/>
      <c r="AE118" s="435">
        <f t="shared" si="129"/>
        <v>0</v>
      </c>
    </row>
    <row r="119" spans="2:31" s="423" customFormat="1">
      <c r="E119" s="441"/>
      <c r="F119" s="441"/>
      <c r="G119" s="441"/>
      <c r="H119" s="441"/>
      <c r="I119" s="441"/>
      <c r="J119" s="441"/>
      <c r="K119" s="441"/>
      <c r="L119" s="441"/>
      <c r="M119" s="441"/>
      <c r="N119" s="441"/>
      <c r="O119" s="441"/>
      <c r="P119" s="441"/>
      <c r="Q119" s="441"/>
      <c r="R119" s="441"/>
      <c r="S119" s="441"/>
      <c r="T119" s="441"/>
      <c r="U119" s="441"/>
      <c r="V119" s="441"/>
      <c r="W119" s="441"/>
      <c r="X119" s="441"/>
      <c r="Y119" s="441"/>
      <c r="AA119" s="441"/>
      <c r="AC119" s="441"/>
      <c r="AD119" s="441"/>
      <c r="AE119" s="441"/>
    </row>
    <row r="120" spans="2:31" s="427" customFormat="1" ht="13">
      <c r="C120" s="427" t="s">
        <v>178</v>
      </c>
      <c r="E120" s="442">
        <f>SUM(E118,E113:E114,E110:E111,E108:E109,E105)</f>
        <v>0</v>
      </c>
      <c r="F120" s="442">
        <f>SUM(F118,F113:F114,F110:F111,F108:F109,F105)</f>
        <v>0</v>
      </c>
      <c r="G120" s="442">
        <f>SUM(G118,G113:G114,G110:G111,G108:G109,G105)</f>
        <v>0</v>
      </c>
      <c r="H120" s="442">
        <f t="shared" ref="H120:Y120" si="132">SUM(H105:H118)</f>
        <v>0</v>
      </c>
      <c r="I120" s="442">
        <f t="shared" si="132"/>
        <v>0</v>
      </c>
      <c r="J120" s="442">
        <f t="shared" si="132"/>
        <v>0</v>
      </c>
      <c r="K120" s="442">
        <f t="shared" si="132"/>
        <v>23625000</v>
      </c>
      <c r="L120" s="442">
        <f t="shared" si="132"/>
        <v>0</v>
      </c>
      <c r="M120" s="442">
        <f t="shared" si="132"/>
        <v>23625000</v>
      </c>
      <c r="N120" s="442">
        <f t="shared" si="132"/>
        <v>23625000</v>
      </c>
      <c r="O120" s="442">
        <f t="shared" si="132"/>
        <v>0</v>
      </c>
      <c r="P120" s="442">
        <f t="shared" si="132"/>
        <v>23625000</v>
      </c>
      <c r="Q120" s="442">
        <f t="shared" si="132"/>
        <v>0</v>
      </c>
      <c r="R120" s="442">
        <f t="shared" si="132"/>
        <v>0</v>
      </c>
      <c r="S120" s="442">
        <f t="shared" si="132"/>
        <v>0</v>
      </c>
      <c r="T120" s="442">
        <f t="shared" si="132"/>
        <v>850500000</v>
      </c>
      <c r="U120" s="442">
        <f t="shared" si="132"/>
        <v>0</v>
      </c>
      <c r="V120" s="442">
        <f t="shared" si="132"/>
        <v>850500000</v>
      </c>
      <c r="W120" s="442">
        <f t="shared" si="132"/>
        <v>0</v>
      </c>
      <c r="X120" s="442">
        <f t="shared" si="132"/>
        <v>0</v>
      </c>
      <c r="Y120" s="442">
        <f t="shared" si="132"/>
        <v>0</v>
      </c>
      <c r="AA120" s="442">
        <f>SUM(AA105:AA114)</f>
        <v>0</v>
      </c>
      <c r="AC120" s="442">
        <f>SUM(AC105:AC118)</f>
        <v>874125000</v>
      </c>
      <c r="AD120" s="442">
        <f>SUM(AD105:AD114)</f>
        <v>0</v>
      </c>
      <c r="AE120" s="442">
        <f>SUM(AE105:AE118)</f>
        <v>874125000</v>
      </c>
    </row>
    <row r="121" spans="2:31" s="423" customFormat="1">
      <c r="C121" s="423" t="s">
        <v>433</v>
      </c>
      <c r="E121" s="441"/>
      <c r="F121" s="441"/>
      <c r="G121" s="441"/>
      <c r="H121" s="441"/>
      <c r="I121" s="441"/>
      <c r="J121" s="441"/>
      <c r="K121" s="441"/>
      <c r="L121" s="441"/>
      <c r="M121" s="441"/>
      <c r="N121" s="441"/>
      <c r="O121" s="441"/>
      <c r="P121" s="441"/>
      <c r="Q121" s="441"/>
      <c r="R121" s="441"/>
      <c r="S121" s="441"/>
      <c r="T121" s="441"/>
      <c r="U121" s="441"/>
      <c r="V121" s="441"/>
      <c r="W121" s="441"/>
      <c r="X121" s="441"/>
      <c r="Y121" s="441"/>
      <c r="AA121" s="441">
        <v>0</v>
      </c>
      <c r="AC121" s="441">
        <v>0</v>
      </c>
      <c r="AD121" s="441">
        <v>0</v>
      </c>
      <c r="AE121" s="441">
        <v>0</v>
      </c>
    </row>
    <row r="122" spans="2:31" s="427" customFormat="1" ht="13">
      <c r="C122" s="427" t="s">
        <v>439</v>
      </c>
      <c r="E122" s="444">
        <f>SUM(E120:E121)</f>
        <v>0</v>
      </c>
      <c r="F122" s="444"/>
      <c r="G122" s="444">
        <f>SUM(G120:G121)</f>
        <v>0</v>
      </c>
      <c r="H122" s="444">
        <f>SUM(H120:H121)</f>
        <v>0</v>
      </c>
      <c r="I122" s="444"/>
      <c r="J122" s="444">
        <f>SUM(J120:J121)</f>
        <v>0</v>
      </c>
      <c r="K122" s="444">
        <f>SUM(K120:K121)</f>
        <v>23625000</v>
      </c>
      <c r="L122" s="444"/>
      <c r="M122" s="444">
        <f>SUM(M120:M121)</f>
        <v>23625000</v>
      </c>
      <c r="N122" s="444">
        <f>SUM(N120:N121)</f>
        <v>23625000</v>
      </c>
      <c r="O122" s="444"/>
      <c r="P122" s="444">
        <f>SUM(P120:P121)</f>
        <v>23625000</v>
      </c>
      <c r="Q122" s="444">
        <f>SUM(Q120:Q121)</f>
        <v>0</v>
      </c>
      <c r="R122" s="444"/>
      <c r="S122" s="444">
        <f>SUM(S120:S121)</f>
        <v>0</v>
      </c>
      <c r="T122" s="444">
        <f>SUM(T120:T121)</f>
        <v>850500000</v>
      </c>
      <c r="U122" s="444"/>
      <c r="V122" s="444">
        <f>SUM(V120:V121)</f>
        <v>850500000</v>
      </c>
      <c r="W122" s="444">
        <f>SUM(W120:W121)</f>
        <v>0</v>
      </c>
      <c r="X122" s="444"/>
      <c r="Y122" s="444">
        <f>SUM(Y120:Y121)</f>
        <v>0</v>
      </c>
      <c r="AA122" s="444">
        <f t="shared" ref="AA122" si="133">SUM(AA120:AA121)</f>
        <v>0</v>
      </c>
      <c r="AC122" s="444">
        <f t="shared" ref="AC122:AE122" si="134">SUM(AC120:AC121)</f>
        <v>874125000</v>
      </c>
      <c r="AD122" s="444">
        <f t="shared" si="134"/>
        <v>0</v>
      </c>
      <c r="AE122" s="444">
        <f t="shared" si="134"/>
        <v>874125000</v>
      </c>
    </row>
    <row r="124" spans="2:31" s="417" customFormat="1" ht="13">
      <c r="D124" s="445" t="s">
        <v>435</v>
      </c>
      <c r="E124" s="435">
        <f>'Consol SoFP 23 &amp; 22'!AH47</f>
        <v>0</v>
      </c>
      <c r="F124" s="435"/>
      <c r="G124" s="435">
        <f>'Consol SoFP 23 &amp; 22'!AJ47</f>
        <v>0</v>
      </c>
      <c r="H124" s="435">
        <f>'Consol SoFP 23 &amp; 22'!AK47</f>
        <v>0</v>
      </c>
      <c r="I124" s="435">
        <f>'Consol SoFP 23 &amp; 22'!AL47</f>
        <v>0</v>
      </c>
      <c r="J124" s="435">
        <f>'Consol SoFP 23 &amp; 22'!AM47</f>
        <v>0</v>
      </c>
      <c r="K124" s="435">
        <f>'Consol SoFP 23 &amp; 22'!AK47</f>
        <v>0</v>
      </c>
      <c r="L124" s="435">
        <f>'Consol SoFP 23 &amp; 22'!AL47</f>
        <v>0</v>
      </c>
      <c r="M124" s="435">
        <f>'Consol SoFP 23 &amp; 22'!AM47</f>
        <v>0</v>
      </c>
      <c r="N124" s="435">
        <f>'Consol SoFP 23 &amp; 22'!AN47</f>
        <v>23625000</v>
      </c>
      <c r="O124" s="435">
        <f>'Consol SoFP 23 &amp; 22'!AO47</f>
        <v>0</v>
      </c>
      <c r="P124" s="435">
        <f>'Consol SoFP 23 &amp; 22'!AP47</f>
        <v>23625000</v>
      </c>
      <c r="Q124" s="435">
        <f>'Consol SoFP 23 &amp; 22'!AQ47</f>
        <v>0</v>
      </c>
      <c r="R124" s="435">
        <f>'Consol SoFP 23 &amp; 22'!AR47</f>
        <v>0</v>
      </c>
      <c r="S124" s="435">
        <f>'Consol SoFP 23 &amp; 22'!AS47</f>
        <v>0</v>
      </c>
      <c r="T124" s="435">
        <f>'Consol SoFP 23 &amp; 22'!AT47</f>
        <v>850500000</v>
      </c>
      <c r="U124" s="435">
        <f>'Consol SoFP 23 &amp; 22'!AU47</f>
        <v>0</v>
      </c>
      <c r="V124" s="435">
        <f>'Consol SoFP 23 &amp; 22'!AV47</f>
        <v>850500000</v>
      </c>
      <c r="W124" s="435">
        <f>'Consol SoFP 23 &amp; 22'!AW47</f>
        <v>0</v>
      </c>
      <c r="X124" s="435">
        <f>'Consol SoFP 23 &amp; 22'!AX47</f>
        <v>0</v>
      </c>
      <c r="Y124" s="435">
        <f>'Consol SoFP 23 &amp; 22'!AY47</f>
        <v>0</v>
      </c>
      <c r="AA124" s="435">
        <v>0</v>
      </c>
      <c r="AC124" s="435">
        <f>'Consol SoFP 23 &amp; 22'!BC47</f>
        <v>874125000</v>
      </c>
      <c r="AD124" s="435">
        <f>SUM('Consol SoFP 23 &amp; 22'!BD47:BE47)</f>
        <v>0</v>
      </c>
      <c r="AE124" s="435">
        <f>'Consol SoFP 23 &amp; 22'!BF47</f>
        <v>874125000</v>
      </c>
    </row>
    <row r="125" spans="2:31" s="417" customFormat="1" ht="13">
      <c r="D125" s="445" t="s">
        <v>111</v>
      </c>
      <c r="E125" s="442">
        <f>E122-E124</f>
        <v>0</v>
      </c>
      <c r="F125" s="442"/>
      <c r="G125" s="442">
        <f>G122-G124</f>
        <v>0</v>
      </c>
      <c r="H125" s="442">
        <f>H122-H124</f>
        <v>0</v>
      </c>
      <c r="I125" s="442"/>
      <c r="J125" s="442">
        <f>J122-J124</f>
        <v>0</v>
      </c>
      <c r="K125" s="442">
        <f>K122-K124</f>
        <v>23625000</v>
      </c>
      <c r="L125" s="442"/>
      <c r="M125" s="442">
        <f>M122-M124</f>
        <v>23625000</v>
      </c>
      <c r="N125" s="442">
        <f>N122-N124</f>
        <v>0</v>
      </c>
      <c r="O125" s="442"/>
      <c r="P125" s="442">
        <f>P122-P124</f>
        <v>0</v>
      </c>
      <c r="Q125" s="442">
        <f>Q122-Q124</f>
        <v>0</v>
      </c>
      <c r="R125" s="442"/>
      <c r="S125" s="442">
        <f>S122-S124</f>
        <v>0</v>
      </c>
      <c r="T125" s="442">
        <f>T122-T124</f>
        <v>0</v>
      </c>
      <c r="U125" s="442"/>
      <c r="V125" s="442">
        <f>V122-V124</f>
        <v>0</v>
      </c>
      <c r="W125" s="442">
        <f>W122-W124</f>
        <v>0</v>
      </c>
      <c r="X125" s="442"/>
      <c r="Y125" s="442">
        <f>Y122-Y124</f>
        <v>0</v>
      </c>
      <c r="AA125" s="442">
        <f t="shared" ref="AA125" si="135">AA122-AA124</f>
        <v>0</v>
      </c>
      <c r="AC125" s="442">
        <f t="shared" ref="AC125:AE125" si="136">AC122-AC124</f>
        <v>0</v>
      </c>
      <c r="AD125" s="442">
        <f t="shared" si="136"/>
        <v>0</v>
      </c>
      <c r="AE125" s="442">
        <f t="shared" si="136"/>
        <v>0</v>
      </c>
    </row>
    <row r="126" spans="2:31" s="417" customFormat="1" ht="13">
      <c r="E126" s="443"/>
      <c r="F126" s="443"/>
      <c r="G126" s="443"/>
      <c r="H126" s="443"/>
      <c r="I126" s="443"/>
      <c r="J126" s="443"/>
      <c r="K126" s="443"/>
      <c r="L126" s="443"/>
      <c r="M126" s="443"/>
      <c r="N126" s="443"/>
      <c r="O126" s="443"/>
      <c r="P126" s="443"/>
      <c r="Q126" s="443"/>
      <c r="R126" s="443"/>
      <c r="S126" s="443"/>
      <c r="T126" s="443"/>
      <c r="U126" s="443"/>
      <c r="V126" s="443"/>
      <c r="W126" s="443"/>
      <c r="X126" s="443"/>
      <c r="Y126" s="443"/>
      <c r="AA126" s="443"/>
      <c r="AC126" s="443"/>
      <c r="AD126" s="443"/>
      <c r="AE126" s="443"/>
    </row>
    <row r="127" spans="2:31" s="417" customFormat="1" ht="13" thickBot="1">
      <c r="B127" s="447"/>
      <c r="C127" s="447"/>
      <c r="D127" s="447"/>
      <c r="E127" s="456"/>
      <c r="F127" s="456"/>
      <c r="G127" s="456"/>
      <c r="H127" s="456"/>
      <c r="I127" s="456"/>
      <c r="J127" s="456"/>
      <c r="K127" s="456"/>
      <c r="L127" s="456"/>
      <c r="M127" s="456"/>
      <c r="N127" s="456"/>
      <c r="O127" s="456"/>
      <c r="P127" s="456"/>
      <c r="Q127" s="456"/>
      <c r="R127" s="456"/>
      <c r="S127" s="456"/>
      <c r="T127" s="456"/>
      <c r="U127" s="456"/>
      <c r="V127" s="456"/>
      <c r="W127" s="456"/>
      <c r="X127" s="456"/>
      <c r="Y127" s="456"/>
      <c r="AA127" s="447"/>
      <c r="AC127" s="447"/>
      <c r="AD127" s="447"/>
      <c r="AE127" s="447"/>
    </row>
    <row r="128" spans="2:31" s="417" customFormat="1" ht="13">
      <c r="B128" s="414" t="s">
        <v>446</v>
      </c>
    </row>
    <row r="129" spans="2:31" s="417" customFormat="1" ht="13">
      <c r="B129" s="423"/>
      <c r="C129" s="423"/>
      <c r="D129" s="423"/>
      <c r="E129" s="428" t="s">
        <v>426</v>
      </c>
      <c r="F129" s="428" t="s">
        <v>334</v>
      </c>
      <c r="G129" s="428" t="s">
        <v>427</v>
      </c>
      <c r="H129" s="428" t="s">
        <v>426</v>
      </c>
      <c r="I129" s="428" t="s">
        <v>334</v>
      </c>
      <c r="J129" s="428" t="s">
        <v>427</v>
      </c>
      <c r="K129" s="428" t="s">
        <v>426</v>
      </c>
      <c r="L129" s="428" t="s">
        <v>334</v>
      </c>
      <c r="M129" s="428" t="s">
        <v>427</v>
      </c>
      <c r="N129" s="428" t="s">
        <v>426</v>
      </c>
      <c r="O129" s="428" t="s">
        <v>334</v>
      </c>
      <c r="P129" s="428" t="s">
        <v>427</v>
      </c>
      <c r="Q129" s="428" t="s">
        <v>426</v>
      </c>
      <c r="R129" s="428" t="s">
        <v>334</v>
      </c>
      <c r="S129" s="428" t="s">
        <v>427</v>
      </c>
      <c r="T129" s="428" t="s">
        <v>426</v>
      </c>
      <c r="U129" s="428" t="s">
        <v>334</v>
      </c>
      <c r="V129" s="428" t="s">
        <v>427</v>
      </c>
      <c r="W129" s="428" t="s">
        <v>426</v>
      </c>
      <c r="X129" s="428" t="s">
        <v>334</v>
      </c>
      <c r="Y129" s="428" t="s">
        <v>427</v>
      </c>
      <c r="Z129" s="423"/>
      <c r="AA129" s="428" t="s">
        <v>428</v>
      </c>
      <c r="AB129" s="423"/>
      <c r="AC129" s="428" t="s">
        <v>11</v>
      </c>
      <c r="AD129" s="428" t="s">
        <v>429</v>
      </c>
      <c r="AE129" s="428" t="s">
        <v>13</v>
      </c>
    </row>
    <row r="130" spans="2:31" s="417" customFormat="1" ht="13">
      <c r="B130" s="423"/>
      <c r="C130" s="423"/>
      <c r="D130" s="423"/>
      <c r="E130" s="429">
        <v>44926</v>
      </c>
      <c r="F130" s="429"/>
      <c r="G130" s="429">
        <v>44926</v>
      </c>
      <c r="H130" s="429">
        <v>44926</v>
      </c>
      <c r="I130" s="429"/>
      <c r="J130" s="429">
        <v>44926</v>
      </c>
      <c r="K130" s="429">
        <v>44926</v>
      </c>
      <c r="L130" s="429"/>
      <c r="M130" s="429">
        <v>44926</v>
      </c>
      <c r="N130" s="429">
        <v>44926</v>
      </c>
      <c r="O130" s="429"/>
      <c r="P130" s="429">
        <v>44926</v>
      </c>
      <c r="Q130" s="429">
        <v>44926</v>
      </c>
      <c r="R130" s="429"/>
      <c r="S130" s="429">
        <v>44926</v>
      </c>
      <c r="T130" s="429">
        <v>44926</v>
      </c>
      <c r="U130" s="429"/>
      <c r="V130" s="429">
        <v>44926</v>
      </c>
      <c r="W130" s="429">
        <v>44926</v>
      </c>
      <c r="X130" s="429"/>
      <c r="Y130" s="429">
        <v>44926</v>
      </c>
      <c r="Z130" s="423"/>
      <c r="AA130" s="429">
        <v>44926</v>
      </c>
      <c r="AB130" s="423"/>
      <c r="AC130" s="429">
        <v>44926</v>
      </c>
      <c r="AD130" s="429">
        <v>44926</v>
      </c>
      <c r="AE130" s="429">
        <v>44926</v>
      </c>
    </row>
    <row r="131" spans="2:31" s="423" customFormat="1" ht="13" customHeight="1">
      <c r="C131" s="430"/>
      <c r="E131" s="431"/>
      <c r="F131" s="431"/>
      <c r="G131" s="431"/>
      <c r="H131" s="431"/>
      <c r="I131" s="431"/>
      <c r="J131" s="431"/>
      <c r="K131" s="431"/>
      <c r="L131" s="431"/>
      <c r="M131" s="431"/>
      <c r="N131" s="431"/>
      <c r="O131" s="431"/>
      <c r="P131" s="431"/>
      <c r="Q131" s="431"/>
      <c r="R131" s="431"/>
      <c r="S131" s="431"/>
      <c r="T131" s="431"/>
      <c r="U131" s="431"/>
      <c r="V131" s="431"/>
      <c r="W131" s="431"/>
      <c r="X131" s="431"/>
      <c r="Y131" s="431"/>
      <c r="AA131" s="432"/>
      <c r="AC131" s="432"/>
      <c r="AD131" s="432"/>
      <c r="AE131" s="432"/>
    </row>
    <row r="132" spans="2:31" s="423" customFormat="1">
      <c r="C132" s="423" t="s">
        <v>543</v>
      </c>
      <c r="D132" s="434"/>
      <c r="E132" s="435">
        <v>0</v>
      </c>
      <c r="F132" s="435"/>
      <c r="G132" s="435">
        <f t="shared" ref="G132:G142" si="137">SUM(E132:F132)</f>
        <v>0</v>
      </c>
      <c r="H132" s="435">
        <v>0</v>
      </c>
      <c r="I132" s="435"/>
      <c r="J132" s="435">
        <f t="shared" ref="J132" si="138">SUM(H132:I132)</f>
        <v>0</v>
      </c>
      <c r="K132" s="435">
        <f>-10458127901.5029</f>
        <v>-10458127901.502899</v>
      </c>
      <c r="L132" s="435"/>
      <c r="M132" s="435">
        <v>0</v>
      </c>
      <c r="N132" s="435">
        <v>-1575000</v>
      </c>
      <c r="O132" s="435"/>
      <c r="P132" s="435">
        <f>SUM(N132:O132)</f>
        <v>-1575000</v>
      </c>
      <c r="Q132" s="435">
        <v>0</v>
      </c>
      <c r="R132" s="435"/>
      <c r="S132" s="435">
        <f t="shared" ref="S132:S142" si="139">SUM(Q132:R132)</f>
        <v>0</v>
      </c>
      <c r="T132" s="435">
        <v>0</v>
      </c>
      <c r="U132" s="435"/>
      <c r="V132" s="435">
        <f t="shared" ref="V132" si="140">SUM(T132:U132)</f>
        <v>0</v>
      </c>
      <c r="W132" s="435">
        <v>0</v>
      </c>
      <c r="X132" s="435"/>
      <c r="Y132" s="435">
        <f t="shared" ref="Y132:Y142" si="141">SUM(W132:X132)</f>
        <v>0</v>
      </c>
      <c r="AA132" s="435"/>
      <c r="AC132" s="435">
        <f>SUM(G132,J132,P132,S132,V132,Y132,AA132)</f>
        <v>-1575000</v>
      </c>
      <c r="AD132" s="435">
        <f>-AC132</f>
        <v>1575000</v>
      </c>
      <c r="AE132" s="435">
        <f>SUM(AC132:AD132)</f>
        <v>0</v>
      </c>
    </row>
    <row r="133" spans="2:31" s="423" customFormat="1">
      <c r="D133" s="434" t="s">
        <v>544</v>
      </c>
      <c r="E133" s="435">
        <v>0</v>
      </c>
      <c r="F133" s="435"/>
      <c r="G133" s="435">
        <f>SUM(E133:F133)</f>
        <v>0</v>
      </c>
      <c r="H133" s="435"/>
      <c r="I133" s="435"/>
      <c r="J133" s="435">
        <f>SUM(H133:I133)</f>
        <v>0</v>
      </c>
      <c r="K133" s="435"/>
      <c r="L133" s="435"/>
      <c r="M133" s="435">
        <f>SUM(K133:L133)</f>
        <v>0</v>
      </c>
      <c r="N133" s="435"/>
      <c r="O133" s="435"/>
      <c r="P133" s="435">
        <f>SUM(N133:O133)</f>
        <v>0</v>
      </c>
      <c r="Q133" s="435">
        <v>0</v>
      </c>
      <c r="R133" s="435"/>
      <c r="S133" s="435">
        <f>SUM(Q133:R133)</f>
        <v>0</v>
      </c>
      <c r="T133" s="435"/>
      <c r="U133" s="435"/>
      <c r="V133" s="435">
        <f>SUM(T133:U133)</f>
        <v>0</v>
      </c>
      <c r="W133" s="435"/>
      <c r="X133" s="435"/>
      <c r="Y133" s="435">
        <f>SUM(W133:X133)</f>
        <v>0</v>
      </c>
      <c r="AA133" s="435"/>
      <c r="AC133" s="435">
        <f>SUM(G133,J133,P133,S133,V133,Y133,AA133)</f>
        <v>0</v>
      </c>
      <c r="AD133" s="435"/>
      <c r="AE133" s="435">
        <f>SUM(AC133:AD133)</f>
        <v>0</v>
      </c>
    </row>
    <row r="134" spans="2:31" s="423" customFormat="1">
      <c r="D134" s="423" t="s">
        <v>545</v>
      </c>
      <c r="E134" s="435">
        <v>0</v>
      </c>
      <c r="F134" s="435"/>
      <c r="G134" s="435">
        <f>SUM(E134:F134)</f>
        <v>0</v>
      </c>
      <c r="H134" s="435">
        <v>0</v>
      </c>
      <c r="I134" s="435"/>
      <c r="J134" s="435">
        <f>SUM(H134:I134)</f>
        <v>0</v>
      </c>
      <c r="K134" s="435">
        <v>0</v>
      </c>
      <c r="L134" s="435"/>
      <c r="M134" s="435">
        <f>SUM(K134:L134)</f>
        <v>0</v>
      </c>
      <c r="N134" s="435">
        <v>0</v>
      </c>
      <c r="O134" s="435"/>
      <c r="P134" s="435">
        <f>SUM(N134:O134)</f>
        <v>0</v>
      </c>
      <c r="Q134" s="435">
        <v>0</v>
      </c>
      <c r="R134" s="435"/>
      <c r="S134" s="435">
        <f>SUM(Q134:R134)</f>
        <v>0</v>
      </c>
      <c r="T134" s="435">
        <v>0</v>
      </c>
      <c r="U134" s="435"/>
      <c r="V134" s="435">
        <f>SUM(T134:U134)</f>
        <v>0</v>
      </c>
      <c r="W134" s="435">
        <v>0</v>
      </c>
      <c r="X134" s="435"/>
      <c r="Y134" s="435">
        <f>SUM(W134:X134)</f>
        <v>0</v>
      </c>
      <c r="AA134" s="435"/>
      <c r="AC134" s="435">
        <f>SUM(G134,J134,P134,S134,V134,Y134,AA134)</f>
        <v>0</v>
      </c>
      <c r="AD134" s="435"/>
      <c r="AE134" s="435">
        <f>SUM(AC134:AD134)</f>
        <v>0</v>
      </c>
    </row>
    <row r="135" spans="2:31" s="423" customFormat="1">
      <c r="D135" s="423" t="s">
        <v>546</v>
      </c>
      <c r="E135" s="435">
        <v>-1417500000</v>
      </c>
      <c r="F135" s="435"/>
      <c r="G135" s="435">
        <f t="shared" si="137"/>
        <v>-1417500000</v>
      </c>
      <c r="H135" s="435">
        <v>0</v>
      </c>
      <c r="I135" s="435"/>
      <c r="J135" s="435">
        <f t="shared" ref="J135:J138" si="142">SUM(H135:I135)</f>
        <v>0</v>
      </c>
      <c r="K135" s="435">
        <v>0</v>
      </c>
      <c r="L135" s="435"/>
      <c r="M135" s="435">
        <f t="shared" ref="M135:M138" si="143">SUM(K135:L135)</f>
        <v>0</v>
      </c>
      <c r="N135" s="435">
        <v>0</v>
      </c>
      <c r="O135" s="435"/>
      <c r="P135" s="435">
        <f t="shared" ref="P135:P138" si="144">SUM(N135:O135)</f>
        <v>0</v>
      </c>
      <c r="Q135" s="435">
        <v>0</v>
      </c>
      <c r="R135" s="435"/>
      <c r="S135" s="435">
        <f t="shared" si="139"/>
        <v>0</v>
      </c>
      <c r="T135" s="435">
        <v>0</v>
      </c>
      <c r="U135" s="435"/>
      <c r="V135" s="435">
        <f t="shared" ref="V135:V138" si="145">SUM(T135:U135)</f>
        <v>0</v>
      </c>
      <c r="W135" s="435">
        <v>0</v>
      </c>
      <c r="X135" s="435"/>
      <c r="Y135" s="435">
        <f t="shared" si="141"/>
        <v>0</v>
      </c>
      <c r="AA135" s="435"/>
      <c r="AC135" s="435">
        <f t="shared" ref="AC135:AC142" si="146">SUM(G135,J135,P135,S135,V135,Y135,AA135)</f>
        <v>-1417500000</v>
      </c>
      <c r="AD135" s="435">
        <f>'Elimination 22'!G62</f>
        <v>1417500000</v>
      </c>
      <c r="AE135" s="435">
        <f>SUM(AC135:AD135)</f>
        <v>0</v>
      </c>
    </row>
    <row r="136" spans="2:31" s="423" customFormat="1">
      <c r="D136" s="423" t="s">
        <v>547</v>
      </c>
      <c r="E136" s="435">
        <v>0</v>
      </c>
      <c r="F136" s="435"/>
      <c r="G136" s="435">
        <f t="shared" si="137"/>
        <v>0</v>
      </c>
      <c r="H136" s="435">
        <v>0</v>
      </c>
      <c r="I136" s="435"/>
      <c r="J136" s="435">
        <f t="shared" si="142"/>
        <v>0</v>
      </c>
      <c r="K136" s="435">
        <v>0</v>
      </c>
      <c r="L136" s="435"/>
      <c r="M136" s="435">
        <f t="shared" si="143"/>
        <v>0</v>
      </c>
      <c r="N136" s="435">
        <v>0</v>
      </c>
      <c r="O136" s="435"/>
      <c r="P136" s="435">
        <f t="shared" si="144"/>
        <v>0</v>
      </c>
      <c r="Q136" s="435">
        <v>0</v>
      </c>
      <c r="R136" s="435"/>
      <c r="S136" s="435">
        <f t="shared" si="139"/>
        <v>0</v>
      </c>
      <c r="T136" s="435">
        <v>0</v>
      </c>
      <c r="U136" s="435"/>
      <c r="V136" s="435">
        <f t="shared" si="145"/>
        <v>0</v>
      </c>
      <c r="W136" s="435">
        <v>0</v>
      </c>
      <c r="X136" s="435"/>
      <c r="Y136" s="435">
        <f t="shared" si="141"/>
        <v>0</v>
      </c>
      <c r="AA136" s="435"/>
      <c r="AC136" s="435">
        <f t="shared" si="146"/>
        <v>0</v>
      </c>
      <c r="AD136" s="435">
        <f t="shared" ref="AD136" si="147">-AC136</f>
        <v>0</v>
      </c>
      <c r="AE136" s="435">
        <f t="shared" ref="AE136:AE142" si="148">SUM(AC136:AD136)</f>
        <v>0</v>
      </c>
    </row>
    <row r="137" spans="2:31" s="423" customFormat="1">
      <c r="D137" s="423" t="s">
        <v>548</v>
      </c>
      <c r="E137" s="435">
        <v>0</v>
      </c>
      <c r="F137" s="435"/>
      <c r="G137" s="435">
        <f t="shared" si="137"/>
        <v>0</v>
      </c>
      <c r="H137" s="435">
        <v>0</v>
      </c>
      <c r="I137" s="435"/>
      <c r="J137" s="435">
        <f t="shared" si="142"/>
        <v>0</v>
      </c>
      <c r="K137" s="435">
        <v>0</v>
      </c>
      <c r="L137" s="435"/>
      <c r="M137" s="435">
        <f t="shared" si="143"/>
        <v>0</v>
      </c>
      <c r="N137" s="435">
        <v>0</v>
      </c>
      <c r="O137" s="435"/>
      <c r="P137" s="435">
        <f t="shared" si="144"/>
        <v>0</v>
      </c>
      <c r="Q137" s="435"/>
      <c r="R137" s="435"/>
      <c r="S137" s="435">
        <f t="shared" si="139"/>
        <v>0</v>
      </c>
      <c r="T137" s="435">
        <v>0</v>
      </c>
      <c r="U137" s="435"/>
      <c r="V137" s="435">
        <f t="shared" si="145"/>
        <v>0</v>
      </c>
      <c r="W137" s="435">
        <v>0</v>
      </c>
      <c r="X137" s="435"/>
      <c r="Y137" s="435">
        <f t="shared" si="141"/>
        <v>0</v>
      </c>
      <c r="AA137" s="435"/>
      <c r="AC137" s="435">
        <f t="shared" si="146"/>
        <v>0</v>
      </c>
      <c r="AD137" s="435"/>
      <c r="AE137" s="435">
        <f t="shared" si="148"/>
        <v>0</v>
      </c>
    </row>
    <row r="138" spans="2:31" s="423" customFormat="1">
      <c r="D138" s="423" t="s">
        <v>549</v>
      </c>
      <c r="E138" s="435">
        <v>0</v>
      </c>
      <c r="F138" s="435"/>
      <c r="G138" s="435">
        <f t="shared" si="137"/>
        <v>0</v>
      </c>
      <c r="H138" s="435">
        <v>0</v>
      </c>
      <c r="I138" s="435"/>
      <c r="J138" s="435">
        <f t="shared" si="142"/>
        <v>0</v>
      </c>
      <c r="K138" s="435">
        <v>0</v>
      </c>
      <c r="L138" s="435"/>
      <c r="M138" s="435">
        <f t="shared" si="143"/>
        <v>0</v>
      </c>
      <c r="N138" s="435">
        <v>0</v>
      </c>
      <c r="O138" s="435"/>
      <c r="P138" s="435">
        <f t="shared" si="144"/>
        <v>0</v>
      </c>
      <c r="Q138" s="435">
        <v>0</v>
      </c>
      <c r="R138" s="435"/>
      <c r="S138" s="435">
        <f t="shared" si="139"/>
        <v>0</v>
      </c>
      <c r="T138" s="435">
        <v>0</v>
      </c>
      <c r="U138" s="435"/>
      <c r="V138" s="435">
        <f t="shared" si="145"/>
        <v>0</v>
      </c>
      <c r="W138" s="435">
        <v>0</v>
      </c>
      <c r="X138" s="435"/>
      <c r="Y138" s="435">
        <f t="shared" si="141"/>
        <v>0</v>
      </c>
      <c r="AA138" s="435"/>
      <c r="AC138" s="435">
        <f t="shared" si="146"/>
        <v>0</v>
      </c>
      <c r="AD138" s="435"/>
      <c r="AE138" s="435">
        <f t="shared" si="148"/>
        <v>0</v>
      </c>
    </row>
    <row r="139" spans="2:31" s="423" customFormat="1">
      <c r="C139" s="438" t="s">
        <v>532</v>
      </c>
      <c r="D139" s="439"/>
      <c r="E139" s="435"/>
      <c r="F139" s="435"/>
      <c r="G139" s="435"/>
      <c r="H139" s="435">
        <v>0</v>
      </c>
      <c r="I139" s="435"/>
      <c r="J139" s="435"/>
      <c r="K139" s="435">
        <v>0</v>
      </c>
      <c r="L139" s="435"/>
      <c r="M139" s="435"/>
      <c r="N139" s="435">
        <v>0</v>
      </c>
      <c r="O139" s="435"/>
      <c r="P139" s="435"/>
      <c r="Q139" s="435"/>
      <c r="R139" s="435"/>
      <c r="S139" s="435"/>
      <c r="T139" s="435">
        <v>0</v>
      </c>
      <c r="U139" s="435"/>
      <c r="V139" s="435"/>
      <c r="W139" s="435">
        <v>0</v>
      </c>
      <c r="X139" s="435"/>
      <c r="Y139" s="435"/>
      <c r="AA139" s="435"/>
      <c r="AC139" s="457"/>
      <c r="AD139" s="435"/>
      <c r="AE139" s="435"/>
    </row>
    <row r="140" spans="2:31" s="423" customFormat="1">
      <c r="D140" s="423" t="s">
        <v>550</v>
      </c>
      <c r="E140" s="435">
        <v>0</v>
      </c>
      <c r="F140" s="435"/>
      <c r="G140" s="435">
        <f t="shared" si="137"/>
        <v>0</v>
      </c>
      <c r="H140" s="435">
        <v>0</v>
      </c>
      <c r="I140" s="435"/>
      <c r="J140" s="435">
        <f t="shared" ref="J140:J142" si="149">SUM(H140:I140)</f>
        <v>0</v>
      </c>
      <c r="K140" s="435">
        <v>0</v>
      </c>
      <c r="L140" s="435"/>
      <c r="M140" s="435">
        <f t="shared" ref="M140:M142" si="150">SUM(K140:L140)</f>
        <v>0</v>
      </c>
      <c r="N140" s="435">
        <v>0</v>
      </c>
      <c r="O140" s="435"/>
      <c r="P140" s="435">
        <f t="shared" ref="P140:P142" si="151">SUM(N140:O140)</f>
        <v>0</v>
      </c>
      <c r="Q140" s="435">
        <v>0</v>
      </c>
      <c r="R140" s="435"/>
      <c r="S140" s="435">
        <f t="shared" si="139"/>
        <v>0</v>
      </c>
      <c r="T140" s="435">
        <v>0</v>
      </c>
      <c r="U140" s="435"/>
      <c r="V140" s="435">
        <f t="shared" ref="V140:V142" si="152">SUM(T140:U140)</f>
        <v>0</v>
      </c>
      <c r="W140" s="435">
        <v>0</v>
      </c>
      <c r="X140" s="435"/>
      <c r="Y140" s="435">
        <f t="shared" si="141"/>
        <v>0</v>
      </c>
      <c r="AA140" s="435"/>
      <c r="AC140" s="435">
        <f t="shared" si="146"/>
        <v>0</v>
      </c>
      <c r="AD140" s="435"/>
      <c r="AE140" s="435">
        <f t="shared" si="148"/>
        <v>0</v>
      </c>
    </row>
    <row r="141" spans="2:31" s="423" customFormat="1">
      <c r="D141" s="423" t="s">
        <v>551</v>
      </c>
      <c r="E141" s="435">
        <v>0</v>
      </c>
      <c r="F141" s="435"/>
      <c r="G141" s="435">
        <f t="shared" si="137"/>
        <v>0</v>
      </c>
      <c r="H141" s="435">
        <v>0</v>
      </c>
      <c r="I141" s="435"/>
      <c r="J141" s="435">
        <f t="shared" si="149"/>
        <v>0</v>
      </c>
      <c r="K141" s="435">
        <v>0</v>
      </c>
      <c r="L141" s="435"/>
      <c r="M141" s="435">
        <f t="shared" si="150"/>
        <v>0</v>
      </c>
      <c r="N141" s="435">
        <v>0</v>
      </c>
      <c r="O141" s="435"/>
      <c r="P141" s="435">
        <f t="shared" si="151"/>
        <v>0</v>
      </c>
      <c r="Q141" s="435">
        <v>0</v>
      </c>
      <c r="R141" s="435"/>
      <c r="S141" s="435">
        <f t="shared" si="139"/>
        <v>0</v>
      </c>
      <c r="T141" s="435">
        <v>0</v>
      </c>
      <c r="U141" s="435"/>
      <c r="V141" s="435">
        <f t="shared" si="152"/>
        <v>0</v>
      </c>
      <c r="W141" s="435">
        <v>0</v>
      </c>
      <c r="X141" s="435"/>
      <c r="Y141" s="435">
        <f t="shared" si="141"/>
        <v>0</v>
      </c>
      <c r="AA141" s="435"/>
      <c r="AC141" s="435">
        <f t="shared" si="146"/>
        <v>0</v>
      </c>
      <c r="AD141" s="435"/>
      <c r="AE141" s="435">
        <f t="shared" si="148"/>
        <v>0</v>
      </c>
    </row>
    <row r="142" spans="2:31" s="423" customFormat="1">
      <c r="D142" s="423" t="s">
        <v>552</v>
      </c>
      <c r="E142" s="435">
        <v>0</v>
      </c>
      <c r="F142" s="435"/>
      <c r="G142" s="435">
        <f t="shared" si="137"/>
        <v>0</v>
      </c>
      <c r="H142" s="435">
        <v>0</v>
      </c>
      <c r="I142" s="435"/>
      <c r="J142" s="435">
        <f t="shared" si="149"/>
        <v>0</v>
      </c>
      <c r="K142" s="435">
        <v>0</v>
      </c>
      <c r="L142" s="435"/>
      <c r="M142" s="435">
        <f t="shared" si="150"/>
        <v>0</v>
      </c>
      <c r="N142" s="435">
        <v>0</v>
      </c>
      <c r="O142" s="435"/>
      <c r="P142" s="435">
        <f t="shared" si="151"/>
        <v>0</v>
      </c>
      <c r="Q142" s="435">
        <v>0</v>
      </c>
      <c r="R142" s="435"/>
      <c r="S142" s="435">
        <f t="shared" si="139"/>
        <v>0</v>
      </c>
      <c r="T142" s="435">
        <v>0</v>
      </c>
      <c r="U142" s="435"/>
      <c r="V142" s="435">
        <f t="shared" si="152"/>
        <v>0</v>
      </c>
      <c r="W142" s="435">
        <v>0</v>
      </c>
      <c r="X142" s="435"/>
      <c r="Y142" s="435">
        <f t="shared" si="141"/>
        <v>0</v>
      </c>
      <c r="AA142" s="435"/>
      <c r="AC142" s="435">
        <f t="shared" si="146"/>
        <v>0</v>
      </c>
      <c r="AD142" s="435"/>
      <c r="AE142" s="435">
        <f t="shared" si="148"/>
        <v>0</v>
      </c>
    </row>
    <row r="143" spans="2:31" s="423" customFormat="1">
      <c r="B143" s="417"/>
      <c r="C143" s="417"/>
      <c r="D143" s="417"/>
      <c r="E143" s="435"/>
      <c r="F143" s="435"/>
      <c r="G143" s="435"/>
      <c r="H143" s="435"/>
      <c r="I143" s="435"/>
      <c r="J143" s="435"/>
      <c r="K143" s="435"/>
      <c r="L143" s="435"/>
      <c r="M143" s="435"/>
      <c r="N143" s="435"/>
      <c r="O143" s="435"/>
      <c r="P143" s="435"/>
      <c r="Q143" s="435"/>
      <c r="R143" s="435"/>
      <c r="S143" s="435"/>
      <c r="T143" s="435"/>
      <c r="U143" s="435"/>
      <c r="V143" s="435"/>
      <c r="W143" s="435"/>
      <c r="X143" s="435"/>
      <c r="Y143" s="435"/>
      <c r="AA143" s="417"/>
      <c r="AC143" s="417"/>
      <c r="AD143" s="417"/>
      <c r="AE143" s="417"/>
    </row>
    <row r="144" spans="2:31" s="417" customFormat="1" ht="13.5" thickBot="1">
      <c r="E144" s="458">
        <f t="shared" ref="E144:Y144" si="153">SUM(E132:E142)</f>
        <v>-1417500000</v>
      </c>
      <c r="F144" s="458">
        <f t="shared" si="153"/>
        <v>0</v>
      </c>
      <c r="G144" s="458">
        <f t="shared" si="153"/>
        <v>-1417500000</v>
      </c>
      <c r="H144" s="458">
        <f t="shared" si="153"/>
        <v>0</v>
      </c>
      <c r="I144" s="458">
        <f t="shared" si="153"/>
        <v>0</v>
      </c>
      <c r="J144" s="458">
        <f t="shared" si="153"/>
        <v>0</v>
      </c>
      <c r="K144" s="458">
        <f t="shared" si="153"/>
        <v>-10458127901.502899</v>
      </c>
      <c r="L144" s="458">
        <f t="shared" si="153"/>
        <v>0</v>
      </c>
      <c r="M144" s="458">
        <f t="shared" si="153"/>
        <v>0</v>
      </c>
      <c r="N144" s="458">
        <f t="shared" si="153"/>
        <v>-1575000</v>
      </c>
      <c r="O144" s="458">
        <f t="shared" si="153"/>
        <v>0</v>
      </c>
      <c r="P144" s="458">
        <f t="shared" si="153"/>
        <v>-1575000</v>
      </c>
      <c r="Q144" s="458">
        <f t="shared" si="153"/>
        <v>0</v>
      </c>
      <c r="R144" s="458">
        <f t="shared" si="153"/>
        <v>0</v>
      </c>
      <c r="S144" s="458">
        <f t="shared" si="153"/>
        <v>0</v>
      </c>
      <c r="T144" s="458">
        <f t="shared" si="153"/>
        <v>0</v>
      </c>
      <c r="U144" s="458">
        <f t="shared" si="153"/>
        <v>0</v>
      </c>
      <c r="V144" s="458">
        <f t="shared" si="153"/>
        <v>0</v>
      </c>
      <c r="W144" s="458">
        <f t="shared" si="153"/>
        <v>0</v>
      </c>
      <c r="X144" s="458">
        <f t="shared" si="153"/>
        <v>0</v>
      </c>
      <c r="Y144" s="458">
        <f t="shared" si="153"/>
        <v>0</v>
      </c>
      <c r="AA144" s="458">
        <f>SUM(AA132:AA142)</f>
        <v>0</v>
      </c>
      <c r="AC144" s="458">
        <f>SUM(AC132:AC142)</f>
        <v>-1419075000</v>
      </c>
      <c r="AD144" s="458">
        <f>SUM(AD132:AD142)</f>
        <v>1419075000</v>
      </c>
      <c r="AE144" s="458">
        <f>SUM(AE132:AE142)</f>
        <v>0</v>
      </c>
    </row>
    <row r="145" spans="2:31" s="417" customFormat="1" ht="13.5" thickTop="1">
      <c r="E145" s="443"/>
      <c r="F145" s="443"/>
      <c r="G145" s="443"/>
      <c r="H145" s="443"/>
      <c r="I145" s="443"/>
      <c r="J145" s="443"/>
      <c r="K145" s="443"/>
      <c r="L145" s="443"/>
      <c r="M145" s="443"/>
      <c r="N145" s="443"/>
      <c r="O145" s="443"/>
      <c r="P145" s="443"/>
      <c r="Q145" s="443"/>
      <c r="R145" s="443"/>
      <c r="S145" s="443"/>
      <c r="T145" s="443"/>
      <c r="U145" s="443"/>
      <c r="V145" s="443"/>
      <c r="W145" s="443"/>
      <c r="X145" s="443"/>
      <c r="Y145" s="443"/>
      <c r="AA145" s="443"/>
      <c r="AC145" s="443"/>
      <c r="AD145" s="443"/>
      <c r="AE145" s="443"/>
    </row>
    <row r="146" spans="2:31" s="417" customFormat="1" ht="13">
      <c r="D146" s="445" t="s">
        <v>435</v>
      </c>
      <c r="E146" s="446">
        <f>'Consol SoFP 23 &amp; 22'!AG61</f>
        <v>-1417500000</v>
      </c>
      <c r="F146" s="446"/>
      <c r="G146" s="446">
        <f>'Consol SoFP 23 &amp; 22'!AJ61</f>
        <v>-1417500000</v>
      </c>
      <c r="H146" s="446">
        <f>'Consol SoFP 23 &amp; 22'!AK61</f>
        <v>0</v>
      </c>
      <c r="I146" s="446">
        <f>'Consol SoFP 23 &amp; 22'!AL61</f>
        <v>0</v>
      </c>
      <c r="J146" s="446">
        <f>'Consol SoFP 23 &amp; 22'!AM61</f>
        <v>0</v>
      </c>
      <c r="K146" s="446">
        <f>'Consol SoFP 23 &amp; 22'!AK61</f>
        <v>0</v>
      </c>
      <c r="L146" s="446">
        <f>'Consol SoFP 23 &amp; 22'!AL61</f>
        <v>0</v>
      </c>
      <c r="M146" s="446">
        <f>'Consol SoFP 23 &amp; 22'!AM61</f>
        <v>0</v>
      </c>
      <c r="N146" s="446">
        <f>'Consol SoFP 23 &amp; 22'!AN61</f>
        <v>-1575000</v>
      </c>
      <c r="O146" s="446">
        <f>'Consol SoFP 23 &amp; 22'!AO61</f>
        <v>0</v>
      </c>
      <c r="P146" s="446">
        <f>'Consol SoFP 23 &amp; 22'!AP61</f>
        <v>-1575000</v>
      </c>
      <c r="Q146" s="446">
        <f>'Consol SoFP 23 &amp; 22'!AQ61</f>
        <v>0</v>
      </c>
      <c r="R146" s="446">
        <f>'Consol SoFP 23 &amp; 22'!AR61</f>
        <v>0</v>
      </c>
      <c r="S146" s="446">
        <f>'Consol SoFP 23 &amp; 22'!AS61</f>
        <v>0</v>
      </c>
      <c r="T146" s="446">
        <f>'Consol SoFP 23 &amp; 22'!AT61</f>
        <v>0</v>
      </c>
      <c r="U146" s="446">
        <f>'Consol SoFP 23 &amp; 22'!AU61</f>
        <v>0</v>
      </c>
      <c r="V146" s="446">
        <f>'Consol SoFP 23 &amp; 22'!AV61</f>
        <v>0</v>
      </c>
      <c r="W146" s="446">
        <f>'Consol SoFP 23 &amp; 22'!AW61</f>
        <v>0</v>
      </c>
      <c r="X146" s="446">
        <f>'Consol SoFP 23 &amp; 22'!AX61</f>
        <v>0</v>
      </c>
      <c r="Y146" s="446">
        <f>'Consol SoFP 23 &amp; 22'!AY61</f>
        <v>0</v>
      </c>
      <c r="AA146" s="204">
        <v>0</v>
      </c>
      <c r="AC146" s="204">
        <f>'Consol SoFP 23 &amp; 22'!BC61</f>
        <v>-1419075000</v>
      </c>
      <c r="AD146" s="204">
        <f>SUM('Consol SoFP 23 &amp; 22'!BD61:BE61)</f>
        <v>1419075000</v>
      </c>
      <c r="AE146" s="204">
        <f>'Consol SoFP 23 &amp; 22'!BF61</f>
        <v>0</v>
      </c>
    </row>
    <row r="147" spans="2:31" s="417" customFormat="1" ht="13">
      <c r="D147" s="445" t="s">
        <v>111</v>
      </c>
      <c r="E147" s="442">
        <f>ROUND(E144-E146,0)</f>
        <v>0</v>
      </c>
      <c r="F147" s="442"/>
      <c r="G147" s="442">
        <f>ROUND(G144-G146,0)</f>
        <v>0</v>
      </c>
      <c r="H147" s="442">
        <f t="shared" ref="H147" si="154">H144-H146</f>
        <v>0</v>
      </c>
      <c r="I147" s="442"/>
      <c r="J147" s="442">
        <f t="shared" ref="J147:K147" si="155">J144-J146</f>
        <v>0</v>
      </c>
      <c r="K147" s="442">
        <f t="shared" si="155"/>
        <v>-10458127901.502899</v>
      </c>
      <c r="L147" s="442"/>
      <c r="M147" s="442">
        <f t="shared" ref="M147:N147" si="156">M144-M146</f>
        <v>0</v>
      </c>
      <c r="N147" s="442">
        <f t="shared" si="156"/>
        <v>0</v>
      </c>
      <c r="O147" s="442"/>
      <c r="P147" s="442">
        <f t="shared" ref="P147" si="157">P144-P146</f>
        <v>0</v>
      </c>
      <c r="Q147" s="442">
        <f t="shared" ref="Q147:S147" si="158">ROUND(Q144-Q146,0)</f>
        <v>0</v>
      </c>
      <c r="R147" s="442">
        <f t="shared" si="158"/>
        <v>0</v>
      </c>
      <c r="S147" s="442">
        <f t="shared" si="158"/>
        <v>0</v>
      </c>
      <c r="T147" s="442">
        <f t="shared" ref="T147" si="159">T144-T146</f>
        <v>0</v>
      </c>
      <c r="U147" s="442"/>
      <c r="V147" s="442">
        <f t="shared" ref="V147:W147" si="160">V144-V146</f>
        <v>0</v>
      </c>
      <c r="W147" s="442">
        <f t="shared" si="160"/>
        <v>0</v>
      </c>
      <c r="X147" s="442"/>
      <c r="Y147" s="442">
        <f t="shared" ref="Y147" si="161">Y144-Y146</f>
        <v>0</v>
      </c>
      <c r="AA147" s="442">
        <f t="shared" ref="AA147" si="162">AA144-AA146</f>
        <v>0</v>
      </c>
      <c r="AC147" s="442">
        <f>ROUND(AC144-AC146,0)</f>
        <v>0</v>
      </c>
      <c r="AD147" s="442">
        <f t="shared" ref="AD147:AE147" si="163">ROUND(AD144-AD146,0)</f>
        <v>0</v>
      </c>
      <c r="AE147" s="442">
        <f t="shared" si="163"/>
        <v>0</v>
      </c>
    </row>
    <row r="148" spans="2:31" s="417" customFormat="1" ht="13">
      <c r="D148" s="445"/>
      <c r="E148" s="443"/>
      <c r="F148" s="443"/>
      <c r="G148" s="443"/>
      <c r="H148" s="443"/>
      <c r="I148" s="443"/>
      <c r="J148" s="443"/>
      <c r="K148" s="443"/>
      <c r="L148" s="443"/>
      <c r="M148" s="443"/>
      <c r="N148" s="443"/>
      <c r="O148" s="443"/>
      <c r="P148" s="443"/>
      <c r="Q148" s="443"/>
      <c r="R148" s="443"/>
      <c r="S148" s="443"/>
      <c r="T148" s="443"/>
      <c r="U148" s="443"/>
      <c r="V148" s="443"/>
      <c r="W148" s="443"/>
      <c r="X148" s="443"/>
      <c r="Y148" s="443"/>
      <c r="AA148" s="443"/>
      <c r="AC148" s="443"/>
      <c r="AD148" s="443"/>
      <c r="AE148" s="443"/>
    </row>
    <row r="149" spans="2:31" s="417" customFormat="1" ht="13" thickBot="1">
      <c r="B149" s="447"/>
      <c r="C149" s="447"/>
      <c r="D149" s="447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AA149" s="447"/>
      <c r="AC149" s="447"/>
      <c r="AD149" s="447"/>
      <c r="AE149" s="447"/>
    </row>
    <row r="150" spans="2:31" s="417" customFormat="1" ht="13">
      <c r="B150" s="414" t="s">
        <v>447</v>
      </c>
    </row>
    <row r="151" spans="2:31" s="417" customFormat="1" ht="13">
      <c r="B151" s="423"/>
      <c r="C151" s="423"/>
      <c r="D151" s="423"/>
      <c r="E151" s="428" t="s">
        <v>426</v>
      </c>
      <c r="F151" s="428" t="s">
        <v>334</v>
      </c>
      <c r="G151" s="428" t="s">
        <v>427</v>
      </c>
      <c r="H151" s="428" t="s">
        <v>426</v>
      </c>
      <c r="I151" s="428" t="s">
        <v>334</v>
      </c>
      <c r="J151" s="428" t="s">
        <v>427</v>
      </c>
      <c r="K151" s="428" t="s">
        <v>426</v>
      </c>
      <c r="L151" s="428" t="s">
        <v>334</v>
      </c>
      <c r="M151" s="428" t="s">
        <v>427</v>
      </c>
      <c r="N151" s="428" t="s">
        <v>426</v>
      </c>
      <c r="O151" s="428" t="s">
        <v>334</v>
      </c>
      <c r="P151" s="428" t="s">
        <v>427</v>
      </c>
      <c r="Q151" s="428" t="s">
        <v>426</v>
      </c>
      <c r="R151" s="428" t="s">
        <v>334</v>
      </c>
      <c r="S151" s="428" t="s">
        <v>427</v>
      </c>
      <c r="T151" s="428" t="s">
        <v>426</v>
      </c>
      <c r="U151" s="428" t="s">
        <v>334</v>
      </c>
      <c r="V151" s="428" t="s">
        <v>427</v>
      </c>
      <c r="W151" s="428" t="s">
        <v>426</v>
      </c>
      <c r="X151" s="428" t="s">
        <v>334</v>
      </c>
      <c r="Y151" s="428" t="s">
        <v>427</v>
      </c>
      <c r="AA151" s="428" t="s">
        <v>428</v>
      </c>
      <c r="AC151" s="428" t="s">
        <v>11</v>
      </c>
      <c r="AD151" s="428" t="s">
        <v>429</v>
      </c>
      <c r="AE151" s="428" t="s">
        <v>13</v>
      </c>
    </row>
    <row r="152" spans="2:31" s="417" customFormat="1" ht="13">
      <c r="B152" s="423"/>
      <c r="C152" s="423"/>
      <c r="D152" s="423"/>
      <c r="E152" s="429">
        <v>44926</v>
      </c>
      <c r="F152" s="429"/>
      <c r="G152" s="429">
        <v>44926</v>
      </c>
      <c r="H152" s="429">
        <v>44926</v>
      </c>
      <c r="I152" s="429"/>
      <c r="J152" s="429">
        <v>44926</v>
      </c>
      <c r="K152" s="429">
        <v>44926</v>
      </c>
      <c r="L152" s="429"/>
      <c r="M152" s="429">
        <v>44926</v>
      </c>
      <c r="N152" s="429">
        <v>44926</v>
      </c>
      <c r="O152" s="429"/>
      <c r="P152" s="429">
        <v>44926</v>
      </c>
      <c r="Q152" s="429">
        <v>44926</v>
      </c>
      <c r="R152" s="429"/>
      <c r="S152" s="429">
        <v>44926</v>
      </c>
      <c r="T152" s="429">
        <v>44926</v>
      </c>
      <c r="U152" s="429"/>
      <c r="V152" s="429">
        <v>44926</v>
      </c>
      <c r="W152" s="429">
        <v>44926</v>
      </c>
      <c r="X152" s="429"/>
      <c r="Y152" s="429">
        <v>44926</v>
      </c>
      <c r="AA152" s="429">
        <v>44926</v>
      </c>
      <c r="AC152" s="429">
        <v>44926</v>
      </c>
      <c r="AD152" s="429">
        <v>44926</v>
      </c>
      <c r="AE152" s="429">
        <v>44926</v>
      </c>
    </row>
    <row r="154" spans="2:31" s="423" customFormat="1">
      <c r="C154" s="423" t="s">
        <v>543</v>
      </c>
      <c r="D154" s="434"/>
      <c r="E154" s="435">
        <v>0</v>
      </c>
      <c r="F154" s="435"/>
      <c r="G154" s="435">
        <f>SUM(E154:F154)</f>
        <v>0</v>
      </c>
      <c r="H154" s="435">
        <v>0</v>
      </c>
      <c r="I154" s="435"/>
      <c r="J154" s="435">
        <f>SUM(H154:I154)</f>
        <v>0</v>
      </c>
      <c r="K154" s="435">
        <v>0</v>
      </c>
      <c r="L154" s="435"/>
      <c r="M154" s="435">
        <f>SUM(K154:L154)</f>
        <v>0</v>
      </c>
      <c r="N154" s="435">
        <v>0</v>
      </c>
      <c r="O154" s="435"/>
      <c r="P154" s="435">
        <f>SUM(N154:O154)</f>
        <v>0</v>
      </c>
      <c r="Q154" s="435">
        <v>0</v>
      </c>
      <c r="R154" s="435"/>
      <c r="S154" s="435">
        <f>SUM(Q154:R154)</f>
        <v>0</v>
      </c>
      <c r="T154" s="435">
        <f>-1141592593*1.575</f>
        <v>-1798008333.9749999</v>
      </c>
      <c r="U154" s="435"/>
      <c r="V154" s="435">
        <f>SUM(T154:U154)</f>
        <v>-1798008333.9749999</v>
      </c>
      <c r="W154" s="435">
        <v>0</v>
      </c>
      <c r="X154" s="435"/>
      <c r="Y154" s="435">
        <f>SUM(W154:X154)</f>
        <v>0</v>
      </c>
      <c r="Z154" s="435">
        <v>0</v>
      </c>
      <c r="AA154" s="435">
        <v>0</v>
      </c>
      <c r="AB154" s="435">
        <v>0</v>
      </c>
      <c r="AC154" s="435">
        <f>SUM(G154,J154,P154,S154,V154,Y154,AA154)</f>
        <v>-1798008333.9749999</v>
      </c>
      <c r="AD154" s="435">
        <f>'Elimination 22'!G71</f>
        <v>1798008334</v>
      </c>
      <c r="AE154" s="435">
        <f>SUM(AC154:AD154)</f>
        <v>2.5000095367431641E-2</v>
      </c>
    </row>
    <row r="155" spans="2:31" s="423" customFormat="1">
      <c r="D155" s="434" t="s">
        <v>544</v>
      </c>
      <c r="E155" s="435">
        <v>0</v>
      </c>
      <c r="F155" s="435"/>
      <c r="G155" s="435">
        <f>SUM(E155:F155)</f>
        <v>0</v>
      </c>
      <c r="H155" s="435">
        <v>0</v>
      </c>
      <c r="I155" s="435"/>
      <c r="J155" s="435">
        <f>SUM(H155:I155)</f>
        <v>0</v>
      </c>
      <c r="K155" s="435">
        <v>0</v>
      </c>
      <c r="L155" s="435"/>
      <c r="M155" s="435">
        <f>SUM(K155:L155)</f>
        <v>0</v>
      </c>
      <c r="N155" s="435">
        <v>0</v>
      </c>
      <c r="O155" s="435"/>
      <c r="P155" s="435">
        <f>SUM(N155:O155)</f>
        <v>0</v>
      </c>
      <c r="Q155" s="435">
        <v>0</v>
      </c>
      <c r="R155" s="435"/>
      <c r="S155" s="435">
        <f>SUM(Q155:R155)</f>
        <v>0</v>
      </c>
      <c r="T155" s="435">
        <v>0</v>
      </c>
      <c r="U155" s="435"/>
      <c r="V155" s="435">
        <f>SUM(T155:U155)</f>
        <v>0</v>
      </c>
      <c r="W155" s="435">
        <v>0</v>
      </c>
      <c r="X155" s="435"/>
      <c r="Y155" s="435">
        <f>SUM(W155:X155)</f>
        <v>0</v>
      </c>
      <c r="Z155" s="435">
        <v>0</v>
      </c>
      <c r="AA155" s="435">
        <v>0</v>
      </c>
      <c r="AB155" s="435">
        <v>0</v>
      </c>
      <c r="AC155" s="435">
        <f>SUM(G155,J155,P155,S155,V155,Y155,AA155)</f>
        <v>0</v>
      </c>
      <c r="AD155" s="435"/>
      <c r="AE155" s="435">
        <f>-AD155</f>
        <v>0</v>
      </c>
    </row>
    <row r="156" spans="2:31" s="423" customFormat="1">
      <c r="D156" s="423" t="s">
        <v>545</v>
      </c>
      <c r="E156" s="435">
        <v>0</v>
      </c>
      <c r="F156" s="435"/>
      <c r="G156" s="435">
        <f>SUM(E156:F156)</f>
        <v>0</v>
      </c>
      <c r="H156" s="435">
        <v>0</v>
      </c>
      <c r="I156" s="435"/>
      <c r="J156" s="435">
        <f>SUM(H156:I156)</f>
        <v>0</v>
      </c>
      <c r="K156" s="435">
        <v>0</v>
      </c>
      <c r="L156" s="435"/>
      <c r="M156" s="435">
        <f>SUM(K156:L156)</f>
        <v>0</v>
      </c>
      <c r="N156" s="435">
        <v>0</v>
      </c>
      <c r="O156" s="435"/>
      <c r="P156" s="435">
        <f>SUM(N156:O156)</f>
        <v>0</v>
      </c>
      <c r="Q156" s="435">
        <v>0</v>
      </c>
      <c r="R156" s="435"/>
      <c r="S156" s="435">
        <f>SUM(Q156:R156)</f>
        <v>0</v>
      </c>
      <c r="T156" s="435">
        <v>0</v>
      </c>
      <c r="U156" s="435"/>
      <c r="V156" s="435">
        <f>SUM(T156:U156)</f>
        <v>0</v>
      </c>
      <c r="W156" s="435">
        <v>0</v>
      </c>
      <c r="X156" s="435"/>
      <c r="Y156" s="435">
        <f>SUM(W156:X156)</f>
        <v>0</v>
      </c>
      <c r="Z156" s="435">
        <v>0</v>
      </c>
      <c r="AA156" s="435">
        <v>0</v>
      </c>
      <c r="AB156" s="435">
        <v>0</v>
      </c>
      <c r="AC156" s="435">
        <f>SUM(G156,J156,P156,S156,V156,Y156,AA156)</f>
        <v>0</v>
      </c>
      <c r="AD156" s="435"/>
      <c r="AE156" s="435">
        <f>-AD156</f>
        <v>0</v>
      </c>
    </row>
    <row r="157" spans="2:31" s="423" customFormat="1">
      <c r="D157" s="423" t="s">
        <v>546</v>
      </c>
      <c r="E157" s="435">
        <v>0</v>
      </c>
      <c r="F157" s="435"/>
      <c r="G157" s="435">
        <f t="shared" ref="G157:G165" si="164">SUM(E157:F157)</f>
        <v>0</v>
      </c>
      <c r="H157" s="435">
        <v>0</v>
      </c>
      <c r="I157" s="435"/>
      <c r="J157" s="435">
        <f t="shared" ref="J157:J160" si="165">SUM(H157:I157)</f>
        <v>0</v>
      </c>
      <c r="K157" s="435">
        <v>0</v>
      </c>
      <c r="L157" s="435"/>
      <c r="M157" s="435">
        <f t="shared" ref="M157:M160" si="166">SUM(K157:L157)</f>
        <v>0</v>
      </c>
      <c r="N157" s="435">
        <v>0</v>
      </c>
      <c r="O157" s="435"/>
      <c r="P157" s="435">
        <f t="shared" ref="P157:P160" si="167">SUM(N157:O157)</f>
        <v>0</v>
      </c>
      <c r="Q157" s="435">
        <v>0</v>
      </c>
      <c r="R157" s="435"/>
      <c r="S157" s="435">
        <f t="shared" ref="S157:S165" si="168">SUM(Q157:R157)</f>
        <v>0</v>
      </c>
      <c r="T157" s="435">
        <v>0</v>
      </c>
      <c r="U157" s="435"/>
      <c r="V157" s="435">
        <f t="shared" ref="V157:V160" si="169">SUM(T157:U157)</f>
        <v>0</v>
      </c>
      <c r="W157" s="435">
        <v>0</v>
      </c>
      <c r="X157" s="435"/>
      <c r="Y157" s="435">
        <f t="shared" ref="Y157:Y165" si="170">SUM(W157:X157)</f>
        <v>0</v>
      </c>
      <c r="Z157" s="435">
        <v>0</v>
      </c>
      <c r="AA157" s="435">
        <v>0</v>
      </c>
      <c r="AB157" s="435">
        <v>0</v>
      </c>
      <c r="AC157" s="435">
        <f t="shared" ref="AC157:AC165" si="171">SUM(G157,J157,P157,S157,V157,Y157,AA157)</f>
        <v>0</v>
      </c>
      <c r="AD157" s="435"/>
      <c r="AE157" s="435">
        <f t="shared" ref="AE157:AE158" si="172">SUM(AC157:AD157)</f>
        <v>0</v>
      </c>
    </row>
    <row r="158" spans="2:31" s="423" customFormat="1">
      <c r="D158" s="423" t="s">
        <v>547</v>
      </c>
      <c r="E158" s="435">
        <v>0</v>
      </c>
      <c r="F158" s="435"/>
      <c r="G158" s="435">
        <f t="shared" si="164"/>
        <v>0</v>
      </c>
      <c r="H158" s="435">
        <v>0</v>
      </c>
      <c r="I158" s="435"/>
      <c r="J158" s="435">
        <f t="shared" si="165"/>
        <v>0</v>
      </c>
      <c r="K158" s="435">
        <v>0</v>
      </c>
      <c r="L158" s="435"/>
      <c r="M158" s="435">
        <f t="shared" si="166"/>
        <v>0</v>
      </c>
      <c r="N158" s="435">
        <v>0</v>
      </c>
      <c r="O158" s="435"/>
      <c r="P158" s="435">
        <f t="shared" si="167"/>
        <v>0</v>
      </c>
      <c r="Q158" s="435">
        <v>0</v>
      </c>
      <c r="R158" s="435"/>
      <c r="S158" s="435">
        <f t="shared" si="168"/>
        <v>0</v>
      </c>
      <c r="T158" s="435">
        <v>0</v>
      </c>
      <c r="U158" s="435"/>
      <c r="V158" s="435">
        <f t="shared" si="169"/>
        <v>0</v>
      </c>
      <c r="W158" s="435">
        <v>0</v>
      </c>
      <c r="X158" s="435"/>
      <c r="Y158" s="435">
        <f t="shared" si="170"/>
        <v>0</v>
      </c>
      <c r="Z158" s="435">
        <v>0</v>
      </c>
      <c r="AA158" s="435">
        <v>0</v>
      </c>
      <c r="AB158" s="435">
        <v>0</v>
      </c>
      <c r="AC158" s="435">
        <f t="shared" si="171"/>
        <v>0</v>
      </c>
      <c r="AD158" s="435"/>
      <c r="AE158" s="435">
        <f t="shared" si="172"/>
        <v>0</v>
      </c>
    </row>
    <row r="159" spans="2:31" s="423" customFormat="1">
      <c r="D159" s="423" t="s">
        <v>548</v>
      </c>
      <c r="E159" s="435">
        <v>0</v>
      </c>
      <c r="F159" s="435"/>
      <c r="G159" s="435">
        <f t="shared" si="164"/>
        <v>0</v>
      </c>
      <c r="H159" s="435">
        <v>0</v>
      </c>
      <c r="I159" s="435"/>
      <c r="J159" s="435">
        <f t="shared" si="165"/>
        <v>0</v>
      </c>
      <c r="K159" s="435">
        <v>0</v>
      </c>
      <c r="L159" s="435"/>
      <c r="M159" s="435">
        <f t="shared" si="166"/>
        <v>0</v>
      </c>
      <c r="N159" s="435">
        <v>0</v>
      </c>
      <c r="O159" s="435"/>
      <c r="P159" s="435">
        <f t="shared" si="167"/>
        <v>0</v>
      </c>
      <c r="Q159" s="435">
        <v>0</v>
      </c>
      <c r="R159" s="435"/>
      <c r="S159" s="435">
        <f t="shared" si="168"/>
        <v>0</v>
      </c>
      <c r="T159" s="435">
        <v>0</v>
      </c>
      <c r="U159" s="435"/>
      <c r="V159" s="435">
        <f t="shared" si="169"/>
        <v>0</v>
      </c>
      <c r="W159" s="435">
        <v>0</v>
      </c>
      <c r="X159" s="435"/>
      <c r="Y159" s="435">
        <f t="shared" si="170"/>
        <v>0</v>
      </c>
      <c r="Z159" s="435">
        <v>0</v>
      </c>
      <c r="AA159" s="435">
        <v>0</v>
      </c>
      <c r="AB159" s="435">
        <v>0</v>
      </c>
      <c r="AC159" s="435">
        <f t="shared" si="171"/>
        <v>0</v>
      </c>
      <c r="AD159" s="435"/>
      <c r="AE159" s="435">
        <f t="shared" ref="AE159:AE160" si="173">-AD159</f>
        <v>0</v>
      </c>
    </row>
    <row r="160" spans="2:31" s="423" customFormat="1">
      <c r="D160" s="423" t="s">
        <v>549</v>
      </c>
      <c r="E160" s="435">
        <v>0</v>
      </c>
      <c r="F160" s="435"/>
      <c r="G160" s="435">
        <f t="shared" si="164"/>
        <v>0</v>
      </c>
      <c r="H160" s="435">
        <v>0</v>
      </c>
      <c r="I160" s="435"/>
      <c r="J160" s="435">
        <f t="shared" si="165"/>
        <v>0</v>
      </c>
      <c r="K160" s="435">
        <v>0</v>
      </c>
      <c r="L160" s="435"/>
      <c r="M160" s="435">
        <f t="shared" si="166"/>
        <v>0</v>
      </c>
      <c r="N160" s="435">
        <v>0</v>
      </c>
      <c r="O160" s="435"/>
      <c r="P160" s="435">
        <f t="shared" si="167"/>
        <v>0</v>
      </c>
      <c r="Q160" s="435">
        <v>0</v>
      </c>
      <c r="R160" s="435"/>
      <c r="S160" s="435">
        <f t="shared" si="168"/>
        <v>0</v>
      </c>
      <c r="T160" s="435">
        <v>0</v>
      </c>
      <c r="U160" s="435"/>
      <c r="V160" s="435">
        <f t="shared" si="169"/>
        <v>0</v>
      </c>
      <c r="W160" s="435">
        <v>0</v>
      </c>
      <c r="X160" s="435"/>
      <c r="Y160" s="435">
        <f t="shared" si="170"/>
        <v>0</v>
      </c>
      <c r="Z160" s="435">
        <v>0</v>
      </c>
      <c r="AA160" s="435">
        <v>0</v>
      </c>
      <c r="AB160" s="435">
        <v>0</v>
      </c>
      <c r="AC160" s="435">
        <f t="shared" si="171"/>
        <v>0</v>
      </c>
      <c r="AD160" s="435"/>
      <c r="AE160" s="435">
        <f t="shared" si="173"/>
        <v>0</v>
      </c>
    </row>
    <row r="161" spans="2:31" s="423" customFormat="1">
      <c r="C161" s="438" t="s">
        <v>532</v>
      </c>
      <c r="D161" s="439"/>
      <c r="E161" s="435"/>
      <c r="F161" s="435"/>
      <c r="G161" s="435"/>
      <c r="H161" s="435"/>
      <c r="I161" s="435"/>
      <c r="J161" s="435"/>
      <c r="K161" s="435"/>
      <c r="L161" s="435"/>
      <c r="M161" s="435"/>
      <c r="N161" s="435"/>
      <c r="O161" s="435"/>
      <c r="P161" s="435"/>
      <c r="Q161" s="435"/>
      <c r="R161" s="435"/>
      <c r="S161" s="435"/>
      <c r="T161" s="435"/>
      <c r="U161" s="435"/>
      <c r="V161" s="435"/>
      <c r="W161" s="435"/>
      <c r="X161" s="435"/>
      <c r="Y161" s="435"/>
      <c r="Z161" s="435"/>
      <c r="AA161" s="435"/>
      <c r="AB161" s="435"/>
      <c r="AC161" s="457"/>
      <c r="AD161" s="435"/>
      <c r="AE161" s="435"/>
    </row>
    <row r="162" spans="2:31" s="423" customFormat="1">
      <c r="D162" s="423" t="s">
        <v>550</v>
      </c>
      <c r="E162" s="435">
        <v>0</v>
      </c>
      <c r="F162" s="435"/>
      <c r="G162" s="435">
        <f t="shared" si="164"/>
        <v>0</v>
      </c>
      <c r="H162" s="435">
        <v>0</v>
      </c>
      <c r="I162" s="435"/>
      <c r="J162" s="435">
        <f t="shared" ref="J162:J165" si="174">SUM(H162:I162)</f>
        <v>0</v>
      </c>
      <c r="K162" s="435">
        <v>0</v>
      </c>
      <c r="L162" s="435"/>
      <c r="M162" s="435">
        <f t="shared" ref="M162:M165" si="175">SUM(K162:L162)</f>
        <v>0</v>
      </c>
      <c r="N162" s="435">
        <v>0</v>
      </c>
      <c r="O162" s="435"/>
      <c r="P162" s="435">
        <f t="shared" ref="P162:P165" si="176">SUM(N162:O162)</f>
        <v>0</v>
      </c>
      <c r="Q162" s="435">
        <v>0</v>
      </c>
      <c r="R162" s="435"/>
      <c r="S162" s="435">
        <f t="shared" si="168"/>
        <v>0</v>
      </c>
      <c r="T162" s="435">
        <v>0</v>
      </c>
      <c r="U162" s="435"/>
      <c r="V162" s="435">
        <f t="shared" ref="V162:V165" si="177">SUM(T162:U162)</f>
        <v>0</v>
      </c>
      <c r="W162" s="435">
        <v>0</v>
      </c>
      <c r="X162" s="435"/>
      <c r="Y162" s="435">
        <f t="shared" si="170"/>
        <v>0</v>
      </c>
      <c r="Z162" s="435">
        <v>0</v>
      </c>
      <c r="AA162" s="435">
        <v>0</v>
      </c>
      <c r="AB162" s="435">
        <v>0</v>
      </c>
      <c r="AC162" s="435">
        <f t="shared" si="171"/>
        <v>0</v>
      </c>
      <c r="AD162" s="435"/>
      <c r="AE162" s="435">
        <f t="shared" ref="AE162:AE166" si="178">-AD162</f>
        <v>0</v>
      </c>
    </row>
    <row r="163" spans="2:31" s="423" customFormat="1">
      <c r="D163" s="423" t="s">
        <v>551</v>
      </c>
      <c r="E163" s="435">
        <v>0</v>
      </c>
      <c r="F163" s="435"/>
      <c r="G163" s="435">
        <f t="shared" si="164"/>
        <v>0</v>
      </c>
      <c r="H163" s="435">
        <v>0</v>
      </c>
      <c r="I163" s="435"/>
      <c r="J163" s="435">
        <f t="shared" si="174"/>
        <v>0</v>
      </c>
      <c r="K163" s="435">
        <v>0</v>
      </c>
      <c r="L163" s="435"/>
      <c r="M163" s="435">
        <f t="shared" si="175"/>
        <v>0</v>
      </c>
      <c r="N163" s="435">
        <v>0</v>
      </c>
      <c r="O163" s="435"/>
      <c r="P163" s="435">
        <f t="shared" si="176"/>
        <v>0</v>
      </c>
      <c r="Q163" s="435">
        <v>0</v>
      </c>
      <c r="R163" s="435"/>
      <c r="S163" s="435">
        <f t="shared" si="168"/>
        <v>0</v>
      </c>
      <c r="T163" s="435">
        <v>0</v>
      </c>
      <c r="U163" s="435"/>
      <c r="V163" s="435">
        <f t="shared" si="177"/>
        <v>0</v>
      </c>
      <c r="W163" s="435">
        <v>0</v>
      </c>
      <c r="X163" s="435"/>
      <c r="Y163" s="435">
        <f t="shared" si="170"/>
        <v>0</v>
      </c>
      <c r="Z163" s="435">
        <v>0</v>
      </c>
      <c r="AA163" s="435">
        <v>0</v>
      </c>
      <c r="AB163" s="435">
        <v>0</v>
      </c>
      <c r="AC163" s="435">
        <f t="shared" si="171"/>
        <v>0</v>
      </c>
      <c r="AD163" s="435"/>
      <c r="AE163" s="435">
        <f t="shared" si="178"/>
        <v>0</v>
      </c>
    </row>
    <row r="164" spans="2:31" s="423" customFormat="1">
      <c r="D164" s="423" t="s">
        <v>556</v>
      </c>
      <c r="E164" s="435">
        <v>0</v>
      </c>
      <c r="F164" s="435"/>
      <c r="G164" s="435">
        <f t="shared" si="164"/>
        <v>0</v>
      </c>
      <c r="H164" s="435">
        <v>0</v>
      </c>
      <c r="I164" s="435"/>
      <c r="J164" s="435">
        <f t="shared" si="174"/>
        <v>0</v>
      </c>
      <c r="K164" s="435">
        <v>0</v>
      </c>
      <c r="L164" s="435"/>
      <c r="M164" s="435">
        <f t="shared" si="175"/>
        <v>0</v>
      </c>
      <c r="N164" s="435">
        <v>0</v>
      </c>
      <c r="O164" s="435"/>
      <c r="P164" s="435">
        <f t="shared" si="176"/>
        <v>0</v>
      </c>
      <c r="Q164" s="435">
        <v>0</v>
      </c>
      <c r="R164" s="435"/>
      <c r="S164" s="435">
        <f t="shared" si="168"/>
        <v>0</v>
      </c>
      <c r="T164" s="435">
        <v>0</v>
      </c>
      <c r="U164" s="435"/>
      <c r="V164" s="435">
        <f t="shared" si="177"/>
        <v>0</v>
      </c>
      <c r="W164" s="435">
        <v>0</v>
      </c>
      <c r="X164" s="435"/>
      <c r="Y164" s="435">
        <f t="shared" si="170"/>
        <v>0</v>
      </c>
      <c r="Z164" s="435">
        <v>0</v>
      </c>
      <c r="AA164" s="435">
        <v>0</v>
      </c>
      <c r="AB164" s="435">
        <v>0</v>
      </c>
      <c r="AC164" s="435">
        <f t="shared" si="171"/>
        <v>0</v>
      </c>
      <c r="AD164" s="435"/>
      <c r="AE164" s="435">
        <f t="shared" si="178"/>
        <v>0</v>
      </c>
    </row>
    <row r="165" spans="2:31" s="423" customFormat="1">
      <c r="D165" s="423" t="s">
        <v>552</v>
      </c>
      <c r="E165" s="435">
        <v>0</v>
      </c>
      <c r="F165" s="435"/>
      <c r="G165" s="435">
        <f t="shared" si="164"/>
        <v>0</v>
      </c>
      <c r="H165" s="435">
        <v>0</v>
      </c>
      <c r="I165" s="435"/>
      <c r="J165" s="435">
        <f t="shared" si="174"/>
        <v>0</v>
      </c>
      <c r="K165" s="435">
        <v>0</v>
      </c>
      <c r="L165" s="435"/>
      <c r="M165" s="435">
        <f t="shared" si="175"/>
        <v>0</v>
      </c>
      <c r="N165" s="435">
        <v>0</v>
      </c>
      <c r="O165" s="435"/>
      <c r="P165" s="435">
        <f t="shared" si="176"/>
        <v>0</v>
      </c>
      <c r="Q165" s="435">
        <v>0</v>
      </c>
      <c r="R165" s="435"/>
      <c r="S165" s="435">
        <f t="shared" si="168"/>
        <v>0</v>
      </c>
      <c r="T165" s="435">
        <v>0</v>
      </c>
      <c r="U165" s="435"/>
      <c r="V165" s="435">
        <f t="shared" si="177"/>
        <v>0</v>
      </c>
      <c r="W165" s="435">
        <v>0</v>
      </c>
      <c r="X165" s="435"/>
      <c r="Y165" s="435">
        <f t="shared" si="170"/>
        <v>0</v>
      </c>
      <c r="Z165" s="435">
        <v>0</v>
      </c>
      <c r="AA165" s="435">
        <v>0</v>
      </c>
      <c r="AB165" s="435">
        <v>0</v>
      </c>
      <c r="AC165" s="435">
        <f t="shared" si="171"/>
        <v>0</v>
      </c>
      <c r="AD165" s="435"/>
      <c r="AE165" s="435">
        <f t="shared" si="178"/>
        <v>0</v>
      </c>
    </row>
    <row r="166" spans="2:31" s="423" customFormat="1">
      <c r="C166" s="417"/>
      <c r="D166" s="417"/>
      <c r="E166" s="435"/>
      <c r="F166" s="435"/>
      <c r="G166" s="435"/>
      <c r="H166" s="435"/>
      <c r="I166" s="435"/>
      <c r="J166" s="435"/>
      <c r="K166" s="435"/>
      <c r="L166" s="435"/>
      <c r="M166" s="435"/>
      <c r="N166" s="435"/>
      <c r="O166" s="435"/>
      <c r="P166" s="435"/>
      <c r="Q166" s="435"/>
      <c r="R166" s="435"/>
      <c r="S166" s="435"/>
      <c r="T166" s="435"/>
      <c r="U166" s="435"/>
      <c r="V166" s="435"/>
      <c r="W166" s="435"/>
      <c r="X166" s="435"/>
      <c r="Y166" s="435"/>
      <c r="AA166" s="417"/>
      <c r="AC166" s="417"/>
      <c r="AD166" s="417"/>
      <c r="AE166" s="435">
        <f t="shared" si="178"/>
        <v>0</v>
      </c>
    </row>
    <row r="167" spans="2:31" s="417" customFormat="1" ht="13.5" thickBot="1">
      <c r="E167" s="458">
        <f>SUM(E153:E166)</f>
        <v>0</v>
      </c>
      <c r="F167" s="458"/>
      <c r="G167" s="458">
        <f>SUM(G153:G166)</f>
        <v>0</v>
      </c>
      <c r="H167" s="458">
        <f>SUM(H153:H166)</f>
        <v>0</v>
      </c>
      <c r="I167" s="458"/>
      <c r="J167" s="458">
        <f>SUM(J153:J166)</f>
        <v>0</v>
      </c>
      <c r="K167" s="458">
        <f>SUM(K153:K166)</f>
        <v>0</v>
      </c>
      <c r="L167" s="458"/>
      <c r="M167" s="458">
        <f>SUM(M153:M166)</f>
        <v>0</v>
      </c>
      <c r="N167" s="458">
        <f>SUM(N153:N166)</f>
        <v>0</v>
      </c>
      <c r="O167" s="458"/>
      <c r="P167" s="458">
        <f>SUM(P153:P166)</f>
        <v>0</v>
      </c>
      <c r="Q167" s="458">
        <f>SUM(Q153:Q166)</f>
        <v>0</v>
      </c>
      <c r="R167" s="458"/>
      <c r="S167" s="458">
        <f>SUM(S153:S166)</f>
        <v>0</v>
      </c>
      <c r="T167" s="458">
        <f>SUM(T153:T166)</f>
        <v>-1798008333.9749999</v>
      </c>
      <c r="U167" s="458"/>
      <c r="V167" s="458">
        <f>SUM(V153:V166)</f>
        <v>-1798008333.9749999</v>
      </c>
      <c r="W167" s="458">
        <f>SUM(W153:W166)</f>
        <v>0</v>
      </c>
      <c r="X167" s="458"/>
      <c r="Y167" s="458">
        <f>SUM(Y153:Y166)</f>
        <v>0</v>
      </c>
      <c r="AA167" s="458">
        <f>SUM(AA153:AA166)</f>
        <v>0</v>
      </c>
      <c r="AC167" s="458">
        <f>SUM(AC153:AC166)</f>
        <v>-1798008333.9749999</v>
      </c>
      <c r="AD167" s="458">
        <f>SUM(AD153:AD166)</f>
        <v>1798008334</v>
      </c>
      <c r="AE167" s="458">
        <f>SUM(AE153:AE166)</f>
        <v>2.5000095367431641E-2</v>
      </c>
    </row>
    <row r="168" spans="2:31" s="417" customFormat="1" ht="13.5" thickTop="1">
      <c r="E168" s="443"/>
      <c r="F168" s="443"/>
      <c r="G168" s="443"/>
      <c r="H168" s="443"/>
      <c r="I168" s="443"/>
      <c r="J168" s="443"/>
      <c r="K168" s="443"/>
      <c r="L168" s="443"/>
      <c r="M168" s="443"/>
      <c r="N168" s="443"/>
      <c r="O168" s="443"/>
      <c r="P168" s="443"/>
      <c r="Q168" s="443"/>
      <c r="R168" s="443"/>
      <c r="S168" s="443"/>
      <c r="T168" s="443"/>
      <c r="U168" s="443"/>
      <c r="V168" s="443"/>
      <c r="W168" s="443"/>
      <c r="X168" s="443"/>
      <c r="Y168" s="443"/>
      <c r="AA168" s="443"/>
      <c r="AC168" s="443"/>
      <c r="AD168" s="443"/>
      <c r="AE168" s="443"/>
    </row>
    <row r="169" spans="2:31" s="417" customFormat="1" ht="13">
      <c r="D169" s="445" t="s">
        <v>435</v>
      </c>
      <c r="E169" s="446">
        <v>0</v>
      </c>
      <c r="F169" s="446"/>
      <c r="G169" s="446">
        <v>0</v>
      </c>
      <c r="H169" s="446">
        <f>'Consol SoFP 23 &amp; 22'!AK64</f>
        <v>0</v>
      </c>
      <c r="I169" s="446">
        <f>'Consol SoFP 23 &amp; 22'!AL64</f>
        <v>0</v>
      </c>
      <c r="J169" s="446">
        <f>'Consol SoFP 23 &amp; 22'!AM64</f>
        <v>0</v>
      </c>
      <c r="K169" s="446">
        <f>'Consol SoFP 23 &amp; 22'!AK64</f>
        <v>0</v>
      </c>
      <c r="L169" s="446">
        <f>'Consol SoFP 23 &amp; 22'!AL64</f>
        <v>0</v>
      </c>
      <c r="M169" s="446">
        <f>'Consol SoFP 23 &amp; 22'!AM64</f>
        <v>0</v>
      </c>
      <c r="N169" s="446">
        <f>'Consol SoFP 23 &amp; 22'!AN64</f>
        <v>0</v>
      </c>
      <c r="O169" s="446">
        <f>'Consol SoFP 23 &amp; 22'!AO64</f>
        <v>0</v>
      </c>
      <c r="P169" s="446">
        <f>'Consol SoFP 23 &amp; 22'!AP64</f>
        <v>0</v>
      </c>
      <c r="Q169" s="446">
        <f>'Consol SoFP 23 &amp; 22'!AQ64</f>
        <v>0</v>
      </c>
      <c r="R169" s="446">
        <f>'Consol SoFP 23 &amp; 22'!AR64</f>
        <v>0</v>
      </c>
      <c r="S169" s="446">
        <f>'Consol SoFP 23 &amp; 22'!AS64</f>
        <v>0</v>
      </c>
      <c r="T169" s="446">
        <f>'Consol SoFP 23 &amp; 22'!AT64</f>
        <v>-1798008334</v>
      </c>
      <c r="U169" s="446">
        <f>'Consol SoFP 23 &amp; 22'!AU64</f>
        <v>0</v>
      </c>
      <c r="V169" s="446">
        <f>'Consol SoFP 23 &amp; 22'!AV64</f>
        <v>-1798008334</v>
      </c>
      <c r="W169" s="446">
        <f>'Consol SoFP 23 &amp; 22'!AW64</f>
        <v>0</v>
      </c>
      <c r="X169" s="446">
        <f>'Consol SoFP 23 &amp; 22'!AX64</f>
        <v>0</v>
      </c>
      <c r="Y169" s="446">
        <f>'Consol SoFP 23 &amp; 22'!AY64</f>
        <v>0</v>
      </c>
      <c r="AA169" s="446">
        <v>0</v>
      </c>
      <c r="AC169" s="446">
        <f>'Consol SoFP 23 &amp; 22'!BC64</f>
        <v>-1798008334</v>
      </c>
      <c r="AD169" s="446">
        <f>SUM('Consol SoFP 23 &amp; 22'!BD64:BE64)</f>
        <v>1798008334</v>
      </c>
      <c r="AE169" s="446">
        <f>'Consol SoFP 23 &amp; 22'!BF64</f>
        <v>0</v>
      </c>
    </row>
    <row r="170" spans="2:31" s="417" customFormat="1" ht="13">
      <c r="D170" s="445" t="s">
        <v>111</v>
      </c>
      <c r="E170" s="442">
        <f t="shared" ref="E170:Q170" si="179">E167-E169</f>
        <v>0</v>
      </c>
      <c r="F170" s="442"/>
      <c r="G170" s="442">
        <f t="shared" si="179"/>
        <v>0</v>
      </c>
      <c r="H170" s="442">
        <f t="shared" si="179"/>
        <v>0</v>
      </c>
      <c r="I170" s="442"/>
      <c r="J170" s="442"/>
      <c r="K170" s="442">
        <f t="shared" ref="K170" si="180">K167-K169</f>
        <v>0</v>
      </c>
      <c r="L170" s="442"/>
      <c r="M170" s="442"/>
      <c r="N170" s="442">
        <f t="shared" ref="N170" si="181">N167-N169</f>
        <v>0</v>
      </c>
      <c r="O170" s="442"/>
      <c r="P170" s="442"/>
      <c r="Q170" s="442">
        <f t="shared" si="179"/>
        <v>0</v>
      </c>
      <c r="R170" s="442"/>
      <c r="S170" s="442">
        <f t="shared" ref="S170:W170" si="182">S167-S169</f>
        <v>0</v>
      </c>
      <c r="T170" s="442">
        <f t="shared" si="182"/>
        <v>2.5000095367431641E-2</v>
      </c>
      <c r="U170" s="442"/>
      <c r="V170" s="442"/>
      <c r="W170" s="442">
        <f t="shared" si="182"/>
        <v>0</v>
      </c>
      <c r="X170" s="442"/>
      <c r="Y170" s="442"/>
      <c r="AA170" s="442">
        <f t="shared" ref="AA170" si="183">AA167-AA169</f>
        <v>0</v>
      </c>
      <c r="AC170" s="442">
        <f t="shared" ref="AC170:AE170" si="184">AC167-AC169</f>
        <v>2.5000095367431641E-2</v>
      </c>
      <c r="AD170" s="442">
        <f t="shared" si="184"/>
        <v>0</v>
      </c>
      <c r="AE170" s="442">
        <f t="shared" si="184"/>
        <v>2.5000095367431641E-2</v>
      </c>
    </row>
    <row r="171" spans="2:31" s="417" customFormat="1" ht="13">
      <c r="D171" s="445"/>
      <c r="E171" s="443"/>
      <c r="F171" s="443"/>
      <c r="G171" s="443"/>
      <c r="H171" s="443"/>
      <c r="I171" s="443"/>
      <c r="J171" s="443"/>
      <c r="K171" s="443"/>
      <c r="L171" s="443"/>
      <c r="M171" s="443"/>
      <c r="N171" s="443"/>
      <c r="O171" s="443"/>
      <c r="P171" s="443"/>
      <c r="Q171" s="443"/>
      <c r="R171" s="443"/>
      <c r="S171" s="443"/>
      <c r="T171" s="443"/>
      <c r="U171" s="443"/>
      <c r="V171" s="443"/>
      <c r="W171" s="443"/>
      <c r="X171" s="443"/>
      <c r="Y171" s="443"/>
      <c r="AA171" s="443"/>
      <c r="AC171" s="443"/>
      <c r="AD171" s="443"/>
      <c r="AE171" s="443"/>
    </row>
    <row r="172" spans="2:31" s="417" customFormat="1" ht="13" thickBot="1">
      <c r="B172" s="447"/>
      <c r="C172" s="447"/>
      <c r="D172" s="447"/>
      <c r="E172" s="447"/>
      <c r="F172" s="447"/>
      <c r="G172" s="447"/>
      <c r="H172" s="447"/>
      <c r="I172" s="447"/>
      <c r="J172" s="447"/>
      <c r="K172" s="447"/>
      <c r="L172" s="447"/>
      <c r="M172" s="447"/>
      <c r="N172" s="447"/>
      <c r="O172" s="447"/>
      <c r="P172" s="447"/>
      <c r="Q172" s="447"/>
      <c r="R172" s="447"/>
      <c r="S172" s="447"/>
      <c r="T172" s="447"/>
      <c r="U172" s="447"/>
      <c r="V172" s="447"/>
      <c r="W172" s="447"/>
      <c r="X172" s="447"/>
      <c r="Y172" s="447"/>
      <c r="AA172" s="447"/>
      <c r="AC172" s="447"/>
      <c r="AD172" s="447"/>
      <c r="AE172" s="447"/>
    </row>
    <row r="173" spans="2:31" s="417" customFormat="1" ht="13">
      <c r="B173" s="414" t="s">
        <v>448</v>
      </c>
    </row>
    <row r="174" spans="2:31" s="417" customFormat="1" ht="13">
      <c r="B174" s="423"/>
      <c r="C174" s="423"/>
      <c r="D174" s="423"/>
      <c r="E174" s="428" t="s">
        <v>426</v>
      </c>
      <c r="F174" s="428" t="s">
        <v>334</v>
      </c>
      <c r="G174" s="428" t="s">
        <v>427</v>
      </c>
      <c r="H174" s="428" t="s">
        <v>426</v>
      </c>
      <c r="I174" s="428" t="s">
        <v>334</v>
      </c>
      <c r="J174" s="428" t="s">
        <v>427</v>
      </c>
      <c r="K174" s="428" t="s">
        <v>426</v>
      </c>
      <c r="L174" s="428" t="s">
        <v>334</v>
      </c>
      <c r="M174" s="428" t="s">
        <v>427</v>
      </c>
      <c r="N174" s="428" t="s">
        <v>426</v>
      </c>
      <c r="O174" s="428" t="s">
        <v>334</v>
      </c>
      <c r="P174" s="428" t="s">
        <v>427</v>
      </c>
      <c r="Q174" s="428" t="s">
        <v>426</v>
      </c>
      <c r="R174" s="428" t="s">
        <v>334</v>
      </c>
      <c r="S174" s="428" t="s">
        <v>427</v>
      </c>
      <c r="T174" s="428" t="s">
        <v>426</v>
      </c>
      <c r="U174" s="428" t="s">
        <v>334</v>
      </c>
      <c r="V174" s="428" t="s">
        <v>427</v>
      </c>
      <c r="W174" s="428" t="s">
        <v>426</v>
      </c>
      <c r="X174" s="428" t="s">
        <v>334</v>
      </c>
      <c r="Y174" s="428" t="s">
        <v>427</v>
      </c>
      <c r="AA174" s="428" t="s">
        <v>428</v>
      </c>
      <c r="AC174" s="428" t="s">
        <v>11</v>
      </c>
      <c r="AD174" s="428" t="s">
        <v>429</v>
      </c>
      <c r="AE174" s="428" t="s">
        <v>13</v>
      </c>
    </row>
    <row r="175" spans="2:31" s="417" customFormat="1" ht="13">
      <c r="B175" s="423"/>
      <c r="C175" s="423"/>
      <c r="D175" s="423"/>
      <c r="E175" s="429">
        <v>44926</v>
      </c>
      <c r="F175" s="429"/>
      <c r="G175" s="429">
        <v>44926</v>
      </c>
      <c r="H175" s="429">
        <v>44926</v>
      </c>
      <c r="I175" s="429"/>
      <c r="J175" s="429">
        <v>44926</v>
      </c>
      <c r="K175" s="429">
        <v>44926</v>
      </c>
      <c r="L175" s="429"/>
      <c r="M175" s="429">
        <v>44926</v>
      </c>
      <c r="N175" s="429">
        <v>44926</v>
      </c>
      <c r="O175" s="429"/>
      <c r="P175" s="429">
        <v>44926</v>
      </c>
      <c r="Q175" s="429">
        <v>44926</v>
      </c>
      <c r="R175" s="429"/>
      <c r="S175" s="429">
        <v>44926</v>
      </c>
      <c r="T175" s="429">
        <v>44926</v>
      </c>
      <c r="U175" s="429"/>
      <c r="V175" s="429">
        <v>44926</v>
      </c>
      <c r="W175" s="429">
        <v>44926</v>
      </c>
      <c r="X175" s="429"/>
      <c r="Y175" s="429">
        <v>44926</v>
      </c>
      <c r="AA175" s="429">
        <v>44926</v>
      </c>
      <c r="AC175" s="429">
        <v>44926</v>
      </c>
      <c r="AD175" s="429">
        <v>44926</v>
      </c>
      <c r="AE175" s="429">
        <v>44926</v>
      </c>
    </row>
    <row r="176" spans="2:31" s="423" customFormat="1" ht="13" customHeight="1">
      <c r="C176" s="430"/>
      <c r="E176" s="431"/>
      <c r="F176" s="431"/>
      <c r="G176" s="431"/>
      <c r="H176" s="431"/>
      <c r="I176" s="431"/>
      <c r="J176" s="431"/>
      <c r="K176" s="431"/>
      <c r="L176" s="431"/>
      <c r="M176" s="431"/>
      <c r="N176" s="431"/>
      <c r="O176" s="431"/>
      <c r="P176" s="431"/>
      <c r="Q176" s="431"/>
      <c r="R176" s="431"/>
      <c r="S176" s="431"/>
      <c r="T176" s="431"/>
      <c r="U176" s="431"/>
      <c r="V176" s="431"/>
      <c r="W176" s="431"/>
      <c r="X176" s="431"/>
      <c r="Y176" s="431"/>
      <c r="AA176" s="432"/>
      <c r="AC176" s="432"/>
      <c r="AD176" s="432"/>
      <c r="AE176" s="432"/>
    </row>
    <row r="177" spans="3:31" s="423" customFormat="1">
      <c r="C177" s="423" t="s">
        <v>543</v>
      </c>
      <c r="D177" s="434"/>
      <c r="E177" s="435">
        <v>0</v>
      </c>
      <c r="F177" s="435"/>
      <c r="G177" s="435">
        <f>SUM(E177:F177)</f>
        <v>0</v>
      </c>
      <c r="H177" s="435">
        <v>0</v>
      </c>
      <c r="I177" s="435"/>
      <c r="J177" s="435">
        <f>SUM(H177:I177)</f>
        <v>0</v>
      </c>
      <c r="K177" s="435">
        <v>0</v>
      </c>
      <c r="L177" s="435"/>
      <c r="M177" s="435">
        <f>SUM(K177:L177)</f>
        <v>0</v>
      </c>
      <c r="N177" s="435">
        <v>0</v>
      </c>
      <c r="O177" s="435"/>
      <c r="P177" s="435">
        <f>SUM(N177:O177)</f>
        <v>0</v>
      </c>
      <c r="Q177" s="435">
        <v>0</v>
      </c>
      <c r="R177" s="435"/>
      <c r="S177" s="435">
        <f>SUM(Q177:R177)</f>
        <v>0</v>
      </c>
      <c r="T177" s="435">
        <v>-130394112647.39999</v>
      </c>
      <c r="U177" s="435"/>
      <c r="V177" s="435">
        <f>SUM(T177:U177)</f>
        <v>-130394112647.39999</v>
      </c>
      <c r="W177" s="435">
        <v>0</v>
      </c>
      <c r="X177" s="435"/>
      <c r="Y177" s="435">
        <f>SUM(W177:X177)</f>
        <v>0</v>
      </c>
      <c r="Z177" s="435">
        <v>0</v>
      </c>
      <c r="AA177" s="435">
        <v>0</v>
      </c>
      <c r="AB177" s="435">
        <v>0</v>
      </c>
      <c r="AC177" s="435">
        <f>SUM(G177,J177,P177,S177,V177,Y177,AA177)</f>
        <v>-130394112647.39999</v>
      </c>
      <c r="AD177" s="435">
        <f>'Elimination 22'!G70</f>
        <v>130394112647.57324</v>
      </c>
      <c r="AE177" s="435">
        <f>SUM(AC177:AD177)</f>
        <v>0.173248291015625</v>
      </c>
    </row>
    <row r="178" spans="3:31" s="423" customFormat="1">
      <c r="D178" s="423" t="s">
        <v>546</v>
      </c>
      <c r="E178" s="435">
        <v>0</v>
      </c>
      <c r="F178" s="435"/>
      <c r="G178" s="435">
        <f t="shared" ref="G178:G187" si="185">SUM(E178:F178)</f>
        <v>0</v>
      </c>
      <c r="H178" s="435">
        <v>0</v>
      </c>
      <c r="I178" s="435"/>
      <c r="J178" s="435">
        <f t="shared" ref="J178:J180" si="186">SUM(H178:I178)</f>
        <v>0</v>
      </c>
      <c r="K178" s="435">
        <v>0</v>
      </c>
      <c r="L178" s="435"/>
      <c r="M178" s="435">
        <f t="shared" ref="M178:M184" si="187">SUM(K178:L178)</f>
        <v>0</v>
      </c>
      <c r="N178" s="435">
        <v>0</v>
      </c>
      <c r="O178" s="435"/>
      <c r="P178" s="435">
        <f t="shared" ref="P178:P184" si="188">SUM(N178:O178)</f>
        <v>0</v>
      </c>
      <c r="Q178" s="435">
        <v>-85479975</v>
      </c>
      <c r="R178" s="435"/>
      <c r="S178" s="435">
        <f t="shared" ref="S178:S187" si="189">SUM(Q178:R178)</f>
        <v>-85479975</v>
      </c>
      <c r="T178" s="435">
        <v>-3050955732.4749999</v>
      </c>
      <c r="U178" s="435"/>
      <c r="V178" s="435">
        <f t="shared" ref="V178:V184" si="190">SUM(T178:U178)</f>
        <v>-3050955732.4749999</v>
      </c>
      <c r="W178" s="435">
        <v>0</v>
      </c>
      <c r="X178" s="435"/>
      <c r="Y178" s="435">
        <f t="shared" ref="Y178:Y187" si="191">SUM(W178:X178)</f>
        <v>0</v>
      </c>
      <c r="Z178" s="435">
        <v>0</v>
      </c>
      <c r="AA178" s="435">
        <v>0</v>
      </c>
      <c r="AB178" s="435">
        <v>0</v>
      </c>
      <c r="AC178" s="435">
        <f t="shared" ref="AC178:AC184" si="192">SUM(G178,J178,P178,S178,V178,Y178,AA178)</f>
        <v>-3136435707.4749999</v>
      </c>
      <c r="AD178" s="435">
        <f>SUM('Elimination 22'!G78:G79)</f>
        <v>3136435707.4749999</v>
      </c>
      <c r="AE178" s="435">
        <f t="shared" ref="AE178:AE187" si="193">SUM(AC178:AD178)</f>
        <v>0</v>
      </c>
    </row>
    <row r="179" spans="3:31" s="423" customFormat="1">
      <c r="D179" s="423" t="s">
        <v>552</v>
      </c>
      <c r="E179" s="435">
        <v>0</v>
      </c>
      <c r="F179" s="435"/>
      <c r="G179" s="435">
        <f t="shared" si="185"/>
        <v>0</v>
      </c>
      <c r="H179" s="435">
        <v>0</v>
      </c>
      <c r="I179" s="435"/>
      <c r="J179" s="435">
        <f t="shared" si="186"/>
        <v>0</v>
      </c>
      <c r="K179" s="435">
        <v>0</v>
      </c>
      <c r="L179" s="435"/>
      <c r="M179" s="435">
        <f t="shared" si="187"/>
        <v>0</v>
      </c>
      <c r="N179" s="435">
        <v>0</v>
      </c>
      <c r="O179" s="435"/>
      <c r="P179" s="435">
        <f t="shared" si="188"/>
        <v>0</v>
      </c>
      <c r="Q179" s="435">
        <v>0</v>
      </c>
      <c r="R179" s="435"/>
      <c r="S179" s="435">
        <f t="shared" si="189"/>
        <v>0</v>
      </c>
      <c r="T179" s="435">
        <v>0</v>
      </c>
      <c r="U179" s="435"/>
      <c r="V179" s="435">
        <f t="shared" si="190"/>
        <v>0</v>
      </c>
      <c r="W179" s="435">
        <v>0</v>
      </c>
      <c r="X179" s="435"/>
      <c r="Y179" s="435">
        <f t="shared" si="191"/>
        <v>0</v>
      </c>
      <c r="Z179" s="435">
        <v>0</v>
      </c>
      <c r="AA179" s="435">
        <v>0</v>
      </c>
      <c r="AB179" s="435">
        <v>0</v>
      </c>
      <c r="AC179" s="435">
        <f t="shared" si="192"/>
        <v>0</v>
      </c>
      <c r="AD179" s="435"/>
      <c r="AE179" s="435">
        <f t="shared" si="193"/>
        <v>0</v>
      </c>
    </row>
    <row r="180" spans="3:31" s="423" customFormat="1">
      <c r="D180" s="423" t="s">
        <v>547</v>
      </c>
      <c r="E180" s="435">
        <v>0</v>
      </c>
      <c r="F180" s="435"/>
      <c r="G180" s="435">
        <f t="shared" si="185"/>
        <v>0</v>
      </c>
      <c r="H180" s="435">
        <v>0</v>
      </c>
      <c r="I180" s="435"/>
      <c r="J180" s="435">
        <f t="shared" si="186"/>
        <v>0</v>
      </c>
      <c r="K180" s="435">
        <v>0</v>
      </c>
      <c r="L180" s="435"/>
      <c r="M180" s="435">
        <f t="shared" si="187"/>
        <v>0</v>
      </c>
      <c r="N180" s="435">
        <v>0</v>
      </c>
      <c r="O180" s="435"/>
      <c r="P180" s="435">
        <f t="shared" si="188"/>
        <v>0</v>
      </c>
      <c r="Q180" s="435">
        <v>0</v>
      </c>
      <c r="R180" s="435"/>
      <c r="S180" s="435">
        <f t="shared" si="189"/>
        <v>0</v>
      </c>
      <c r="T180" s="435">
        <v>0</v>
      </c>
      <c r="U180" s="435"/>
      <c r="V180" s="435">
        <f t="shared" si="190"/>
        <v>0</v>
      </c>
      <c r="W180" s="435">
        <v>0</v>
      </c>
      <c r="X180" s="435"/>
      <c r="Y180" s="435">
        <f t="shared" si="191"/>
        <v>0</v>
      </c>
      <c r="Z180" s="435">
        <v>0</v>
      </c>
      <c r="AA180" s="435">
        <v>0</v>
      </c>
      <c r="AB180" s="435">
        <v>0</v>
      </c>
      <c r="AC180" s="435">
        <f t="shared" si="192"/>
        <v>0</v>
      </c>
      <c r="AD180" s="435"/>
      <c r="AE180" s="435">
        <f t="shared" si="193"/>
        <v>0</v>
      </c>
    </row>
    <row r="181" spans="3:31" s="423" customFormat="1">
      <c r="D181" s="423" t="s">
        <v>548</v>
      </c>
      <c r="E181" s="435">
        <v>-14058094952.475</v>
      </c>
      <c r="F181" s="435"/>
      <c r="G181" s="435">
        <f t="shared" si="185"/>
        <v>-14058094952.475</v>
      </c>
      <c r="H181" s="435">
        <v>0</v>
      </c>
      <c r="I181" s="435"/>
      <c r="J181" s="435">
        <f t="shared" ref="J181:J184" si="194">SUM(H181:I181)</f>
        <v>0</v>
      </c>
      <c r="K181" s="435">
        <v>0</v>
      </c>
      <c r="L181" s="435"/>
      <c r="M181" s="435">
        <f t="shared" si="187"/>
        <v>0</v>
      </c>
      <c r="N181" s="435">
        <v>0</v>
      </c>
      <c r="O181" s="435"/>
      <c r="P181" s="435">
        <f t="shared" si="188"/>
        <v>0</v>
      </c>
      <c r="Q181" s="435">
        <v>0</v>
      </c>
      <c r="R181" s="435"/>
      <c r="S181" s="435">
        <f t="shared" si="189"/>
        <v>0</v>
      </c>
      <c r="T181" s="435">
        <v>0</v>
      </c>
      <c r="U181" s="435"/>
      <c r="V181" s="435">
        <f t="shared" si="190"/>
        <v>0</v>
      </c>
      <c r="W181" s="435">
        <v>0</v>
      </c>
      <c r="X181" s="435"/>
      <c r="Y181" s="435">
        <f t="shared" si="191"/>
        <v>0</v>
      </c>
      <c r="Z181" s="435">
        <v>0</v>
      </c>
      <c r="AA181" s="435">
        <v>0</v>
      </c>
      <c r="AB181" s="435">
        <v>0</v>
      </c>
      <c r="AC181" s="435">
        <f t="shared" si="192"/>
        <v>-14058094952.475</v>
      </c>
      <c r="AD181" s="435">
        <f>'Elimination 22'!G69</f>
        <v>14058094952.475</v>
      </c>
      <c r="AE181" s="435">
        <f t="shared" si="193"/>
        <v>0</v>
      </c>
    </row>
    <row r="182" spans="3:31" s="423" customFormat="1">
      <c r="D182" s="423" t="s">
        <v>545</v>
      </c>
      <c r="E182" s="435">
        <v>0</v>
      </c>
      <c r="F182" s="435"/>
      <c r="G182" s="435">
        <f t="shared" si="185"/>
        <v>0</v>
      </c>
      <c r="H182" s="435">
        <v>0</v>
      </c>
      <c r="I182" s="435"/>
      <c r="J182" s="435">
        <f t="shared" si="194"/>
        <v>0</v>
      </c>
      <c r="K182" s="435">
        <v>0</v>
      </c>
      <c r="L182" s="435"/>
      <c r="M182" s="435">
        <f t="shared" si="187"/>
        <v>0</v>
      </c>
      <c r="N182" s="435">
        <v>0</v>
      </c>
      <c r="O182" s="435"/>
      <c r="P182" s="435">
        <f t="shared" si="188"/>
        <v>0</v>
      </c>
      <c r="Q182" s="435">
        <v>0</v>
      </c>
      <c r="R182" s="435"/>
      <c r="S182" s="435">
        <f t="shared" si="189"/>
        <v>0</v>
      </c>
      <c r="T182" s="435">
        <v>0</v>
      </c>
      <c r="U182" s="435"/>
      <c r="V182" s="435">
        <f t="shared" si="190"/>
        <v>0</v>
      </c>
      <c r="W182" s="435">
        <v>0</v>
      </c>
      <c r="X182" s="435"/>
      <c r="Y182" s="435">
        <f t="shared" si="191"/>
        <v>0</v>
      </c>
      <c r="Z182" s="435">
        <v>0</v>
      </c>
      <c r="AA182" s="435">
        <v>0</v>
      </c>
      <c r="AB182" s="435">
        <v>0</v>
      </c>
      <c r="AC182" s="435">
        <f t="shared" si="192"/>
        <v>0</v>
      </c>
      <c r="AD182" s="435"/>
      <c r="AE182" s="435">
        <f t="shared" si="193"/>
        <v>0</v>
      </c>
    </row>
    <row r="183" spans="3:31" s="423" customFormat="1">
      <c r="D183" s="423" t="s">
        <v>549</v>
      </c>
      <c r="E183" s="435">
        <v>0</v>
      </c>
      <c r="F183" s="435"/>
      <c r="G183" s="435">
        <f t="shared" si="185"/>
        <v>0</v>
      </c>
      <c r="H183" s="435">
        <v>0</v>
      </c>
      <c r="I183" s="435"/>
      <c r="J183" s="435">
        <f t="shared" si="194"/>
        <v>0</v>
      </c>
      <c r="K183" s="435">
        <v>0</v>
      </c>
      <c r="L183" s="435"/>
      <c r="M183" s="435">
        <f t="shared" si="187"/>
        <v>0</v>
      </c>
      <c r="N183" s="435">
        <v>0</v>
      </c>
      <c r="O183" s="435"/>
      <c r="P183" s="435">
        <f t="shared" si="188"/>
        <v>0</v>
      </c>
      <c r="Q183" s="435">
        <v>0</v>
      </c>
      <c r="R183" s="435"/>
      <c r="S183" s="435">
        <f t="shared" si="189"/>
        <v>0</v>
      </c>
      <c r="T183" s="435">
        <v>0</v>
      </c>
      <c r="U183" s="435"/>
      <c r="V183" s="435">
        <f t="shared" si="190"/>
        <v>0</v>
      </c>
      <c r="W183" s="435">
        <v>0</v>
      </c>
      <c r="X183" s="435"/>
      <c r="Y183" s="435">
        <f t="shared" si="191"/>
        <v>0</v>
      </c>
      <c r="Z183" s="435">
        <v>0</v>
      </c>
      <c r="AA183" s="435">
        <v>0</v>
      </c>
      <c r="AB183" s="435">
        <v>0</v>
      </c>
      <c r="AC183" s="435">
        <f t="shared" si="192"/>
        <v>0</v>
      </c>
      <c r="AD183" s="435">
        <f>-AC183</f>
        <v>0</v>
      </c>
      <c r="AE183" s="435">
        <f t="shared" si="193"/>
        <v>0</v>
      </c>
    </row>
    <row r="184" spans="3:31" s="423" customFormat="1">
      <c r="D184" s="434" t="s">
        <v>544</v>
      </c>
      <c r="E184" s="435">
        <v>0</v>
      </c>
      <c r="F184" s="435"/>
      <c r="G184" s="435">
        <f t="shared" si="185"/>
        <v>0</v>
      </c>
      <c r="H184" s="435">
        <v>0</v>
      </c>
      <c r="I184" s="435"/>
      <c r="J184" s="435">
        <f t="shared" si="194"/>
        <v>0</v>
      </c>
      <c r="K184" s="435">
        <v>0</v>
      </c>
      <c r="L184" s="435"/>
      <c r="M184" s="435">
        <f t="shared" si="187"/>
        <v>0</v>
      </c>
      <c r="N184" s="435">
        <v>0</v>
      </c>
      <c r="O184" s="435"/>
      <c r="P184" s="435">
        <f t="shared" si="188"/>
        <v>0</v>
      </c>
      <c r="Q184" s="435">
        <v>0</v>
      </c>
      <c r="R184" s="435"/>
      <c r="S184" s="435">
        <f t="shared" si="189"/>
        <v>0</v>
      </c>
      <c r="T184" s="435">
        <v>0</v>
      </c>
      <c r="U184" s="435"/>
      <c r="V184" s="435">
        <f t="shared" si="190"/>
        <v>0</v>
      </c>
      <c r="W184" s="435">
        <v>0</v>
      </c>
      <c r="X184" s="435"/>
      <c r="Y184" s="435">
        <f t="shared" si="191"/>
        <v>0</v>
      </c>
      <c r="Z184" s="435">
        <v>0</v>
      </c>
      <c r="AA184" s="435">
        <v>0</v>
      </c>
      <c r="AB184" s="435">
        <v>0</v>
      </c>
      <c r="AC184" s="435">
        <f t="shared" si="192"/>
        <v>0</v>
      </c>
      <c r="AD184" s="435"/>
      <c r="AE184" s="435">
        <f t="shared" si="193"/>
        <v>0</v>
      </c>
    </row>
    <row r="185" spans="3:31" s="423" customFormat="1">
      <c r="C185" s="438" t="s">
        <v>532</v>
      </c>
      <c r="D185" s="439"/>
      <c r="E185" s="435"/>
      <c r="F185" s="435"/>
      <c r="G185" s="435"/>
      <c r="H185" s="435"/>
      <c r="I185" s="435"/>
      <c r="J185" s="435"/>
      <c r="K185" s="435"/>
      <c r="L185" s="435"/>
      <c r="M185" s="435"/>
      <c r="N185" s="435"/>
      <c r="O185" s="435"/>
      <c r="P185" s="435"/>
      <c r="Q185" s="435"/>
      <c r="R185" s="435"/>
      <c r="S185" s="435"/>
      <c r="T185" s="435"/>
      <c r="U185" s="435"/>
      <c r="V185" s="435"/>
      <c r="W185" s="435"/>
      <c r="X185" s="435"/>
      <c r="Y185" s="435"/>
      <c r="Z185" s="435"/>
      <c r="AA185" s="435"/>
      <c r="AB185" s="435"/>
      <c r="AC185" s="457"/>
      <c r="AD185" s="435"/>
      <c r="AE185" s="435"/>
    </row>
    <row r="186" spans="3:31" s="423" customFormat="1">
      <c r="D186" s="423" t="s">
        <v>550</v>
      </c>
      <c r="E186" s="435">
        <v>0</v>
      </c>
      <c r="F186" s="435"/>
      <c r="G186" s="435">
        <f t="shared" si="185"/>
        <v>0</v>
      </c>
      <c r="H186" s="435">
        <v>0</v>
      </c>
      <c r="I186" s="435"/>
      <c r="J186" s="435">
        <f t="shared" ref="J186:J187" si="195">SUM(H186:I186)</f>
        <v>0</v>
      </c>
      <c r="K186" s="435">
        <v>0</v>
      </c>
      <c r="L186" s="435"/>
      <c r="M186" s="435">
        <f t="shared" ref="M186:M187" si="196">SUM(K186:L186)</f>
        <v>0</v>
      </c>
      <c r="N186" s="435">
        <v>0</v>
      </c>
      <c r="O186" s="435"/>
      <c r="P186" s="435">
        <f t="shared" ref="P186:P187" si="197">SUM(N186:O186)</f>
        <v>0</v>
      </c>
      <c r="Q186" s="435">
        <v>0</v>
      </c>
      <c r="R186" s="435"/>
      <c r="S186" s="435">
        <f t="shared" si="189"/>
        <v>0</v>
      </c>
      <c r="T186" s="435">
        <v>0</v>
      </c>
      <c r="U186" s="435"/>
      <c r="V186" s="435">
        <f t="shared" ref="V186:V187" si="198">SUM(T186:U186)</f>
        <v>0</v>
      </c>
      <c r="W186" s="435">
        <v>0</v>
      </c>
      <c r="X186" s="435"/>
      <c r="Y186" s="435">
        <f t="shared" si="191"/>
        <v>0</v>
      </c>
      <c r="Z186" s="435">
        <v>0</v>
      </c>
      <c r="AA186" s="435">
        <v>0</v>
      </c>
      <c r="AB186" s="435">
        <v>0</v>
      </c>
      <c r="AC186" s="457">
        <f>SUM(G186,S186,Y186)</f>
        <v>0</v>
      </c>
      <c r="AD186" s="435"/>
      <c r="AE186" s="435">
        <f t="shared" si="193"/>
        <v>0</v>
      </c>
    </row>
    <row r="187" spans="3:31" s="423" customFormat="1">
      <c r="D187" s="423" t="s">
        <v>551</v>
      </c>
      <c r="E187" s="435">
        <v>0</v>
      </c>
      <c r="F187" s="435"/>
      <c r="G187" s="435">
        <f t="shared" si="185"/>
        <v>0</v>
      </c>
      <c r="H187" s="435">
        <v>0</v>
      </c>
      <c r="I187" s="435"/>
      <c r="J187" s="435">
        <f t="shared" si="195"/>
        <v>0</v>
      </c>
      <c r="K187" s="435">
        <v>0</v>
      </c>
      <c r="L187" s="435"/>
      <c r="M187" s="435">
        <f t="shared" si="196"/>
        <v>0</v>
      </c>
      <c r="N187" s="435">
        <v>0</v>
      </c>
      <c r="O187" s="435"/>
      <c r="P187" s="435">
        <f t="shared" si="197"/>
        <v>0</v>
      </c>
      <c r="Q187" s="435">
        <v>-40302224.549999997</v>
      </c>
      <c r="R187" s="435"/>
      <c r="S187" s="435">
        <f t="shared" si="189"/>
        <v>-40302224.549999997</v>
      </c>
      <c r="T187" s="435">
        <v>0</v>
      </c>
      <c r="U187" s="435"/>
      <c r="V187" s="435">
        <f t="shared" si="198"/>
        <v>0</v>
      </c>
      <c r="W187" s="435">
        <v>0</v>
      </c>
      <c r="X187" s="435"/>
      <c r="Y187" s="435">
        <f t="shared" si="191"/>
        <v>0</v>
      </c>
      <c r="Z187" s="435">
        <v>0</v>
      </c>
      <c r="AA187" s="435">
        <v>0</v>
      </c>
      <c r="AB187" s="435">
        <v>0</v>
      </c>
      <c r="AC187" s="457">
        <f>SUM(G187,S187,Y187)</f>
        <v>-40302224.549999997</v>
      </c>
      <c r="AD187" s="435"/>
      <c r="AE187" s="435">
        <f t="shared" si="193"/>
        <v>-40302224.549999997</v>
      </c>
    </row>
    <row r="188" spans="3:31" s="423" customFormat="1">
      <c r="C188" s="417"/>
      <c r="D188" s="417"/>
      <c r="E188" s="435"/>
      <c r="F188" s="435"/>
      <c r="G188" s="435"/>
      <c r="H188" s="435"/>
      <c r="I188" s="435"/>
      <c r="J188" s="435"/>
      <c r="K188" s="435"/>
      <c r="L188" s="435"/>
      <c r="M188" s="435"/>
      <c r="N188" s="435"/>
      <c r="O188" s="435"/>
      <c r="P188" s="435"/>
      <c r="Q188" s="435"/>
      <c r="R188" s="435"/>
      <c r="S188" s="435"/>
      <c r="T188" s="435"/>
      <c r="U188" s="435"/>
      <c r="V188" s="435"/>
      <c r="W188" s="435"/>
      <c r="X188" s="435"/>
      <c r="Y188" s="435"/>
      <c r="AA188" s="417"/>
      <c r="AC188" s="417"/>
      <c r="AD188" s="417"/>
      <c r="AE188" s="417"/>
    </row>
    <row r="189" spans="3:31" s="417" customFormat="1" ht="13.5" thickBot="1">
      <c r="E189" s="458">
        <f>SUM(E176:E188)</f>
        <v>-14058094952.475</v>
      </c>
      <c r="F189" s="458"/>
      <c r="G189" s="458">
        <f>SUM(G176:G188)</f>
        <v>-14058094952.475</v>
      </c>
      <c r="H189" s="458">
        <f>SUM(H176:H188)</f>
        <v>0</v>
      </c>
      <c r="I189" s="458"/>
      <c r="J189" s="458">
        <f>SUM(J176:J188)</f>
        <v>0</v>
      </c>
      <c r="K189" s="458">
        <f>SUM(K176:K188)</f>
        <v>0</v>
      </c>
      <c r="L189" s="458"/>
      <c r="M189" s="458">
        <f>SUM(M176:M188)</f>
        <v>0</v>
      </c>
      <c r="N189" s="458">
        <f>SUM(N176:N188)</f>
        <v>0</v>
      </c>
      <c r="O189" s="458"/>
      <c r="P189" s="458">
        <f>SUM(P176:P188)</f>
        <v>0</v>
      </c>
      <c r="Q189" s="458">
        <f>SUM(Q176:Q188)</f>
        <v>-125782199.55</v>
      </c>
      <c r="R189" s="458"/>
      <c r="S189" s="458">
        <f>SUM(S176:S188)</f>
        <v>-125782199.55</v>
      </c>
      <c r="T189" s="458">
        <f>SUM(T176:T188)</f>
        <v>-133445068379.875</v>
      </c>
      <c r="U189" s="458"/>
      <c r="V189" s="458">
        <f>SUM(V176:V188)</f>
        <v>-133445068379.875</v>
      </c>
      <c r="W189" s="458">
        <f>SUM(W176:W188)</f>
        <v>0</v>
      </c>
      <c r="X189" s="458"/>
      <c r="Y189" s="458">
        <f>SUM(Y176:Y188)</f>
        <v>0</v>
      </c>
      <c r="AA189" s="458">
        <f>SUM(AA176:AA188)</f>
        <v>0</v>
      </c>
      <c r="AC189" s="458">
        <f>SUM(AC176:AC188)</f>
        <v>-147628945531.89999</v>
      </c>
      <c r="AD189" s="458">
        <f>SUM(AD176:AD188)</f>
        <v>147588643307.52325</v>
      </c>
      <c r="AE189" s="458">
        <f>SUM(AE176:AE188)</f>
        <v>-40302224.376751706</v>
      </c>
    </row>
    <row r="190" spans="3:31" s="417" customFormat="1" ht="13.5" thickTop="1">
      <c r="E190" s="443"/>
      <c r="F190" s="443"/>
      <c r="G190" s="443"/>
      <c r="H190" s="443"/>
      <c r="I190" s="443"/>
      <c r="J190" s="443"/>
      <c r="K190" s="443"/>
      <c r="L190" s="443"/>
      <c r="M190" s="443"/>
      <c r="N190" s="443"/>
      <c r="O190" s="443"/>
      <c r="P190" s="443"/>
      <c r="Q190" s="443"/>
      <c r="R190" s="443"/>
      <c r="S190" s="443"/>
      <c r="T190" s="443"/>
      <c r="U190" s="443"/>
      <c r="V190" s="443"/>
      <c r="W190" s="443"/>
      <c r="X190" s="443"/>
      <c r="Y190" s="443"/>
      <c r="AA190" s="443"/>
      <c r="AC190" s="443"/>
      <c r="AD190" s="443"/>
      <c r="AE190" s="443"/>
    </row>
    <row r="191" spans="3:31" s="417" customFormat="1" ht="13">
      <c r="D191" s="445" t="s">
        <v>435</v>
      </c>
      <c r="E191" s="446">
        <f>'Consol SoFP 23 &amp; 22'!AH83+'Consol SoFP 23 &amp; 22'!AG67</f>
        <v>-14058094952</v>
      </c>
      <c r="F191" s="446"/>
      <c r="G191" s="446">
        <f>'Consol SoFP 23 &amp; 22'!AJ83+'Consol SoFP 23 &amp; 22'!AJ67</f>
        <v>-14058094952</v>
      </c>
      <c r="H191" s="446">
        <f>'Consol SoFP 23 &amp; 22'!AK83+'Consol SoFP 23 &amp; 22'!AK67</f>
        <v>0</v>
      </c>
      <c r="I191" s="446">
        <f>'Consol SoFP 23 &amp; 22'!AL83+'Consol SoFP 23 &amp; 22'!AL67</f>
        <v>0</v>
      </c>
      <c r="J191" s="446">
        <f>'Consol SoFP 23 &amp; 22'!AM83+'Consol SoFP 23 &amp; 22'!AM67</f>
        <v>0</v>
      </c>
      <c r="K191" s="446">
        <f>'Consol SoFP 23 &amp; 22'!AK83+'Consol SoFP 23 &amp; 22'!AK67</f>
        <v>0</v>
      </c>
      <c r="L191" s="446">
        <f>'Consol SoFP 23 &amp; 22'!AL83+'Consol SoFP 23 &amp; 22'!AL67</f>
        <v>0</v>
      </c>
      <c r="M191" s="446">
        <f>'Consol SoFP 23 &amp; 22'!AM83+'Consol SoFP 23 &amp; 22'!AM67</f>
        <v>0</v>
      </c>
      <c r="N191" s="446">
        <f>'Consol SoFP 23 &amp; 22'!AN83+'Consol SoFP 23 &amp; 22'!AN67</f>
        <v>0</v>
      </c>
      <c r="O191" s="446">
        <f>'Consol SoFP 23 &amp; 22'!AO83+'Consol SoFP 23 &amp; 22'!AO67</f>
        <v>0</v>
      </c>
      <c r="P191" s="446">
        <f>'Consol SoFP 23 &amp; 22'!AP83+'Consol SoFP 23 &amp; 22'!AP67</f>
        <v>0</v>
      </c>
      <c r="Q191" s="446">
        <f>'Consol SoFP 23 &amp; 22'!AQ83+'Consol SoFP 23 &amp; 22'!AQ67</f>
        <v>-125782200</v>
      </c>
      <c r="R191" s="446">
        <f>'Consol SoFP 23 &amp; 22'!AR83+'Consol SoFP 23 &amp; 22'!AR67</f>
        <v>0</v>
      </c>
      <c r="S191" s="446">
        <f>'Consol SoFP 23 &amp; 22'!AS83+'Consol SoFP 23 &amp; 22'!AS67</f>
        <v>-125782200</v>
      </c>
      <c r="T191" s="446">
        <f>'Consol SoFP 23 &amp; 22'!AT83+'Consol SoFP 23 &amp; 22'!AT67</f>
        <v>-133445068380</v>
      </c>
      <c r="U191" s="446">
        <f>'Consol SoFP 23 &amp; 22'!AU83+'Consol SoFP 23 &amp; 22'!AU67</f>
        <v>0</v>
      </c>
      <c r="V191" s="446">
        <f>'Consol SoFP 23 &amp; 22'!AV83+'Consol SoFP 23 &amp; 22'!AV67</f>
        <v>-133445068380</v>
      </c>
      <c r="W191" s="446">
        <f>'Consol SoFP 23 &amp; 22'!AW83+'Consol SoFP 23 &amp; 22'!AW67</f>
        <v>0</v>
      </c>
      <c r="X191" s="446">
        <f>'Consol SoFP 23 &amp; 22'!AX83+'Consol SoFP 23 &amp; 22'!AX67</f>
        <v>0</v>
      </c>
      <c r="Y191" s="446">
        <f>'Consol SoFP 23 &amp; 22'!AY83+'Consol SoFP 23 &amp; 22'!AY67</f>
        <v>0</v>
      </c>
      <c r="AA191" s="446">
        <v>0</v>
      </c>
      <c r="AC191" s="459">
        <f>'Consol SoFP 23 &amp; 22'!BC67+'Consol SoFP 23 &amp; 22'!BC83</f>
        <v>-147628945532</v>
      </c>
      <c r="AD191" s="459">
        <f>SUM('Consol SoFP 23 &amp; 22'!BD83:BE83)+SUM('Consol SoFP 23 &amp; 22'!BD67:BE67)</f>
        <v>147588643307.52325</v>
      </c>
      <c r="AE191" s="459">
        <f>'Consol SoFP 23 &amp; 22'!BF67</f>
        <v>-40302224</v>
      </c>
    </row>
    <row r="192" spans="3:31" s="417" customFormat="1" ht="13">
      <c r="D192" s="445" t="s">
        <v>111</v>
      </c>
      <c r="E192" s="442">
        <f t="shared" ref="E192" si="199">E189-E191</f>
        <v>-0.47500038146972656</v>
      </c>
      <c r="F192" s="442"/>
      <c r="G192" s="442">
        <f t="shared" ref="G192:Y192" si="200">G189-G191</f>
        <v>-0.47500038146972656</v>
      </c>
      <c r="H192" s="442">
        <f t="shared" si="200"/>
        <v>0</v>
      </c>
      <c r="I192" s="442">
        <f t="shared" si="200"/>
        <v>0</v>
      </c>
      <c r="J192" s="442">
        <f t="shared" si="200"/>
        <v>0</v>
      </c>
      <c r="K192" s="442">
        <f t="shared" si="200"/>
        <v>0</v>
      </c>
      <c r="L192" s="442">
        <f t="shared" si="200"/>
        <v>0</v>
      </c>
      <c r="M192" s="442">
        <f t="shared" si="200"/>
        <v>0</v>
      </c>
      <c r="N192" s="442">
        <f t="shared" si="200"/>
        <v>0</v>
      </c>
      <c r="O192" s="442">
        <f t="shared" si="200"/>
        <v>0</v>
      </c>
      <c r="P192" s="442">
        <f t="shared" si="200"/>
        <v>0</v>
      </c>
      <c r="Q192" s="442">
        <f t="shared" si="200"/>
        <v>0.45000000298023224</v>
      </c>
      <c r="R192" s="442">
        <f t="shared" si="200"/>
        <v>0</v>
      </c>
      <c r="S192" s="442">
        <f t="shared" si="200"/>
        <v>0.45000000298023224</v>
      </c>
      <c r="T192" s="442">
        <f t="shared" si="200"/>
        <v>0.125</v>
      </c>
      <c r="U192" s="442">
        <f t="shared" si="200"/>
        <v>0</v>
      </c>
      <c r="V192" s="442">
        <f t="shared" si="200"/>
        <v>0.125</v>
      </c>
      <c r="W192" s="442">
        <f t="shared" si="200"/>
        <v>0</v>
      </c>
      <c r="X192" s="442">
        <f t="shared" si="200"/>
        <v>0</v>
      </c>
      <c r="Y192" s="442">
        <f t="shared" si="200"/>
        <v>0</v>
      </c>
      <c r="AA192" s="442">
        <f t="shared" ref="AA192" si="201">AA189-AA191</f>
        <v>0</v>
      </c>
      <c r="AC192" s="442">
        <f t="shared" ref="AC192:AE192" si="202">AC189-AC191</f>
        <v>0.100006103515625</v>
      </c>
      <c r="AD192" s="442">
        <f t="shared" si="202"/>
        <v>0</v>
      </c>
      <c r="AE192" s="442">
        <f t="shared" si="202"/>
        <v>-0.37675170600414276</v>
      </c>
    </row>
    <row r="193" spans="4:31" s="417" customFormat="1" ht="13">
      <c r="D193" s="445"/>
      <c r="E193" s="443"/>
      <c r="F193" s="443"/>
      <c r="G193" s="443"/>
      <c r="H193" s="443"/>
      <c r="I193" s="443"/>
      <c r="J193" s="443"/>
      <c r="K193" s="443"/>
      <c r="L193" s="443"/>
      <c r="M193" s="443"/>
      <c r="N193" s="443"/>
      <c r="O193" s="443"/>
      <c r="P193" s="443"/>
      <c r="Q193" s="443"/>
      <c r="R193" s="443"/>
      <c r="S193" s="443"/>
      <c r="T193" s="443">
        <f>-T192</f>
        <v>-0.125</v>
      </c>
      <c r="U193" s="443"/>
      <c r="V193" s="443"/>
      <c r="W193" s="443"/>
      <c r="X193" s="443"/>
      <c r="Y193" s="443"/>
      <c r="AA193" s="443"/>
      <c r="AC193" s="443"/>
      <c r="AD193" s="443"/>
      <c r="AE193" s="443"/>
    </row>
  </sheetData>
  <conditionalFormatting sqref="D15:D26">
    <cfRule type="duplicateValues" dxfId="71" priority="67"/>
  </conditionalFormatting>
  <conditionalFormatting sqref="D40:D46">
    <cfRule type="duplicateValues" dxfId="70" priority="68"/>
  </conditionalFormatting>
  <conditionalFormatting sqref="D67">
    <cfRule type="duplicateValues" dxfId="69" priority="16"/>
  </conditionalFormatting>
  <conditionalFormatting sqref="D68:D69 D60:D66">
    <cfRule type="duplicateValues" dxfId="68" priority="69"/>
  </conditionalFormatting>
  <conditionalFormatting sqref="D70">
    <cfRule type="duplicateValues" dxfId="67" priority="63"/>
    <cfRule type="duplicateValues" dxfId="66" priority="55"/>
  </conditionalFormatting>
  <conditionalFormatting sqref="D83:D89">
    <cfRule type="duplicateValues" dxfId="65" priority="70"/>
  </conditionalFormatting>
  <conditionalFormatting sqref="D90:D92">
    <cfRule type="duplicateValues" dxfId="64" priority="64"/>
  </conditionalFormatting>
  <conditionalFormatting sqref="D93">
    <cfRule type="duplicateValues" dxfId="63" priority="1"/>
    <cfRule type="duplicateValues" dxfId="62" priority="2"/>
  </conditionalFormatting>
  <conditionalFormatting sqref="D112">
    <cfRule type="duplicateValues" dxfId="61" priority="6"/>
  </conditionalFormatting>
  <conditionalFormatting sqref="D113:D114 D105:D111">
    <cfRule type="duplicateValues" dxfId="60" priority="71"/>
  </conditionalFormatting>
  <conditionalFormatting sqref="D115:D118">
    <cfRule type="duplicateValues" dxfId="59" priority="15"/>
  </conditionalFormatting>
  <conditionalFormatting sqref="D119">
    <cfRule type="duplicateValues" dxfId="58" priority="13"/>
    <cfRule type="duplicateValues" dxfId="57" priority="14"/>
  </conditionalFormatting>
  <conditionalFormatting sqref="D139">
    <cfRule type="duplicateValues" dxfId="56" priority="5"/>
  </conditionalFormatting>
  <conditionalFormatting sqref="D140:D142 D132:D138">
    <cfRule type="duplicateValues" dxfId="55" priority="65"/>
  </conditionalFormatting>
  <conditionalFormatting sqref="D143">
    <cfRule type="duplicateValues" dxfId="54" priority="62"/>
  </conditionalFormatting>
  <conditionalFormatting sqref="D161">
    <cfRule type="duplicateValues" dxfId="53" priority="4"/>
  </conditionalFormatting>
  <conditionalFormatting sqref="D162:D165 D154:D160">
    <cfRule type="duplicateValues" dxfId="52" priority="72"/>
  </conditionalFormatting>
  <conditionalFormatting sqref="D166">
    <cfRule type="duplicateValues" dxfId="51" priority="48"/>
  </conditionalFormatting>
  <conditionalFormatting sqref="D185">
    <cfRule type="duplicateValues" dxfId="50" priority="3"/>
  </conditionalFormatting>
  <conditionalFormatting sqref="D186:D187 D177:D184">
    <cfRule type="duplicateValues" dxfId="49" priority="66"/>
  </conditionalFormatting>
  <conditionalFormatting sqref="D188">
    <cfRule type="duplicateValues" dxfId="48" priority="23"/>
  </conditionalFormatting>
  <conditionalFormatting sqref="E34:Y34 AA34 E54:Y54 E76:Y76 E99:Y99 E125:Y125 E147:Y147 E170:Y170 E192:Y192">
    <cfRule type="cellIs" dxfId="47" priority="61" operator="equal">
      <formula>0</formula>
    </cfRule>
    <cfRule type="cellIs" dxfId="46" priority="60" operator="greaterThan">
      <formula>0</formula>
    </cfRule>
    <cfRule type="cellIs" dxfId="45" priority="59" operator="lessThan">
      <formula>0</formula>
    </cfRule>
  </conditionalFormatting>
  <conditionalFormatting sqref="AA54">
    <cfRule type="cellIs" dxfId="44" priority="51" operator="equal">
      <formula>0</formula>
    </cfRule>
    <cfRule type="cellIs" dxfId="43" priority="50" operator="greaterThan">
      <formula>0</formula>
    </cfRule>
    <cfRule type="cellIs" dxfId="42" priority="49" operator="lessThan">
      <formula>0</formula>
    </cfRule>
  </conditionalFormatting>
  <conditionalFormatting sqref="AA76">
    <cfRule type="cellIs" dxfId="41" priority="53" operator="greaterThan">
      <formula>0</formula>
    </cfRule>
    <cfRule type="cellIs" dxfId="40" priority="52" operator="lessThan">
      <formula>0</formula>
    </cfRule>
    <cfRule type="cellIs" dxfId="39" priority="54" operator="equal">
      <formula>0</formula>
    </cfRule>
  </conditionalFormatting>
  <conditionalFormatting sqref="AA99">
    <cfRule type="cellIs" dxfId="38" priority="36" operator="lessThan">
      <formula>0</formula>
    </cfRule>
    <cfRule type="cellIs" dxfId="37" priority="38" operator="equal">
      <formula>0</formula>
    </cfRule>
    <cfRule type="cellIs" dxfId="36" priority="37" operator="greaterThan">
      <formula>0</formula>
    </cfRule>
  </conditionalFormatting>
  <conditionalFormatting sqref="AA125">
    <cfRule type="cellIs" dxfId="35" priority="10" operator="lessThan">
      <formula>0</formula>
    </cfRule>
    <cfRule type="cellIs" dxfId="34" priority="11" operator="greaterThan">
      <formula>0</formula>
    </cfRule>
    <cfRule type="cellIs" dxfId="33" priority="12" operator="equal">
      <formula>0</formula>
    </cfRule>
  </conditionalFormatting>
  <conditionalFormatting sqref="AA147">
    <cfRule type="cellIs" dxfId="32" priority="56" operator="lessThan">
      <formula>0</formula>
    </cfRule>
    <cfRule type="cellIs" dxfId="31" priority="57" operator="greaterThan">
      <formula>0</formula>
    </cfRule>
    <cfRule type="cellIs" dxfId="30" priority="58" operator="equal">
      <formula>0</formula>
    </cfRule>
  </conditionalFormatting>
  <conditionalFormatting sqref="AA170">
    <cfRule type="cellIs" dxfId="29" priority="45" operator="lessThan">
      <formula>0</formula>
    </cfRule>
    <cfRule type="cellIs" dxfId="28" priority="47" operator="equal">
      <formula>0</formula>
    </cfRule>
    <cfRule type="cellIs" dxfId="27" priority="46" operator="greaterThan">
      <formula>0</formula>
    </cfRule>
  </conditionalFormatting>
  <conditionalFormatting sqref="AA192">
    <cfRule type="cellIs" dxfId="26" priority="22" operator="equal">
      <formula>0</formula>
    </cfRule>
    <cfRule type="cellIs" dxfId="25" priority="21" operator="greaterThan">
      <formula>0</formula>
    </cfRule>
    <cfRule type="cellIs" dxfId="24" priority="20" operator="lessThan">
      <formula>0</formula>
    </cfRule>
  </conditionalFormatting>
  <conditionalFormatting sqref="AC34:AE34">
    <cfRule type="cellIs" dxfId="23" priority="32" operator="equal">
      <formula>0</formula>
    </cfRule>
    <cfRule type="cellIs" dxfId="22" priority="31" operator="greaterThan">
      <formula>0</formula>
    </cfRule>
    <cfRule type="cellIs" dxfId="21" priority="30" operator="lessThan">
      <formula>0</formula>
    </cfRule>
  </conditionalFormatting>
  <conditionalFormatting sqref="AC54:AE54">
    <cfRule type="cellIs" dxfId="20" priority="28" operator="greaterThan">
      <formula>0</formula>
    </cfRule>
    <cfRule type="cellIs" dxfId="19" priority="29" operator="equal">
      <formula>0</formula>
    </cfRule>
    <cfRule type="cellIs" dxfId="18" priority="27" operator="lessThan">
      <formula>0</formula>
    </cfRule>
  </conditionalFormatting>
  <conditionalFormatting sqref="AC76:AE76">
    <cfRule type="cellIs" dxfId="17" priority="26" operator="equal">
      <formula>0</formula>
    </cfRule>
    <cfRule type="cellIs" dxfId="16" priority="25" operator="greaterThan">
      <formula>0</formula>
    </cfRule>
    <cfRule type="cellIs" dxfId="15" priority="24" operator="lessThan">
      <formula>0</formula>
    </cfRule>
  </conditionalFormatting>
  <conditionalFormatting sqref="AC99:AE99">
    <cfRule type="cellIs" dxfId="14" priority="34" operator="greaterThan">
      <formula>0</formula>
    </cfRule>
    <cfRule type="cellIs" dxfId="13" priority="33" operator="lessThan">
      <formula>0</formula>
    </cfRule>
    <cfRule type="cellIs" dxfId="12" priority="35" operator="equal">
      <formula>0</formula>
    </cfRule>
  </conditionalFormatting>
  <conditionalFormatting sqref="AC125:AE125">
    <cfRule type="cellIs" dxfId="11" priority="9" operator="equal">
      <formula>0</formula>
    </cfRule>
    <cfRule type="cellIs" dxfId="10" priority="8" operator="greaterThan">
      <formula>0</formula>
    </cfRule>
    <cfRule type="cellIs" dxfId="9" priority="7" operator="lessThan">
      <formula>0</formula>
    </cfRule>
  </conditionalFormatting>
  <conditionalFormatting sqref="AC147:AE147">
    <cfRule type="cellIs" dxfId="8" priority="42" operator="lessThan">
      <formula>0</formula>
    </cfRule>
    <cfRule type="cellIs" dxfId="7" priority="43" operator="greaterThan">
      <formula>0</formula>
    </cfRule>
    <cfRule type="cellIs" dxfId="6" priority="44" operator="equal">
      <formula>0</formula>
    </cfRule>
  </conditionalFormatting>
  <conditionalFormatting sqref="AC170:AE170">
    <cfRule type="cellIs" dxfId="5" priority="41" operator="equal">
      <formula>0</formula>
    </cfRule>
    <cfRule type="cellIs" dxfId="4" priority="40" operator="greaterThan">
      <formula>0</formula>
    </cfRule>
    <cfRule type="cellIs" dxfId="3" priority="39" operator="lessThan">
      <formula>0</formula>
    </cfRule>
  </conditionalFormatting>
  <conditionalFormatting sqref="AC192:AE192">
    <cfRule type="cellIs" dxfId="2" priority="17" operator="lessThan">
      <formula>0</formula>
    </cfRule>
    <cfRule type="cellIs" dxfId="1" priority="19" operator="equal">
      <formula>0</formula>
    </cfRule>
    <cfRule type="cellIs" dxfId="0" priority="18" operator="greater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B0BC-A92A-4210-BC5F-9EC02D4DE103}">
  <dimension ref="B1:AQ226"/>
  <sheetViews>
    <sheetView workbookViewId="0"/>
  </sheetViews>
  <sheetFormatPr defaultColWidth="8.7265625" defaultRowHeight="12" outlineLevelCol="1"/>
  <cols>
    <col min="1" max="1" width="1.26953125" style="217" customWidth="1"/>
    <col min="2" max="2" width="8.7265625" style="217"/>
    <col min="3" max="3" width="14.7265625" style="217" hidden="1" customWidth="1"/>
    <col min="4" max="4" width="39" style="217" customWidth="1"/>
    <col min="5" max="5" width="14.7265625" style="217" customWidth="1"/>
    <col min="6" max="11" width="15.7265625" style="218" customWidth="1" outlineLevel="1"/>
    <col min="12" max="12" width="15.7265625" style="218" customWidth="1"/>
    <col min="13" max="13" width="28.7265625" style="218" customWidth="1" outlineLevel="1"/>
    <col min="14" max="14" width="2.81640625" style="218" customWidth="1" outlineLevel="1"/>
    <col min="15" max="17" width="19.54296875" style="219" customWidth="1" outlineLevel="1"/>
    <col min="18" max="18" width="12.26953125" style="219" customWidth="1"/>
    <col min="19" max="19" width="2.81640625" style="219" customWidth="1"/>
    <col min="20" max="20" width="24.1796875" style="220" bestFit="1" customWidth="1"/>
    <col min="21" max="21" width="6.7265625" style="220" customWidth="1"/>
    <col min="22" max="24" width="14.81640625" style="220" customWidth="1" outlineLevel="1"/>
    <col min="25" max="25" width="19.26953125" style="220" customWidth="1" outlineLevel="1"/>
    <col min="26" max="27" width="14.81640625" style="220" customWidth="1" outlineLevel="1"/>
    <col min="28" max="28" width="14.81640625" style="220" customWidth="1"/>
    <col min="29" max="29" width="14.1796875" style="221" customWidth="1"/>
    <col min="30" max="30" width="33.453125" style="221" bestFit="1" customWidth="1"/>
    <col min="31" max="31" width="9.1796875" style="217" customWidth="1"/>
    <col min="32" max="32" width="16" style="217" bestFit="1" customWidth="1"/>
    <col min="33" max="33" width="5.1796875" style="217" customWidth="1"/>
    <col min="34" max="34" width="15.1796875" style="217" bestFit="1" customWidth="1"/>
    <col min="35" max="35" width="11.26953125" style="217" bestFit="1" customWidth="1"/>
    <col min="36" max="36" width="15.1796875" style="217" bestFit="1" customWidth="1"/>
    <col min="37" max="16384" width="8.7265625" style="217"/>
  </cols>
  <sheetData>
    <row r="1" spans="2:43">
      <c r="B1" s="216" t="s">
        <v>262</v>
      </c>
      <c r="F1" s="218">
        <v>58628147024.599976</v>
      </c>
    </row>
    <row r="2" spans="2:43" ht="15" customHeight="1">
      <c r="B2" s="222" t="s">
        <v>263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3"/>
      <c r="O2" s="223" t="s">
        <v>264</v>
      </c>
      <c r="P2" s="223" t="s">
        <v>265</v>
      </c>
      <c r="Q2" s="223" t="s">
        <v>266</v>
      </c>
      <c r="R2" s="223" t="s">
        <v>267</v>
      </c>
      <c r="S2" s="223"/>
      <c r="T2" s="224" t="s">
        <v>268</v>
      </c>
      <c r="U2" s="224"/>
      <c r="V2" s="224"/>
      <c r="W2" s="224"/>
      <c r="X2" s="224"/>
      <c r="Y2" s="224"/>
      <c r="Z2" s="224"/>
      <c r="AA2" s="224"/>
      <c r="AB2" s="224"/>
      <c r="AC2" s="224"/>
      <c r="AD2" s="225"/>
      <c r="AE2" s="225"/>
      <c r="AF2" s="226" t="s">
        <v>269</v>
      </c>
      <c r="AG2" s="226"/>
    </row>
    <row r="3" spans="2:43" ht="23.25" customHeight="1">
      <c r="B3" s="227" t="s">
        <v>232</v>
      </c>
      <c r="C3" s="227" t="s">
        <v>234</v>
      </c>
      <c r="D3" s="227" t="s">
        <v>270</v>
      </c>
      <c r="E3" s="227" t="s">
        <v>233</v>
      </c>
      <c r="F3" s="228" t="s">
        <v>5</v>
      </c>
      <c r="G3" s="229" t="s">
        <v>271</v>
      </c>
      <c r="H3" s="228" t="s">
        <v>272</v>
      </c>
      <c r="I3" s="229" t="s">
        <v>273</v>
      </c>
      <c r="J3" s="228" t="s">
        <v>272</v>
      </c>
      <c r="K3" s="228" t="s">
        <v>274</v>
      </c>
      <c r="L3" s="228" t="s">
        <v>275</v>
      </c>
      <c r="M3" s="230" t="s">
        <v>276</v>
      </c>
      <c r="N3" s="223"/>
      <c r="T3" s="230" t="s">
        <v>276</v>
      </c>
      <c r="U3" s="230" t="s">
        <v>277</v>
      </c>
      <c r="V3" s="230" t="s">
        <v>278</v>
      </c>
      <c r="W3" s="229" t="s">
        <v>279</v>
      </c>
      <c r="X3" s="228" t="s">
        <v>272</v>
      </c>
      <c r="Y3" s="229" t="s">
        <v>273</v>
      </c>
      <c r="Z3" s="228" t="s">
        <v>272</v>
      </c>
      <c r="AA3" s="228" t="s">
        <v>274</v>
      </c>
      <c r="AB3" s="228" t="s">
        <v>275</v>
      </c>
      <c r="AC3" s="227" t="s">
        <v>234</v>
      </c>
      <c r="AD3" s="227" t="s">
        <v>270</v>
      </c>
      <c r="AE3" s="227" t="s">
        <v>232</v>
      </c>
      <c r="AF3" s="227"/>
      <c r="AG3" s="227"/>
    </row>
    <row r="4" spans="2:43">
      <c r="C4" s="227"/>
      <c r="D4" s="227"/>
      <c r="E4" s="227"/>
      <c r="F4" s="230"/>
      <c r="G4" s="230"/>
      <c r="H4" s="230"/>
      <c r="I4" s="230"/>
      <c r="J4" s="230"/>
      <c r="K4" s="230"/>
      <c r="L4" s="230"/>
      <c r="M4" s="230"/>
      <c r="N4" s="223"/>
      <c r="O4" s="223"/>
      <c r="P4" s="223"/>
      <c r="Q4" s="223"/>
      <c r="R4" s="223"/>
      <c r="S4" s="223"/>
      <c r="AE4" s="227"/>
      <c r="AF4" s="227"/>
      <c r="AG4" s="227"/>
    </row>
    <row r="5" spans="2:43">
      <c r="B5" s="231" t="s">
        <v>280</v>
      </c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23"/>
      <c r="O5" s="223"/>
      <c r="P5" s="223"/>
      <c r="Q5" s="223"/>
      <c r="R5" s="223"/>
      <c r="S5" s="223"/>
      <c r="T5" s="232" t="s">
        <v>65</v>
      </c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27"/>
      <c r="AG5" s="227"/>
    </row>
    <row r="6" spans="2:43">
      <c r="C6" s="227"/>
      <c r="D6" s="227"/>
      <c r="E6" s="227"/>
      <c r="F6" s="230"/>
      <c r="G6" s="230"/>
      <c r="H6" s="230"/>
      <c r="I6" s="230"/>
      <c r="J6" s="230"/>
      <c r="K6" s="230"/>
      <c r="L6" s="230"/>
      <c r="M6" s="230"/>
      <c r="N6" s="223"/>
      <c r="O6" s="223"/>
      <c r="P6" s="223"/>
      <c r="Q6" s="223"/>
      <c r="R6" s="223"/>
      <c r="S6" s="223"/>
      <c r="AE6" s="227"/>
      <c r="AF6" s="227"/>
      <c r="AG6" s="227"/>
    </row>
    <row r="7" spans="2:43">
      <c r="B7" s="217" t="s">
        <v>640</v>
      </c>
      <c r="C7" s="217" t="s">
        <v>281</v>
      </c>
      <c r="D7" s="217" t="s">
        <v>29</v>
      </c>
      <c r="E7" s="217" t="s">
        <v>688</v>
      </c>
      <c r="F7" s="218">
        <v>92339331564.375</v>
      </c>
      <c r="G7" s="218">
        <v>-15275910401.766047</v>
      </c>
      <c r="H7" s="218">
        <v>77063421162.608948</v>
      </c>
      <c r="I7" s="218">
        <v>890601889328.54993</v>
      </c>
      <c r="J7" s="218">
        <v>967665310491.15894</v>
      </c>
      <c r="K7" s="218">
        <v>-424833845.67229611</v>
      </c>
      <c r="L7" s="218">
        <v>967240476645.48657</v>
      </c>
      <c r="M7" s="217" t="s">
        <v>29</v>
      </c>
      <c r="O7" s="233">
        <f>F7+V7</f>
        <v>-509837315480.27783</v>
      </c>
      <c r="P7" s="233">
        <f>H7+X7</f>
        <v>424833845.67219543</v>
      </c>
      <c r="Q7" s="233">
        <f>J7+Z7</f>
        <v>424833845.67236328</v>
      </c>
      <c r="R7" s="233">
        <f>L7+AB7</f>
        <v>0</v>
      </c>
      <c r="S7" s="233"/>
      <c r="T7" s="220" t="s">
        <v>65</v>
      </c>
      <c r="U7" s="220" t="str">
        <f>E7</f>
        <v>Dummy - D</v>
      </c>
      <c r="V7" s="218">
        <v>-602176647044.65283</v>
      </c>
      <c r="W7" s="218">
        <v>525538059727.716</v>
      </c>
      <c r="X7" s="220">
        <v>-76638587316.936752</v>
      </c>
      <c r="Y7" s="220">
        <v>-890601889328.54993</v>
      </c>
      <c r="Z7" s="220">
        <v>-967240476645.48657</v>
      </c>
      <c r="AA7" s="220">
        <v>0</v>
      </c>
      <c r="AB7" s="220">
        <v>-967240476645.48657</v>
      </c>
      <c r="AC7" s="217"/>
      <c r="AD7" s="217"/>
      <c r="AF7" s="234"/>
      <c r="AG7" s="234"/>
      <c r="AH7" s="234"/>
      <c r="AI7" s="234"/>
      <c r="AJ7" s="234"/>
      <c r="AK7" s="234"/>
      <c r="AL7" s="234"/>
      <c r="AM7" s="234"/>
      <c r="AN7" s="234">
        <f t="shared" ref="AN7:AQ7" si="0">N7*1.575</f>
        <v>0</v>
      </c>
      <c r="AO7" s="234">
        <f t="shared" si="0"/>
        <v>-802993771881.43762</v>
      </c>
      <c r="AP7" s="234">
        <f t="shared" si="0"/>
        <v>669113306.93370783</v>
      </c>
      <c r="AQ7" s="234">
        <f t="shared" si="0"/>
        <v>669113306.93397212</v>
      </c>
    </row>
    <row r="8" spans="2:43">
      <c r="B8" s="217" t="s">
        <v>640</v>
      </c>
      <c r="C8" s="217" t="s">
        <v>281</v>
      </c>
      <c r="D8" s="217" t="s">
        <v>29</v>
      </c>
      <c r="E8" s="217" t="s">
        <v>802</v>
      </c>
      <c r="F8" s="218">
        <v>0</v>
      </c>
      <c r="G8" s="218">
        <v>0</v>
      </c>
      <c r="H8" s="218">
        <v>0</v>
      </c>
      <c r="I8" s="218">
        <v>13253447670.75</v>
      </c>
      <c r="J8" s="218">
        <v>13253447670.75</v>
      </c>
      <c r="K8" s="218">
        <v>-7397830493.5500002</v>
      </c>
      <c r="L8" s="218">
        <v>5855617177.1999998</v>
      </c>
      <c r="M8" s="217" t="s">
        <v>29</v>
      </c>
      <c r="O8" s="233">
        <f>F8+V8</f>
        <v>0</v>
      </c>
      <c r="P8" s="233">
        <f>H8+X8</f>
        <v>0</v>
      </c>
      <c r="Q8" s="233">
        <f>J8+Z8</f>
        <v>13253447670.75</v>
      </c>
      <c r="R8" s="233">
        <f t="shared" ref="R8:R10" si="1">L8+AB8</f>
        <v>0</v>
      </c>
      <c r="S8" s="233"/>
      <c r="T8" s="220" t="s">
        <v>65</v>
      </c>
      <c r="U8" s="220" t="str">
        <f>E8</f>
        <v>Dummy - I</v>
      </c>
      <c r="V8" s="218">
        <v>0</v>
      </c>
      <c r="W8" s="220">
        <v>0</v>
      </c>
      <c r="X8" s="220">
        <v>0</v>
      </c>
      <c r="Y8" s="220">
        <v>0</v>
      </c>
      <c r="Z8" s="220">
        <v>0</v>
      </c>
      <c r="AA8" s="220">
        <v>-5855617177.1999998</v>
      </c>
      <c r="AB8" s="220">
        <v>-5855617177.1999998</v>
      </c>
      <c r="AF8" s="234"/>
      <c r="AG8" s="234"/>
      <c r="AH8" s="234"/>
      <c r="AI8" s="234"/>
      <c r="AJ8" s="234"/>
      <c r="AK8" s="234"/>
      <c r="AL8" s="234"/>
    </row>
    <row r="9" spans="2:43">
      <c r="B9" s="217" t="s">
        <v>640</v>
      </c>
      <c r="C9" s="217" t="s">
        <v>281</v>
      </c>
      <c r="D9" s="217" t="s">
        <v>29</v>
      </c>
      <c r="E9" s="217" t="s">
        <v>740</v>
      </c>
      <c r="F9" s="218">
        <v>83950650000</v>
      </c>
      <c r="G9" s="218">
        <v>-87994659157.649994</v>
      </c>
      <c r="H9" s="218">
        <v>-4044009157.6500001</v>
      </c>
      <c r="I9" s="218">
        <v>41581575000</v>
      </c>
      <c r="J9" s="218">
        <v>37537565842.349998</v>
      </c>
      <c r="K9" s="218">
        <v>0</v>
      </c>
      <c r="L9" s="218">
        <v>37537565842.349998</v>
      </c>
      <c r="M9" s="217" t="s">
        <v>29</v>
      </c>
      <c r="O9" s="233">
        <f>F9+V9</f>
        <v>46413084157.650002</v>
      </c>
      <c r="P9" s="233">
        <f>H9+X9</f>
        <v>-41581575000</v>
      </c>
      <c r="Q9" s="233">
        <f>J9+Z9</f>
        <v>0</v>
      </c>
      <c r="R9" s="233">
        <f t="shared" si="1"/>
        <v>0</v>
      </c>
      <c r="S9" s="233"/>
      <c r="T9" s="220" t="s">
        <v>65</v>
      </c>
      <c r="U9" s="220" t="str">
        <f>E9</f>
        <v>Dummy - E</v>
      </c>
      <c r="V9" s="218">
        <v>-37537565842.349998</v>
      </c>
      <c r="W9" s="220">
        <v>0</v>
      </c>
      <c r="X9" s="220">
        <v>-37537565842.349998</v>
      </c>
      <c r="Y9" s="220">
        <v>0</v>
      </c>
      <c r="Z9" s="220">
        <v>-37537565842.349998</v>
      </c>
      <c r="AA9" s="220">
        <v>0</v>
      </c>
      <c r="AB9" s="220">
        <v>-37537565842.349998</v>
      </c>
      <c r="AF9" s="234"/>
      <c r="AG9" s="234"/>
      <c r="AH9" s="234"/>
      <c r="AI9" s="234"/>
      <c r="AJ9" s="234"/>
      <c r="AK9" s="234"/>
      <c r="AL9" s="234"/>
    </row>
    <row r="10" spans="2:43">
      <c r="B10" s="217" t="s">
        <v>640</v>
      </c>
      <c r="C10" s="217" t="s">
        <v>281</v>
      </c>
      <c r="D10" s="217" t="s">
        <v>29</v>
      </c>
      <c r="E10" s="217" t="s">
        <v>465</v>
      </c>
      <c r="F10" s="218">
        <v>43884946972.613243</v>
      </c>
      <c r="G10" s="218">
        <v>-43715250597.375</v>
      </c>
      <c r="H10" s="218">
        <v>169696375.23824614</v>
      </c>
      <c r="I10" s="218">
        <v>114090244632</v>
      </c>
      <c r="J10" s="218">
        <v>114259941007.23824</v>
      </c>
      <c r="K10" s="218">
        <v>0</v>
      </c>
      <c r="L10" s="218">
        <v>114259941007.23824</v>
      </c>
      <c r="M10" s="217" t="s">
        <v>29</v>
      </c>
      <c r="O10" s="233">
        <f>F10+V10</f>
        <v>43866189905.43824</v>
      </c>
      <c r="P10" s="233">
        <f>H10+X10</f>
        <v>0.48824614286422729</v>
      </c>
      <c r="Q10" s="233">
        <f>J10+Z10</f>
        <v>0.4882354736328125</v>
      </c>
      <c r="R10" s="233">
        <f t="shared" si="1"/>
        <v>0.4882354736328125</v>
      </c>
      <c r="S10" s="233"/>
      <c r="T10" s="220" t="s">
        <v>65</v>
      </c>
      <c r="U10" s="220" t="str">
        <f>E10</f>
        <v>Dummy F</v>
      </c>
      <c r="V10" s="218">
        <v>-18757067.175000001</v>
      </c>
      <c r="W10" s="220">
        <v>-150939307.57499999</v>
      </c>
      <c r="X10" s="220">
        <v>-169696374.75</v>
      </c>
      <c r="Y10" s="220">
        <v>-114090244632</v>
      </c>
      <c r="Z10" s="220">
        <v>-114259941006.75</v>
      </c>
      <c r="AA10" s="220">
        <v>0</v>
      </c>
      <c r="AB10" s="220">
        <v>-114259941006.75</v>
      </c>
      <c r="AF10" s="234"/>
      <c r="AG10" s="234"/>
      <c r="AH10" s="234"/>
      <c r="AI10" s="234"/>
      <c r="AJ10" s="234"/>
      <c r="AK10" s="234"/>
      <c r="AL10" s="234"/>
    </row>
    <row r="11" spans="2:43">
      <c r="B11" s="217" t="s">
        <v>640</v>
      </c>
      <c r="C11" s="217" t="s">
        <v>281</v>
      </c>
      <c r="D11" s="217" t="s">
        <v>29</v>
      </c>
      <c r="E11" s="217" t="s">
        <v>609</v>
      </c>
      <c r="F11" s="218">
        <v>181408362616.75049</v>
      </c>
      <c r="G11" s="218">
        <v>-27437038359.226398</v>
      </c>
      <c r="H11" s="218">
        <v>153971324257.52408</v>
      </c>
      <c r="I11" s="218">
        <v>0</v>
      </c>
      <c r="J11" s="218">
        <v>153971324257.52408</v>
      </c>
      <c r="K11" s="218">
        <v>0</v>
      </c>
      <c r="L11" s="218">
        <v>153971324257.52408</v>
      </c>
      <c r="M11" s="217" t="s">
        <v>29</v>
      </c>
      <c r="O11" s="233">
        <f>F11+V11</f>
        <v>36561065266.076141</v>
      </c>
      <c r="P11" s="233">
        <f>SUM(H11:H12)+X11</f>
        <v>0.28509521484375</v>
      </c>
      <c r="Q11" s="233">
        <f>SUM(I11:I12)+Y11</f>
        <v>0</v>
      </c>
      <c r="R11" s="233">
        <f>SUM(J11:J12)+Z11</f>
        <v>0.28509521484375</v>
      </c>
      <c r="S11" s="233"/>
      <c r="T11" s="220" t="s">
        <v>65</v>
      </c>
      <c r="U11" s="220" t="str">
        <f>E11</f>
        <v>Dummy - A</v>
      </c>
      <c r="V11" s="218">
        <v>-144847297350.67435</v>
      </c>
      <c r="W11" s="220">
        <v>0</v>
      </c>
      <c r="X11" s="220">
        <v>-144847297350.67435</v>
      </c>
      <c r="Y11" s="220">
        <v>0</v>
      </c>
      <c r="Z11" s="220">
        <v>-144847297350.67435</v>
      </c>
      <c r="AA11" s="220">
        <v>0</v>
      </c>
      <c r="AB11" s="220">
        <v>-144847297350.67435</v>
      </c>
      <c r="AF11" s="234"/>
      <c r="AG11" s="234"/>
      <c r="AH11" s="234"/>
      <c r="AI11" s="234"/>
      <c r="AJ11" s="234"/>
      <c r="AK11" s="234"/>
      <c r="AL11" s="234"/>
    </row>
    <row r="12" spans="2:43">
      <c r="B12" s="217" t="s">
        <v>640</v>
      </c>
      <c r="C12" s="217" t="s">
        <v>282</v>
      </c>
      <c r="D12" s="217" t="s">
        <v>283</v>
      </c>
      <c r="E12" s="217" t="s">
        <v>609</v>
      </c>
      <c r="F12" s="218">
        <v>-9124026906.5646496</v>
      </c>
      <c r="G12" s="218">
        <v>0</v>
      </c>
      <c r="H12" s="218">
        <v>-9124026906.5646496</v>
      </c>
      <c r="I12" s="218">
        <v>0</v>
      </c>
      <c r="J12" s="218">
        <v>-9124026906.5646496</v>
      </c>
      <c r="K12" s="218">
        <v>0</v>
      </c>
      <c r="L12" s="218">
        <v>-9124026906.5646496</v>
      </c>
      <c r="M12" s="217" t="s">
        <v>29</v>
      </c>
      <c r="O12" s="233"/>
      <c r="P12" s="233"/>
      <c r="Q12" s="233"/>
      <c r="R12" s="233"/>
      <c r="S12" s="233"/>
      <c r="T12" s="220" t="s">
        <v>65</v>
      </c>
      <c r="V12" s="218">
        <v>0</v>
      </c>
      <c r="W12" s="233">
        <v>0</v>
      </c>
      <c r="X12" s="220">
        <v>0</v>
      </c>
      <c r="Y12" s="220">
        <v>0</v>
      </c>
      <c r="Z12" s="220">
        <v>0</v>
      </c>
      <c r="AA12" s="220">
        <v>0</v>
      </c>
      <c r="AB12" s="220">
        <v>0</v>
      </c>
      <c r="AC12" s="233"/>
      <c r="AD12" s="233"/>
      <c r="AE12" s="233"/>
      <c r="AF12" s="234"/>
      <c r="AG12" s="234"/>
      <c r="AH12" s="234"/>
      <c r="AI12" s="234"/>
      <c r="AJ12" s="234"/>
      <c r="AK12" s="234"/>
      <c r="AL12" s="234"/>
    </row>
    <row r="13" spans="2:43">
      <c r="B13" s="217" t="s">
        <v>640</v>
      </c>
      <c r="C13" s="217" t="s">
        <v>281</v>
      </c>
      <c r="D13" s="217" t="s">
        <v>29</v>
      </c>
      <c r="E13" s="217" t="s">
        <v>461</v>
      </c>
      <c r="F13" s="218">
        <v>7875000</v>
      </c>
      <c r="G13" s="218">
        <v>0</v>
      </c>
      <c r="H13" s="218">
        <v>7875000</v>
      </c>
      <c r="I13" s="218">
        <v>0</v>
      </c>
      <c r="J13" s="218">
        <v>7875000</v>
      </c>
      <c r="K13" s="218">
        <v>0</v>
      </c>
      <c r="L13" s="218">
        <v>7875000</v>
      </c>
      <c r="M13" s="217" t="s">
        <v>29</v>
      </c>
      <c r="O13" s="233">
        <f t="shared" ref="O13:O18" si="2">F13+V13</f>
        <v>0</v>
      </c>
      <c r="P13" s="233">
        <f t="shared" ref="P13:P18" si="3">H13+X13</f>
        <v>0</v>
      </c>
      <c r="Q13" s="233">
        <f t="shared" ref="Q13:Q14" si="4">J13+Z13</f>
        <v>0</v>
      </c>
      <c r="R13" s="233">
        <f t="shared" ref="R13:R17" si="5">L13+AB13</f>
        <v>0</v>
      </c>
      <c r="S13" s="233"/>
      <c r="T13" s="220" t="s">
        <v>65</v>
      </c>
      <c r="U13" s="220" t="str">
        <f t="shared" ref="U13:U18" si="6">E13</f>
        <v>Dummy G</v>
      </c>
      <c r="V13" s="218">
        <v>-7875000</v>
      </c>
      <c r="W13" s="233">
        <v>0</v>
      </c>
      <c r="X13" s="220">
        <v>-7875000</v>
      </c>
      <c r="Y13" s="220">
        <v>0</v>
      </c>
      <c r="Z13" s="220">
        <v>-7875000</v>
      </c>
      <c r="AA13" s="220">
        <v>0</v>
      </c>
      <c r="AB13" s="220">
        <v>-7875000</v>
      </c>
      <c r="AC13" s="233"/>
      <c r="AD13" s="233"/>
      <c r="AE13" s="233"/>
      <c r="AF13" s="234"/>
      <c r="AG13" s="234"/>
      <c r="AH13" s="234"/>
      <c r="AI13" s="234"/>
      <c r="AJ13" s="234"/>
      <c r="AK13" s="234"/>
      <c r="AL13" s="234"/>
    </row>
    <row r="14" spans="2:43">
      <c r="B14" s="217" t="s">
        <v>640</v>
      </c>
      <c r="C14" s="217" t="s">
        <v>281</v>
      </c>
      <c r="D14" s="217" t="s">
        <v>29</v>
      </c>
      <c r="E14" s="217" t="s">
        <v>800</v>
      </c>
      <c r="F14" s="218">
        <v>-5712801042.375</v>
      </c>
      <c r="G14" s="218">
        <v>5712801042.375</v>
      </c>
      <c r="H14" s="218">
        <v>0</v>
      </c>
      <c r="I14" s="218">
        <v>0</v>
      </c>
      <c r="J14" s="218">
        <v>0</v>
      </c>
      <c r="K14" s="218">
        <v>0</v>
      </c>
      <c r="L14" s="218">
        <v>0</v>
      </c>
      <c r="M14" s="217" t="s">
        <v>29</v>
      </c>
      <c r="O14" s="233">
        <f t="shared" si="2"/>
        <v>7609702432.5</v>
      </c>
      <c r="P14" s="233">
        <f t="shared" si="3"/>
        <v>13322503474.875</v>
      </c>
      <c r="Q14" s="233">
        <f t="shared" si="4"/>
        <v>0</v>
      </c>
      <c r="R14" s="233">
        <f t="shared" si="5"/>
        <v>0</v>
      </c>
      <c r="S14" s="233"/>
      <c r="T14" s="220" t="s">
        <v>65</v>
      </c>
      <c r="U14" s="220" t="str">
        <f t="shared" si="6"/>
        <v>Dummy - H</v>
      </c>
      <c r="V14" s="218">
        <v>13322503474.875</v>
      </c>
      <c r="W14" s="233">
        <v>0</v>
      </c>
      <c r="X14" s="220">
        <v>13322503474.875</v>
      </c>
      <c r="Y14" s="220">
        <v>-13322503474.875</v>
      </c>
      <c r="Z14" s="220">
        <v>0</v>
      </c>
      <c r="AA14" s="220">
        <v>0</v>
      </c>
      <c r="AB14" s="220">
        <v>0</v>
      </c>
      <c r="AC14" s="233"/>
      <c r="AD14" s="233"/>
      <c r="AE14" s="233"/>
      <c r="AF14" s="234"/>
      <c r="AG14" s="234"/>
      <c r="AH14" s="234"/>
      <c r="AI14" s="234"/>
      <c r="AJ14" s="234"/>
      <c r="AK14" s="234"/>
      <c r="AL14" s="234"/>
    </row>
    <row r="15" spans="2:43">
      <c r="B15" s="217" t="s">
        <v>640</v>
      </c>
      <c r="C15" s="217" t="s">
        <v>281</v>
      </c>
      <c r="D15" s="217" t="s">
        <v>29</v>
      </c>
      <c r="E15" s="217" t="s">
        <v>630</v>
      </c>
      <c r="F15" s="218">
        <v>-3077191252.7999997</v>
      </c>
      <c r="G15" s="218">
        <v>2289691252.7999997</v>
      </c>
      <c r="H15" s="218">
        <v>-787500000</v>
      </c>
      <c r="I15" s="218">
        <v>0</v>
      </c>
      <c r="J15" s="235">
        <v>-787500000</v>
      </c>
      <c r="K15" s="235">
        <v>787500000</v>
      </c>
      <c r="L15" s="218">
        <v>0</v>
      </c>
      <c r="M15" s="217" t="s">
        <v>29</v>
      </c>
      <c r="O15" s="233">
        <f t="shared" si="2"/>
        <v>0</v>
      </c>
      <c r="P15" s="233">
        <f t="shared" si="3"/>
        <v>-1316572470.3599997</v>
      </c>
      <c r="Q15" s="233">
        <f>J15+Z15</f>
        <v>-1316572470.3599997</v>
      </c>
      <c r="R15" s="233">
        <f t="shared" si="5"/>
        <v>-1316572470.3599994</v>
      </c>
      <c r="S15" s="233"/>
      <c r="T15" s="220" t="s">
        <v>65</v>
      </c>
      <c r="U15" s="220" t="str">
        <f t="shared" si="6"/>
        <v>CVDummy - A</v>
      </c>
      <c r="V15" s="218">
        <v>3077191252.7999997</v>
      </c>
      <c r="W15" s="233">
        <v>-3606263723.1599994</v>
      </c>
      <c r="X15" s="220">
        <v>-529072470.35999954</v>
      </c>
      <c r="Y15" s="220">
        <v>0</v>
      </c>
      <c r="Z15" s="220">
        <v>-529072470.35999954</v>
      </c>
      <c r="AA15" s="220">
        <v>-787500000</v>
      </c>
      <c r="AB15" s="220">
        <v>-1316572470.3599994</v>
      </c>
      <c r="AC15" s="233"/>
      <c r="AD15" s="233"/>
      <c r="AE15" s="233"/>
      <c r="AF15" s="234"/>
      <c r="AG15" s="234"/>
      <c r="AH15" s="234"/>
      <c r="AI15" s="234"/>
      <c r="AJ15" s="234"/>
      <c r="AK15" s="234"/>
      <c r="AL15" s="234"/>
    </row>
    <row r="16" spans="2:43">
      <c r="B16" s="217" t="s">
        <v>640</v>
      </c>
      <c r="C16" s="217" t="s">
        <v>281</v>
      </c>
      <c r="D16" s="217" t="s">
        <v>29</v>
      </c>
      <c r="E16" s="217" t="s">
        <v>284</v>
      </c>
      <c r="F16" s="218">
        <v>23625000</v>
      </c>
      <c r="G16" s="218">
        <v>0</v>
      </c>
      <c r="H16" s="218">
        <v>23625000</v>
      </c>
      <c r="I16" s="218">
        <v>0</v>
      </c>
      <c r="J16" s="218">
        <v>23625000</v>
      </c>
      <c r="K16" s="218">
        <v>0</v>
      </c>
      <c r="L16" s="218">
        <v>23625000</v>
      </c>
      <c r="M16" s="217" t="s">
        <v>29</v>
      </c>
      <c r="O16" s="233">
        <f t="shared" si="2"/>
        <v>0</v>
      </c>
      <c r="P16" s="233">
        <f t="shared" si="3"/>
        <v>0</v>
      </c>
      <c r="Q16" s="233">
        <f>J16+Z16</f>
        <v>0</v>
      </c>
      <c r="R16" s="233">
        <f>K16+AA16</f>
        <v>0</v>
      </c>
      <c r="S16" s="233"/>
      <c r="T16" s="220" t="s">
        <v>65</v>
      </c>
      <c r="U16" s="220" t="str">
        <f t="shared" si="6"/>
        <v>ALI</v>
      </c>
      <c r="V16" s="218">
        <v>-23625000</v>
      </c>
      <c r="W16" s="233">
        <v>0</v>
      </c>
      <c r="X16" s="220">
        <v>-23625000</v>
      </c>
      <c r="Y16" s="220">
        <v>0</v>
      </c>
      <c r="Z16" s="220">
        <v>-23625000</v>
      </c>
      <c r="AA16" s="220">
        <v>0</v>
      </c>
      <c r="AB16" s="220">
        <v>-23625000</v>
      </c>
      <c r="AC16" s="233"/>
      <c r="AD16" s="233"/>
      <c r="AE16" s="233"/>
      <c r="AF16" s="234"/>
      <c r="AG16" s="234"/>
      <c r="AH16" s="234"/>
      <c r="AI16" s="234"/>
      <c r="AJ16" s="234"/>
      <c r="AK16" s="234"/>
      <c r="AL16" s="234"/>
    </row>
    <row r="17" spans="2:38">
      <c r="B17" s="217" t="s">
        <v>640</v>
      </c>
      <c r="C17" s="217" t="s">
        <v>281</v>
      </c>
      <c r="D17" s="217" t="s">
        <v>29</v>
      </c>
      <c r="E17" s="217" t="s">
        <v>811</v>
      </c>
      <c r="F17" s="218">
        <v>-21147349018.950001</v>
      </c>
      <c r="G17" s="218">
        <v>-7875000000</v>
      </c>
      <c r="H17" s="218">
        <v>-29022349018.950001</v>
      </c>
      <c r="I17" s="218">
        <v>0</v>
      </c>
      <c r="J17" s="218">
        <v>-29022349018.950001</v>
      </c>
      <c r="K17" s="218">
        <v>29022349018.950001</v>
      </c>
      <c r="L17" s="218">
        <v>0</v>
      </c>
      <c r="M17" s="217" t="s">
        <v>29</v>
      </c>
      <c r="O17" s="233">
        <f t="shared" si="2"/>
        <v>7875000000</v>
      </c>
      <c r="P17" s="233">
        <f t="shared" si="3"/>
        <v>0</v>
      </c>
      <c r="Q17" s="233">
        <f>J17+Z17</f>
        <v>-29022349018.950001</v>
      </c>
      <c r="R17" s="233">
        <f t="shared" si="5"/>
        <v>0</v>
      </c>
      <c r="S17" s="233"/>
      <c r="T17" s="220" t="s">
        <v>65</v>
      </c>
      <c r="U17" s="220" t="str">
        <f t="shared" si="6"/>
        <v>Dummy L</v>
      </c>
      <c r="V17" s="218">
        <v>29022349018.950001</v>
      </c>
      <c r="W17" s="220">
        <v>0</v>
      </c>
      <c r="X17" s="220">
        <v>29022349018.950001</v>
      </c>
      <c r="Y17" s="220">
        <v>-29022349018.950001</v>
      </c>
      <c r="Z17" s="220">
        <v>0</v>
      </c>
      <c r="AA17" s="220">
        <v>0</v>
      </c>
      <c r="AB17" s="220">
        <v>0</v>
      </c>
      <c r="AF17" s="234"/>
      <c r="AG17" s="234"/>
      <c r="AH17" s="234"/>
      <c r="AI17" s="234"/>
      <c r="AJ17" s="234"/>
      <c r="AK17" s="234"/>
      <c r="AL17" s="234"/>
    </row>
    <row r="18" spans="2:38">
      <c r="B18" s="217" t="s">
        <v>640</v>
      </c>
      <c r="C18" s="217" t="s">
        <v>281</v>
      </c>
      <c r="D18" s="217" t="s">
        <v>29</v>
      </c>
      <c r="E18" s="217" t="s">
        <v>815</v>
      </c>
      <c r="F18" s="218">
        <v>7875000</v>
      </c>
      <c r="G18" s="218">
        <v>0</v>
      </c>
      <c r="H18" s="218">
        <v>7875000</v>
      </c>
      <c r="I18" s="218">
        <v>0</v>
      </c>
      <c r="J18" s="218">
        <v>7875000</v>
      </c>
      <c r="K18" s="218">
        <v>0</v>
      </c>
      <c r="L18" s="218">
        <v>7875000</v>
      </c>
      <c r="M18" s="217" t="s">
        <v>29</v>
      </c>
      <c r="O18" s="233">
        <f t="shared" si="2"/>
        <v>0</v>
      </c>
      <c r="P18" s="233">
        <f t="shared" si="3"/>
        <v>0</v>
      </c>
      <c r="Q18" s="233">
        <f>J18+Z18</f>
        <v>0</v>
      </c>
      <c r="R18" s="233">
        <f>K18+AA18</f>
        <v>0</v>
      </c>
      <c r="S18" s="233"/>
      <c r="T18" s="220" t="s">
        <v>65</v>
      </c>
      <c r="U18" s="220" t="str">
        <f t="shared" si="6"/>
        <v>Dummy - M</v>
      </c>
      <c r="V18" s="218">
        <v>-7875000</v>
      </c>
      <c r="W18" s="220">
        <v>0</v>
      </c>
      <c r="X18" s="220">
        <v>-7875000</v>
      </c>
      <c r="Y18" s="220">
        <v>0</v>
      </c>
      <c r="Z18" s="220">
        <v>-7875000</v>
      </c>
      <c r="AA18" s="220">
        <v>0</v>
      </c>
      <c r="AB18" s="220">
        <v>-7875000</v>
      </c>
      <c r="AF18" s="234"/>
      <c r="AG18" s="234"/>
      <c r="AH18" s="234"/>
      <c r="AI18" s="234"/>
      <c r="AJ18" s="234"/>
      <c r="AK18" s="234"/>
      <c r="AL18" s="234"/>
    </row>
    <row r="19" spans="2:38">
      <c r="F19" s="220"/>
      <c r="G19" s="220"/>
      <c r="H19" s="220"/>
      <c r="I19" s="220"/>
      <c r="J19" s="218">
        <f t="shared" ref="J19" si="7">SUM(H19:I19)</f>
        <v>0</v>
      </c>
      <c r="L19" s="218">
        <f t="shared" ref="L19" si="8">SUM(J19:K19)</f>
        <v>0</v>
      </c>
      <c r="M19" s="217" t="s">
        <v>29</v>
      </c>
      <c r="O19" s="233"/>
      <c r="P19" s="233"/>
      <c r="Q19" s="233"/>
      <c r="R19" s="233"/>
      <c r="S19" s="233"/>
      <c r="T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2:38">
      <c r="E20" s="217" t="s">
        <v>278</v>
      </c>
      <c r="F20" s="220">
        <f>SUM(F7:F18)</f>
        <v>362561297933.04913</v>
      </c>
      <c r="G20" s="220"/>
      <c r="H20" s="218">
        <f>SUM(H7:H18)</f>
        <v>188265931712.20663</v>
      </c>
      <c r="I20" s="220"/>
      <c r="J20" s="218">
        <f>SUM(J7:J18)</f>
        <v>1247793088343.5066</v>
      </c>
      <c r="L20" s="218">
        <f>SUM(L7:L18)</f>
        <v>1269780273023.2341</v>
      </c>
      <c r="M20" s="217" t="s">
        <v>29</v>
      </c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2:38">
      <c r="D21" s="236" t="s">
        <v>285</v>
      </c>
      <c r="E21" s="217" t="s">
        <v>280</v>
      </c>
      <c r="F21" s="220">
        <v>371685324839.409</v>
      </c>
      <c r="G21" s="220"/>
      <c r="H21" s="220"/>
      <c r="I21" s="220"/>
      <c r="J21" s="220"/>
      <c r="K21" s="220"/>
      <c r="L21" s="220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2:38">
      <c r="D22" s="236" t="s">
        <v>285</v>
      </c>
      <c r="E22" s="217" t="s">
        <v>283</v>
      </c>
      <c r="F22" s="220">
        <v>-9124026907.2749996</v>
      </c>
      <c r="G22" s="220"/>
      <c r="H22" s="220"/>
      <c r="I22" s="220"/>
      <c r="J22" s="220"/>
      <c r="K22" s="237" t="s">
        <v>286</v>
      </c>
      <c r="L22" s="220">
        <f>'Consol SoFP 24'!H26</f>
        <v>1270117216469.3528</v>
      </c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2:38">
      <c r="E23" s="217" t="s">
        <v>109</v>
      </c>
      <c r="F23" s="220">
        <f>F20-SUM(F21:F22)</f>
        <v>0.9151611328125</v>
      </c>
      <c r="G23" s="220"/>
      <c r="H23" s="220"/>
      <c r="I23" s="220"/>
      <c r="J23" s="220"/>
      <c r="K23" s="220"/>
      <c r="L23" s="220">
        <f>L20-L22</f>
        <v>-336943446.11865234</v>
      </c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2:38">
      <c r="B24" s="238"/>
      <c r="C24" s="238"/>
      <c r="D24" s="238"/>
      <c r="E24" s="238"/>
      <c r="F24" s="239"/>
      <c r="G24" s="239"/>
      <c r="H24" s="239"/>
      <c r="I24" s="239"/>
      <c r="J24" s="239"/>
      <c r="K24" s="239"/>
      <c r="L24" s="239"/>
      <c r="M24" s="240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</row>
    <row r="25" spans="2:38">
      <c r="F25" s="220"/>
      <c r="G25" s="220"/>
      <c r="H25" s="220"/>
      <c r="I25" s="220"/>
      <c r="J25" s="220"/>
      <c r="K25" s="220"/>
      <c r="L25" s="220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</row>
    <row r="26" spans="2:38">
      <c r="B26" s="217" t="s">
        <v>688</v>
      </c>
      <c r="C26" s="217" t="s">
        <v>281</v>
      </c>
      <c r="D26" s="217" t="s">
        <v>29</v>
      </c>
      <c r="E26" s="217" t="s">
        <v>640</v>
      </c>
      <c r="F26" s="220">
        <v>-39691115629.199997</v>
      </c>
      <c r="G26" s="220">
        <v>39691115629.199997</v>
      </c>
      <c r="H26" s="218">
        <v>0</v>
      </c>
      <c r="I26" s="218">
        <v>0</v>
      </c>
      <c r="J26" s="218">
        <v>0</v>
      </c>
      <c r="K26" s="218">
        <v>0</v>
      </c>
      <c r="L26" s="218">
        <v>0</v>
      </c>
      <c r="M26" s="217" t="s">
        <v>29</v>
      </c>
      <c r="O26" s="233">
        <f t="shared" ref="O26:O31" si="9">F26+V26</f>
        <v>-120490846887.59999</v>
      </c>
      <c r="P26" s="233">
        <f t="shared" ref="P26:P33" si="10">H26+X26</f>
        <v>0</v>
      </c>
      <c r="Q26" s="233">
        <f t="shared" ref="Q26:Q33" si="11">J26+Z26</f>
        <v>0</v>
      </c>
      <c r="R26" s="233">
        <f t="shared" ref="R26:R33" si="12">L26+AB26</f>
        <v>0</v>
      </c>
      <c r="S26" s="233"/>
      <c r="T26" s="220" t="s">
        <v>65</v>
      </c>
      <c r="U26" s="220" t="str">
        <f t="shared" ref="U26:U33" si="13">E26</f>
        <v>Dummy - C</v>
      </c>
      <c r="V26" s="218">
        <v>-80799731258.399994</v>
      </c>
      <c r="W26" s="218">
        <v>80799731258.399994</v>
      </c>
      <c r="X26" s="220">
        <v>0</v>
      </c>
      <c r="Y26" s="233">
        <v>0</v>
      </c>
      <c r="Z26" s="220">
        <v>0</v>
      </c>
      <c r="AA26" s="220">
        <v>0</v>
      </c>
      <c r="AB26" s="220">
        <v>0</v>
      </c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</row>
    <row r="27" spans="2:38">
      <c r="B27" s="217" t="s">
        <v>688</v>
      </c>
      <c r="C27" s="217" t="s">
        <v>281</v>
      </c>
      <c r="D27" s="217" t="s">
        <v>29</v>
      </c>
      <c r="E27" s="217" t="s">
        <v>802</v>
      </c>
      <c r="F27" s="220">
        <v>19118173126.5</v>
      </c>
      <c r="G27" s="220">
        <v>0</v>
      </c>
      <c r="H27" s="218">
        <v>19118173126.5</v>
      </c>
      <c r="I27" s="218">
        <v>1687537889.0999999</v>
      </c>
      <c r="J27" s="218">
        <v>20805711015.599998</v>
      </c>
      <c r="K27" s="218">
        <v>0</v>
      </c>
      <c r="L27" s="218">
        <v>20805711015.599998</v>
      </c>
      <c r="M27" s="217" t="s">
        <v>29</v>
      </c>
      <c r="O27" s="233">
        <f t="shared" si="9"/>
        <v>19118173126.5</v>
      </c>
      <c r="P27" s="233">
        <f t="shared" si="10"/>
        <v>19118173126.5</v>
      </c>
      <c r="Q27" s="233">
        <f t="shared" si="11"/>
        <v>23625</v>
      </c>
      <c r="R27" s="233">
        <f t="shared" si="12"/>
        <v>23625</v>
      </c>
      <c r="S27" s="233"/>
      <c r="T27" s="220" t="s">
        <v>65</v>
      </c>
      <c r="U27" s="220" t="str">
        <f t="shared" si="13"/>
        <v>Dummy - I</v>
      </c>
      <c r="V27" s="218">
        <v>0</v>
      </c>
      <c r="W27" s="233">
        <v>0</v>
      </c>
      <c r="X27" s="220">
        <v>0</v>
      </c>
      <c r="Y27" s="233">
        <v>-20805687390.599998</v>
      </c>
      <c r="Z27" s="220">
        <v>-20805687390.599998</v>
      </c>
      <c r="AA27" s="220">
        <v>0</v>
      </c>
      <c r="AB27" s="220">
        <v>-20805687390.599998</v>
      </c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</row>
    <row r="28" spans="2:38">
      <c r="B28" s="217" t="s">
        <v>688</v>
      </c>
      <c r="C28" s="217" t="s">
        <v>281</v>
      </c>
      <c r="D28" s="217" t="s">
        <v>29</v>
      </c>
      <c r="E28" s="217" t="s">
        <v>740</v>
      </c>
      <c r="F28" s="220">
        <v>5040938.7</v>
      </c>
      <c r="G28" s="220">
        <v>0</v>
      </c>
      <c r="H28" s="218">
        <v>5040938.7</v>
      </c>
      <c r="I28" s="218">
        <v>0</v>
      </c>
      <c r="J28" s="218">
        <v>5040938.7</v>
      </c>
      <c r="K28" s="218">
        <v>0</v>
      </c>
      <c r="L28" s="218">
        <v>5040938.7</v>
      </c>
      <c r="M28" s="217" t="s">
        <v>29</v>
      </c>
      <c r="O28" s="233">
        <f t="shared" si="9"/>
        <v>0</v>
      </c>
      <c r="P28" s="233">
        <f t="shared" si="10"/>
        <v>0</v>
      </c>
      <c r="Q28" s="233">
        <f t="shared" si="11"/>
        <v>0</v>
      </c>
      <c r="R28" s="233">
        <f t="shared" si="12"/>
        <v>0</v>
      </c>
      <c r="S28" s="233"/>
      <c r="T28" s="220" t="s">
        <v>65</v>
      </c>
      <c r="U28" s="220" t="str">
        <f t="shared" si="13"/>
        <v>Dummy - E</v>
      </c>
      <c r="V28" s="218">
        <v>-5040938.7</v>
      </c>
      <c r="W28" s="233">
        <v>0</v>
      </c>
      <c r="X28" s="220">
        <v>-5040938.7</v>
      </c>
      <c r="Y28" s="233">
        <v>0</v>
      </c>
      <c r="Z28" s="220">
        <v>-5040938.7</v>
      </c>
      <c r="AA28" s="220">
        <v>0</v>
      </c>
      <c r="AB28" s="220">
        <v>-5040938.7</v>
      </c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</row>
    <row r="29" spans="2:38">
      <c r="B29" s="217" t="s">
        <v>688</v>
      </c>
      <c r="C29" s="217" t="s">
        <v>281</v>
      </c>
      <c r="D29" s="217" t="s">
        <v>29</v>
      </c>
      <c r="E29" s="217" t="s">
        <v>465</v>
      </c>
      <c r="F29" s="220">
        <v>676679678.32499993</v>
      </c>
      <c r="G29" s="220">
        <v>0</v>
      </c>
      <c r="H29" s="218">
        <v>676679678.32499993</v>
      </c>
      <c r="I29" s="218">
        <v>0</v>
      </c>
      <c r="J29" s="218">
        <v>676679678.32499993</v>
      </c>
      <c r="K29" s="218">
        <v>0</v>
      </c>
      <c r="L29" s="218">
        <v>676679678.32499993</v>
      </c>
      <c r="M29" s="217" t="s">
        <v>29</v>
      </c>
      <c r="O29" s="233">
        <f t="shared" si="9"/>
        <v>0</v>
      </c>
      <c r="P29" s="233">
        <f t="shared" si="10"/>
        <v>0</v>
      </c>
      <c r="Q29" s="233">
        <f t="shared" si="11"/>
        <v>0</v>
      </c>
      <c r="R29" s="233">
        <f t="shared" si="12"/>
        <v>0</v>
      </c>
      <c r="S29" s="233"/>
      <c r="T29" s="220" t="s">
        <v>65</v>
      </c>
      <c r="U29" s="220" t="str">
        <f t="shared" si="13"/>
        <v>Dummy F</v>
      </c>
      <c r="V29" s="218">
        <v>-676679678.32499993</v>
      </c>
      <c r="W29" s="233">
        <v>0</v>
      </c>
      <c r="X29" s="220">
        <v>-676679678.32499993</v>
      </c>
      <c r="Y29" s="233">
        <v>0</v>
      </c>
      <c r="Z29" s="220">
        <v>-676679678.32499993</v>
      </c>
      <c r="AA29" s="220">
        <v>0</v>
      </c>
      <c r="AB29" s="220">
        <v>-676679678.32499993</v>
      </c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</row>
    <row r="30" spans="2:38">
      <c r="B30" s="217" t="s">
        <v>688</v>
      </c>
      <c r="C30" s="217" t="s">
        <v>281</v>
      </c>
      <c r="D30" s="217" t="s">
        <v>29</v>
      </c>
      <c r="E30" s="217" t="s">
        <v>609</v>
      </c>
      <c r="F30" s="220">
        <v>-16909256293.146</v>
      </c>
      <c r="G30" s="220">
        <v>0</v>
      </c>
      <c r="H30" s="218">
        <v>-16909256293.146</v>
      </c>
      <c r="I30" s="218">
        <v>19091876265</v>
      </c>
      <c r="J30" s="218">
        <v>2182619971.8539996</v>
      </c>
      <c r="K30" s="218">
        <v>15925560001.186502</v>
      </c>
      <c r="L30" s="218">
        <v>18108179973.040501</v>
      </c>
      <c r="M30" s="217" t="s">
        <v>29</v>
      </c>
      <c r="O30" s="233">
        <f t="shared" si="9"/>
        <v>0</v>
      </c>
      <c r="P30" s="233">
        <f t="shared" si="10"/>
        <v>0</v>
      </c>
      <c r="Q30" s="233">
        <f t="shared" si="11"/>
        <v>0</v>
      </c>
      <c r="R30" s="233">
        <f t="shared" si="12"/>
        <v>0</v>
      </c>
      <c r="S30" s="233"/>
      <c r="T30" s="220" t="s">
        <v>65</v>
      </c>
      <c r="U30" s="220" t="str">
        <f t="shared" si="13"/>
        <v>Dummy - A</v>
      </c>
      <c r="V30" s="218">
        <v>16909256293.146</v>
      </c>
      <c r="W30" s="233">
        <v>0</v>
      </c>
      <c r="X30" s="220">
        <v>16909256293.146</v>
      </c>
      <c r="Y30" s="233">
        <v>-19091876265</v>
      </c>
      <c r="Z30" s="220">
        <v>-2182619971.8539996</v>
      </c>
      <c r="AA30" s="220">
        <v>-15925560001.186502</v>
      </c>
      <c r="AB30" s="220">
        <v>-18108179973.040501</v>
      </c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</row>
    <row r="31" spans="2:38">
      <c r="B31" s="217" t="s">
        <v>688</v>
      </c>
      <c r="C31" s="217" t="s">
        <v>281</v>
      </c>
      <c r="D31" s="217" t="s">
        <v>29</v>
      </c>
      <c r="E31" s="217" t="s">
        <v>287</v>
      </c>
      <c r="F31" s="220">
        <v>0</v>
      </c>
      <c r="G31" s="220">
        <v>0</v>
      </c>
      <c r="H31" s="218">
        <v>0</v>
      </c>
      <c r="I31" s="218">
        <v>0</v>
      </c>
      <c r="J31" s="218">
        <v>0</v>
      </c>
      <c r="K31" s="218">
        <v>0</v>
      </c>
      <c r="L31" s="218">
        <v>0</v>
      </c>
      <c r="M31" s="217" t="s">
        <v>29</v>
      </c>
      <c r="O31" s="233">
        <f t="shared" si="9"/>
        <v>0</v>
      </c>
      <c r="P31" s="233">
        <f t="shared" si="10"/>
        <v>0</v>
      </c>
      <c r="Q31" s="233">
        <f t="shared" si="11"/>
        <v>0</v>
      </c>
      <c r="R31" s="233">
        <f t="shared" si="12"/>
        <v>0</v>
      </c>
      <c r="S31" s="233"/>
      <c r="T31" s="220" t="s">
        <v>65</v>
      </c>
      <c r="U31" s="220" t="str">
        <f t="shared" si="13"/>
        <v>SH</v>
      </c>
      <c r="V31" s="218">
        <v>0</v>
      </c>
      <c r="W31" s="233">
        <v>0</v>
      </c>
      <c r="X31" s="220">
        <v>0</v>
      </c>
      <c r="Y31" s="233">
        <v>0</v>
      </c>
      <c r="Z31" s="220">
        <v>0</v>
      </c>
      <c r="AA31" s="220">
        <v>0</v>
      </c>
      <c r="AB31" s="220">
        <v>0</v>
      </c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</row>
    <row r="32" spans="2:38">
      <c r="B32" s="217" t="s">
        <v>688</v>
      </c>
      <c r="C32" s="217" t="s">
        <v>281</v>
      </c>
      <c r="D32" s="217" t="s">
        <v>29</v>
      </c>
      <c r="E32" s="217" t="s">
        <v>630</v>
      </c>
      <c r="F32" s="220">
        <v>0</v>
      </c>
      <c r="G32" s="220">
        <v>0</v>
      </c>
      <c r="H32" s="218">
        <v>0</v>
      </c>
      <c r="I32" s="218">
        <v>0</v>
      </c>
      <c r="J32" s="218">
        <v>0</v>
      </c>
      <c r="K32" s="218">
        <v>14380578134.464499</v>
      </c>
      <c r="L32" s="218">
        <v>14380578134.464499</v>
      </c>
      <c r="M32" s="217" t="s">
        <v>29</v>
      </c>
      <c r="O32" s="233">
        <f t="shared" ref="O32:O33" si="14">H32+V32</f>
        <v>0</v>
      </c>
      <c r="P32" s="233">
        <f t="shared" si="10"/>
        <v>0</v>
      </c>
      <c r="Q32" s="233">
        <f t="shared" si="11"/>
        <v>0</v>
      </c>
      <c r="R32" s="233">
        <f t="shared" si="12"/>
        <v>-8268832427.3170872</v>
      </c>
      <c r="S32" s="233"/>
      <c r="T32" s="220" t="s">
        <v>65</v>
      </c>
      <c r="U32" s="220" t="str">
        <f t="shared" si="13"/>
        <v>CVDummy - A</v>
      </c>
      <c r="V32" s="218">
        <v>0</v>
      </c>
      <c r="W32" s="233">
        <v>0</v>
      </c>
      <c r="X32" s="220">
        <v>0</v>
      </c>
      <c r="Y32" s="233">
        <v>0</v>
      </c>
      <c r="Z32" s="220">
        <v>0</v>
      </c>
      <c r="AA32" s="220">
        <v>-22649410561.781586</v>
      </c>
      <c r="AB32" s="220">
        <v>-22649410561.781586</v>
      </c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</row>
    <row r="33" spans="2:42">
      <c r="B33" s="217" t="s">
        <v>688</v>
      </c>
      <c r="C33" s="217" t="s">
        <v>281</v>
      </c>
      <c r="D33" s="217" t="s">
        <v>29</v>
      </c>
      <c r="E33" s="217" t="s">
        <v>815</v>
      </c>
      <c r="F33" s="220">
        <v>131116576.5</v>
      </c>
      <c r="G33" s="220">
        <v>0</v>
      </c>
      <c r="H33" s="218">
        <v>131116576.5</v>
      </c>
      <c r="I33" s="218">
        <v>0</v>
      </c>
      <c r="J33" s="218">
        <v>131116576.5</v>
      </c>
      <c r="K33" s="218">
        <v>0</v>
      </c>
      <c r="L33" s="218">
        <v>131116576.5</v>
      </c>
      <c r="M33" s="217" t="s">
        <v>29</v>
      </c>
      <c r="O33" s="233">
        <f t="shared" si="14"/>
        <v>0</v>
      </c>
      <c r="P33" s="233">
        <f t="shared" si="10"/>
        <v>0</v>
      </c>
      <c r="Q33" s="233">
        <f t="shared" si="11"/>
        <v>0</v>
      </c>
      <c r="R33" s="233">
        <f t="shared" si="12"/>
        <v>0</v>
      </c>
      <c r="S33" s="233"/>
      <c r="T33" s="220" t="s">
        <v>65</v>
      </c>
      <c r="U33" s="220" t="str">
        <f t="shared" si="13"/>
        <v>Dummy - M</v>
      </c>
      <c r="V33" s="218">
        <v>-131116576.5</v>
      </c>
      <c r="W33" s="233">
        <v>0</v>
      </c>
      <c r="X33" s="220">
        <v>-131116576.5</v>
      </c>
      <c r="Y33" s="233">
        <v>0</v>
      </c>
      <c r="Z33" s="220">
        <v>-131116576.5</v>
      </c>
      <c r="AA33" s="220">
        <v>0</v>
      </c>
      <c r="AB33" s="220">
        <v>-131116576.5</v>
      </c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</row>
    <row r="34" spans="2:42">
      <c r="F34" s="220"/>
      <c r="G34" s="220"/>
      <c r="H34" s="220"/>
      <c r="I34" s="220"/>
      <c r="J34" s="220"/>
      <c r="K34" s="220"/>
      <c r="L34" s="220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</row>
    <row r="35" spans="2:42">
      <c r="E35" s="217" t="s">
        <v>278</v>
      </c>
      <c r="F35" s="218">
        <f>SUM(F26:F33)</f>
        <v>-36669361602.320999</v>
      </c>
      <c r="G35" s="220"/>
      <c r="H35" s="218">
        <f>SUM(H26:H33)</f>
        <v>3021754026.8790016</v>
      </c>
      <c r="I35" s="220"/>
      <c r="J35" s="218">
        <f>SUM(J26:J33)</f>
        <v>23801168180.979</v>
      </c>
      <c r="K35" s="220"/>
      <c r="L35" s="218">
        <f>SUM(L26:L33)</f>
        <v>54107306316.629997</v>
      </c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</row>
    <row r="36" spans="2:42">
      <c r="D36" s="236" t="s">
        <v>285</v>
      </c>
      <c r="E36" s="217" t="s">
        <v>280</v>
      </c>
      <c r="F36" s="220">
        <v>-32369740768.575001</v>
      </c>
      <c r="G36" s="220">
        <f>F36*1.575</f>
        <v>-50982341710.505623</v>
      </c>
      <c r="H36" s="220"/>
      <c r="I36" s="220"/>
      <c r="J36" s="220"/>
      <c r="K36" s="237" t="s">
        <v>286</v>
      </c>
      <c r="L36" s="220">
        <v>26972296603</v>
      </c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</row>
    <row r="37" spans="2:42">
      <c r="D37" s="236"/>
      <c r="F37" s="220">
        <f>F35-F36</f>
        <v>-4299620833.7459984</v>
      </c>
      <c r="G37" s="220"/>
      <c r="H37" s="220"/>
      <c r="I37" s="220"/>
      <c r="J37" s="220"/>
      <c r="K37" s="220"/>
      <c r="L37" s="220">
        <f>L35-L36</f>
        <v>27135009713.629997</v>
      </c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</row>
    <row r="38" spans="2:42">
      <c r="B38" s="238"/>
      <c r="C38" s="238"/>
      <c r="D38" s="238"/>
      <c r="E38" s="238"/>
      <c r="F38" s="239"/>
      <c r="G38" s="239"/>
      <c r="H38" s="239"/>
      <c r="I38" s="239"/>
      <c r="J38" s="239"/>
      <c r="K38" s="239"/>
      <c r="L38" s="239"/>
      <c r="M38" s="240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</row>
    <row r="39" spans="2:42">
      <c r="F39" s="220"/>
      <c r="G39" s="220"/>
      <c r="H39" s="220"/>
      <c r="I39" s="220"/>
      <c r="J39" s="220"/>
      <c r="K39" s="220"/>
      <c r="L39" s="220"/>
      <c r="O39" s="233"/>
      <c r="P39" s="233"/>
      <c r="Q39" s="233"/>
      <c r="R39" s="233"/>
      <c r="S39" s="233"/>
      <c r="T39" s="233"/>
      <c r="U39" s="233"/>
      <c r="V39" s="218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</row>
    <row r="40" spans="2:42">
      <c r="B40" s="217" t="s">
        <v>740</v>
      </c>
      <c r="C40" s="217" t="s">
        <v>281</v>
      </c>
      <c r="D40" s="217" t="s">
        <v>29</v>
      </c>
      <c r="E40" s="217" t="s">
        <v>640</v>
      </c>
      <c r="F40" s="220">
        <v>787500000</v>
      </c>
      <c r="G40" s="220">
        <v>0</v>
      </c>
      <c r="H40" s="218">
        <v>787500000</v>
      </c>
      <c r="I40" s="218">
        <v>0</v>
      </c>
      <c r="J40" s="218">
        <v>787500000</v>
      </c>
      <c r="K40" s="218">
        <v>0</v>
      </c>
      <c r="L40" s="218">
        <v>787500000</v>
      </c>
      <c r="M40" s="217" t="s">
        <v>29</v>
      </c>
      <c r="O40" s="233">
        <f t="shared" ref="O40:O41" si="15">F40+V40</f>
        <v>0</v>
      </c>
      <c r="P40" s="233">
        <f t="shared" ref="P40:P41" si="16">H40+X40</f>
        <v>0</v>
      </c>
      <c r="Q40" s="233">
        <f t="shared" ref="Q40:Q41" si="17">J40+Z40</f>
        <v>0</v>
      </c>
      <c r="R40" s="233">
        <f t="shared" ref="R40:R41" si="18">L40+AB40</f>
        <v>0</v>
      </c>
      <c r="S40" s="233"/>
      <c r="T40" s="220" t="s">
        <v>65</v>
      </c>
      <c r="U40" s="220" t="str">
        <f t="shared" ref="U40:U41" si="19">E40</f>
        <v>Dummy - C</v>
      </c>
      <c r="V40" s="218">
        <v>-787500000</v>
      </c>
      <c r="W40" s="233">
        <v>0</v>
      </c>
      <c r="X40" s="220">
        <v>-787500000</v>
      </c>
      <c r="Y40" s="233">
        <v>0</v>
      </c>
      <c r="Z40" s="220">
        <v>-787500000</v>
      </c>
      <c r="AA40" s="220">
        <v>0</v>
      </c>
      <c r="AB40" s="220">
        <v>-787500000</v>
      </c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</row>
    <row r="41" spans="2:42">
      <c r="B41" s="217" t="s">
        <v>740</v>
      </c>
      <c r="C41" s="217" t="s">
        <v>281</v>
      </c>
      <c r="D41" s="217" t="s">
        <v>29</v>
      </c>
      <c r="E41" s="217" t="s">
        <v>688</v>
      </c>
      <c r="F41" s="220">
        <v>21409708319.905499</v>
      </c>
      <c r="G41" s="220">
        <v>0</v>
      </c>
      <c r="H41" s="218">
        <v>21409708319.905499</v>
      </c>
      <c r="I41" s="218">
        <v>0</v>
      </c>
      <c r="J41" s="218">
        <v>21409708319.905499</v>
      </c>
      <c r="K41" s="218">
        <v>579433862.69999993</v>
      </c>
      <c r="L41" s="218">
        <v>21989142182.605499</v>
      </c>
      <c r="M41" s="217" t="s">
        <v>29</v>
      </c>
      <c r="O41" s="233">
        <f t="shared" si="15"/>
        <v>6289708319.9999981</v>
      </c>
      <c r="P41" s="233">
        <f t="shared" si="16"/>
        <v>6289708319.9999981</v>
      </c>
      <c r="Q41" s="233">
        <f t="shared" si="17"/>
        <v>0</v>
      </c>
      <c r="R41" s="233">
        <f t="shared" si="18"/>
        <v>0</v>
      </c>
      <c r="S41" s="233"/>
      <c r="T41" s="220" t="s">
        <v>65</v>
      </c>
      <c r="U41" s="220" t="str">
        <f t="shared" si="19"/>
        <v>Dummy - D</v>
      </c>
      <c r="V41" s="218">
        <v>-15119999999.9055</v>
      </c>
      <c r="W41" s="233">
        <v>0</v>
      </c>
      <c r="X41" s="220">
        <v>-15119999999.9055</v>
      </c>
      <c r="Y41" s="233">
        <v>-6289708320</v>
      </c>
      <c r="Z41" s="220">
        <v>-21409708319.905499</v>
      </c>
      <c r="AA41" s="220">
        <v>-579433862.69999993</v>
      </c>
      <c r="AB41" s="220">
        <v>-21989142182.605499</v>
      </c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</row>
    <row r="42" spans="2:42">
      <c r="F42" s="220"/>
      <c r="G42" s="220"/>
      <c r="H42" s="220"/>
      <c r="I42" s="220"/>
      <c r="J42" s="220"/>
      <c r="K42" s="220"/>
      <c r="L42" s="220"/>
      <c r="O42" s="233"/>
      <c r="P42" s="233"/>
      <c r="Q42" s="233"/>
      <c r="R42" s="233"/>
      <c r="S42" s="233"/>
      <c r="T42" s="233"/>
      <c r="U42" s="233"/>
      <c r="V42" s="218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</row>
    <row r="43" spans="2:42">
      <c r="E43" s="217" t="s">
        <v>278</v>
      </c>
      <c r="F43" s="218">
        <f>SUM(F40:F41)</f>
        <v>22197208319.905499</v>
      </c>
      <c r="G43" s="220"/>
      <c r="H43" s="218">
        <f>SUM(H40:H41)</f>
        <v>22197208319.905499</v>
      </c>
      <c r="J43" s="218">
        <f>SUM(J40:J41)</f>
        <v>22197208319.905499</v>
      </c>
      <c r="L43" s="218">
        <f>SUM(L40:L41)</f>
        <v>22776642182.605499</v>
      </c>
      <c r="O43" s="233"/>
      <c r="P43" s="233"/>
      <c r="Q43" s="233"/>
      <c r="R43" s="233"/>
      <c r="S43" s="233"/>
      <c r="T43" s="233"/>
      <c r="U43" s="233"/>
      <c r="V43" s="218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</row>
    <row r="44" spans="2:42">
      <c r="D44" s="236" t="s">
        <v>285</v>
      </c>
      <c r="E44" s="217" t="s">
        <v>280</v>
      </c>
      <c r="F44" s="220">
        <f>'Consol SoFP 24'!M26</f>
        <v>22197208320</v>
      </c>
      <c r="G44" s="220"/>
      <c r="H44" s="220">
        <v>14093465600</v>
      </c>
      <c r="I44" s="220"/>
      <c r="J44" s="220"/>
      <c r="K44" s="237" t="s">
        <v>286</v>
      </c>
      <c r="L44" s="220">
        <v>14093465600</v>
      </c>
      <c r="O44" s="233"/>
      <c r="P44" s="233"/>
      <c r="Q44" s="233"/>
      <c r="R44" s="233"/>
      <c r="S44" s="233"/>
      <c r="T44" s="233"/>
      <c r="U44" s="233"/>
      <c r="V44" s="218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</row>
    <row r="45" spans="2:42">
      <c r="D45" s="236"/>
      <c r="F45" s="220">
        <f>F43-F44</f>
        <v>-9.4501495361328125E-2</v>
      </c>
      <c r="G45" s="220"/>
      <c r="H45" s="220">
        <f>H43-H44</f>
        <v>8103742719.9054985</v>
      </c>
      <c r="I45" s="220"/>
      <c r="J45" s="220"/>
      <c r="K45" s="220"/>
      <c r="L45" s="220">
        <f>L43-L44</f>
        <v>8683176582.6054993</v>
      </c>
      <c r="O45" s="233"/>
      <c r="P45" s="233"/>
      <c r="Q45" s="233"/>
      <c r="R45" s="233"/>
      <c r="S45" s="233"/>
      <c r="T45" s="233"/>
      <c r="U45" s="233"/>
      <c r="V45" s="218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</row>
    <row r="46" spans="2:42">
      <c r="B46" s="238"/>
      <c r="C46" s="238"/>
      <c r="D46" s="238"/>
      <c r="E46" s="238"/>
      <c r="F46" s="239"/>
      <c r="G46" s="239"/>
      <c r="H46" s="239"/>
      <c r="I46" s="239"/>
      <c r="J46" s="239"/>
      <c r="K46" s="239"/>
      <c r="L46" s="239"/>
      <c r="M46" s="240"/>
      <c r="O46" s="233"/>
      <c r="P46" s="233"/>
      <c r="Q46" s="233"/>
      <c r="R46" s="233"/>
      <c r="S46" s="233"/>
      <c r="T46" s="233"/>
      <c r="U46" s="233"/>
      <c r="V46" s="218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</row>
    <row r="47" spans="2:42">
      <c r="F47" s="220"/>
      <c r="G47" s="220"/>
      <c r="H47" s="220"/>
      <c r="I47" s="220"/>
      <c r="J47" s="220"/>
      <c r="K47" s="220"/>
      <c r="L47" s="220"/>
      <c r="O47" s="233"/>
      <c r="P47" s="233"/>
      <c r="Q47" s="233"/>
      <c r="R47" s="233"/>
      <c r="S47" s="233"/>
      <c r="T47" s="233"/>
      <c r="U47" s="233"/>
      <c r="V47" s="218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</row>
    <row r="48" spans="2:42">
      <c r="B48" s="217" t="s">
        <v>802</v>
      </c>
      <c r="C48" s="217" t="s">
        <v>281</v>
      </c>
      <c r="D48" s="217" t="s">
        <v>29</v>
      </c>
      <c r="E48" s="217" t="s">
        <v>688</v>
      </c>
      <c r="F48" s="220">
        <v>0</v>
      </c>
      <c r="G48" s="220">
        <v>0</v>
      </c>
      <c r="H48" s="218">
        <v>0</v>
      </c>
      <c r="I48" s="218">
        <v>1890000000</v>
      </c>
      <c r="J48" s="218">
        <v>1890000000</v>
      </c>
      <c r="K48" s="218">
        <v>0</v>
      </c>
      <c r="L48" s="218">
        <f t="shared" ref="L48" si="20">SUM(J48:K48)</f>
        <v>1890000000</v>
      </c>
      <c r="M48" s="217" t="s">
        <v>29</v>
      </c>
      <c r="O48" s="233">
        <f t="shared" ref="O48" si="21">F48+V48</f>
        <v>-1200000000</v>
      </c>
      <c r="P48" s="233">
        <f t="shared" ref="P48" si="22">H48+X48</f>
        <v>-1890000000</v>
      </c>
      <c r="Q48" s="233">
        <f t="shared" ref="Q48" si="23">J48+Z48</f>
        <v>0</v>
      </c>
      <c r="R48" s="233">
        <f t="shared" ref="R48" si="24">L48+AB48</f>
        <v>0</v>
      </c>
      <c r="S48" s="233"/>
      <c r="T48" s="220" t="s">
        <v>65</v>
      </c>
      <c r="U48" s="220" t="str">
        <f t="shared" ref="U48" si="25">E48</f>
        <v>Dummy - D</v>
      </c>
      <c r="V48" s="218">
        <v>-1200000000</v>
      </c>
      <c r="W48" s="233"/>
      <c r="X48" s="220">
        <v>-1890000000</v>
      </c>
      <c r="Y48" s="233">
        <v>0</v>
      </c>
      <c r="Z48" s="220">
        <v>-1890000000</v>
      </c>
      <c r="AA48" s="220">
        <v>0</v>
      </c>
      <c r="AB48" s="220">
        <v>-1890000000</v>
      </c>
      <c r="AC48" s="233"/>
      <c r="AD48" s="233"/>
      <c r="AE48" s="233"/>
      <c r="AF48" s="233"/>
      <c r="AG48" s="233"/>
      <c r="AJ48" s="514">
        <f>V48*1.575</f>
        <v>-1890000000</v>
      </c>
      <c r="AK48" s="514">
        <f t="shared" ref="AK48:AN48" si="26">W48*1.575</f>
        <v>0</v>
      </c>
      <c r="AL48" s="514">
        <f t="shared" si="26"/>
        <v>-2976750000</v>
      </c>
      <c r="AM48" s="514">
        <f t="shared" si="26"/>
        <v>0</v>
      </c>
      <c r="AN48" s="514">
        <f t="shared" si="26"/>
        <v>-2976750000</v>
      </c>
    </row>
    <row r="49" spans="2:41">
      <c r="F49" s="220"/>
      <c r="G49" s="220"/>
      <c r="H49" s="220"/>
      <c r="I49" s="220"/>
      <c r="J49" s="220"/>
      <c r="K49" s="220"/>
      <c r="L49" s="220"/>
      <c r="O49" s="233"/>
      <c r="P49" s="233"/>
      <c r="Q49" s="233"/>
      <c r="R49" s="233"/>
      <c r="S49" s="233"/>
      <c r="T49" s="233"/>
      <c r="U49" s="233"/>
      <c r="V49" s="218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</row>
    <row r="50" spans="2:41">
      <c r="E50" s="217" t="s">
        <v>278</v>
      </c>
      <c r="F50" s="218">
        <f>SUM(F48:F48)</f>
        <v>0</v>
      </c>
      <c r="G50" s="220"/>
      <c r="H50" s="218">
        <f>SUM(H48:H48)</f>
        <v>0</v>
      </c>
      <c r="J50" s="218">
        <f>SUM(J48:J48)</f>
        <v>1890000000</v>
      </c>
      <c r="L50" s="218">
        <f>SUM(L48:L48)</f>
        <v>1890000000</v>
      </c>
      <c r="O50" s="233"/>
      <c r="P50" s="233"/>
      <c r="Q50" s="233"/>
      <c r="R50" s="233"/>
      <c r="S50" s="233"/>
      <c r="T50" s="233"/>
      <c r="U50" s="233"/>
      <c r="V50" s="218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</row>
    <row r="51" spans="2:41">
      <c r="D51" s="236" t="s">
        <v>285</v>
      </c>
      <c r="E51" s="217" t="s">
        <v>280</v>
      </c>
      <c r="F51" s="220">
        <v>0</v>
      </c>
      <c r="G51" s="220"/>
      <c r="H51" s="220">
        <v>0</v>
      </c>
      <c r="I51" s="220"/>
      <c r="J51" s="220"/>
      <c r="K51" s="237" t="s">
        <v>286</v>
      </c>
      <c r="L51" s="220">
        <v>0</v>
      </c>
      <c r="O51" s="233"/>
      <c r="P51" s="233"/>
      <c r="Q51" s="233"/>
      <c r="R51" s="233"/>
      <c r="S51" s="233"/>
      <c r="T51" s="233"/>
      <c r="U51" s="233"/>
      <c r="V51" s="218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</row>
    <row r="52" spans="2:41">
      <c r="D52" s="236"/>
      <c r="F52" s="220">
        <f>F50-F51</f>
        <v>0</v>
      </c>
      <c r="G52" s="220"/>
      <c r="H52" s="220">
        <f>H50-H51</f>
        <v>0</v>
      </c>
      <c r="I52" s="220"/>
      <c r="J52" s="220"/>
      <c r="K52" s="220"/>
      <c r="L52" s="220">
        <f>L50-L51</f>
        <v>1890000000</v>
      </c>
      <c r="O52" s="233"/>
      <c r="P52" s="233"/>
      <c r="Q52" s="233"/>
      <c r="R52" s="233"/>
      <c r="S52" s="233"/>
      <c r="T52" s="233"/>
      <c r="U52" s="233"/>
      <c r="V52" s="218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</row>
    <row r="53" spans="2:41">
      <c r="B53" s="238"/>
      <c r="C53" s="238"/>
      <c r="D53" s="238"/>
      <c r="E53" s="238"/>
      <c r="F53" s="239"/>
      <c r="G53" s="239"/>
      <c r="H53" s="239"/>
      <c r="I53" s="239"/>
      <c r="J53" s="239"/>
      <c r="K53" s="239"/>
      <c r="L53" s="239"/>
      <c r="M53" s="240"/>
      <c r="O53" s="233"/>
      <c r="P53" s="233"/>
      <c r="Q53" s="233"/>
      <c r="R53" s="233"/>
      <c r="S53" s="233"/>
      <c r="T53" s="233"/>
      <c r="U53" s="233"/>
      <c r="V53" s="218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</row>
    <row r="54" spans="2:41">
      <c r="F54" s="220"/>
      <c r="G54" s="220"/>
      <c r="H54" s="220"/>
      <c r="I54" s="220"/>
      <c r="J54" s="220"/>
      <c r="K54" s="220"/>
      <c r="L54" s="220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</row>
    <row r="55" spans="2:41">
      <c r="B55" s="217" t="s">
        <v>465</v>
      </c>
      <c r="C55" s="217" t="s">
        <v>281</v>
      </c>
      <c r="D55" s="217" t="s">
        <v>29</v>
      </c>
      <c r="E55" s="217" t="s">
        <v>640</v>
      </c>
      <c r="F55" s="220">
        <v>27408313.453501079</v>
      </c>
      <c r="G55" s="220">
        <v>0</v>
      </c>
      <c r="H55" s="218">
        <v>27408313.453501079</v>
      </c>
      <c r="I55" s="218">
        <v>0</v>
      </c>
      <c r="J55" s="218">
        <v>27408313.453501079</v>
      </c>
      <c r="K55" s="218">
        <v>-7417492.4249999998</v>
      </c>
      <c r="L55" s="218">
        <v>19990821.028501082</v>
      </c>
      <c r="M55" s="217" t="s">
        <v>29</v>
      </c>
      <c r="O55" s="233">
        <f t="shared" ref="O55:O62" si="27">H55+V55</f>
        <v>-43866189905.296501</v>
      </c>
      <c r="P55" s="233">
        <f t="shared" ref="P55:P62" si="28">H55+X55</f>
        <v>7417492.0785010792</v>
      </c>
      <c r="Q55" s="233">
        <f t="shared" ref="Q55:Q62" si="29">J55+Z55</f>
        <v>-0.34649892151355743</v>
      </c>
      <c r="R55" s="233">
        <f t="shared" ref="R55:R64" si="30">L55+AB55</f>
        <v>-0.34649891778826714</v>
      </c>
      <c r="S55" s="233"/>
      <c r="T55" s="220" t="s">
        <v>65</v>
      </c>
      <c r="U55" s="220" t="str">
        <f t="shared" ref="U55:U64" si="31">E55</f>
        <v>Dummy - C</v>
      </c>
      <c r="V55" s="218">
        <v>-43893598218.75</v>
      </c>
      <c r="W55" s="233">
        <v>43873607397.375</v>
      </c>
      <c r="X55" s="220">
        <v>-19990821.375</v>
      </c>
      <c r="Y55" s="233">
        <v>-7417492.4249999998</v>
      </c>
      <c r="Z55" s="220">
        <v>-27408313.800000001</v>
      </c>
      <c r="AA55" s="220">
        <v>7417492.4249999998</v>
      </c>
      <c r="AB55" s="220">
        <v>-19990821.375</v>
      </c>
      <c r="AC55" s="233"/>
      <c r="AD55" s="233"/>
      <c r="AE55" s="233"/>
      <c r="AF55" s="233"/>
      <c r="AG55" s="233"/>
      <c r="AH55" s="234">
        <f>V55*1.575</f>
        <v>-69132417194.53125</v>
      </c>
      <c r="AI55" s="234">
        <f t="shared" ref="AI55:AO55" si="32">W55*1.575</f>
        <v>69100931650.865616</v>
      </c>
      <c r="AJ55" s="234">
        <f t="shared" si="32"/>
        <v>-31485543.665624999</v>
      </c>
      <c r="AK55" s="234">
        <f t="shared" si="32"/>
        <v>-11682550.569374999</v>
      </c>
      <c r="AL55" s="234">
        <f t="shared" si="32"/>
        <v>-43168094.234999999</v>
      </c>
      <c r="AM55" s="234">
        <f t="shared" si="32"/>
        <v>11682550.569374999</v>
      </c>
      <c r="AN55" s="234">
        <f t="shared" si="32"/>
        <v>-31485543.665624999</v>
      </c>
      <c r="AO55" s="234">
        <f t="shared" si="32"/>
        <v>0</v>
      </c>
    </row>
    <row r="56" spans="2:41">
      <c r="B56" s="217" t="s">
        <v>465</v>
      </c>
      <c r="C56" s="217" t="s">
        <v>281</v>
      </c>
      <c r="D56" s="217" t="s">
        <v>29</v>
      </c>
      <c r="E56" s="217" t="s">
        <v>688</v>
      </c>
      <c r="F56" s="220">
        <v>15484319.093250006</v>
      </c>
      <c r="G56" s="220">
        <v>0</v>
      </c>
      <c r="H56" s="218">
        <v>15484319.093250006</v>
      </c>
      <c r="I56" s="218">
        <v>0</v>
      </c>
      <c r="J56" s="218">
        <v>15484319.093250006</v>
      </c>
      <c r="K56" s="218">
        <v>0</v>
      </c>
      <c r="L56" s="218">
        <v>15484319.093250006</v>
      </c>
      <c r="M56" s="217" t="s">
        <v>29</v>
      </c>
      <c r="O56" s="233">
        <f t="shared" si="27"/>
        <v>93947.175000006333</v>
      </c>
      <c r="P56" s="233">
        <f t="shared" si="28"/>
        <v>93947.175000006333</v>
      </c>
      <c r="Q56" s="233">
        <f t="shared" si="29"/>
        <v>0</v>
      </c>
      <c r="R56" s="233">
        <f t="shared" si="30"/>
        <v>0</v>
      </c>
      <c r="S56" s="233"/>
      <c r="T56" s="220" t="s">
        <v>65</v>
      </c>
      <c r="U56" s="220" t="str">
        <f t="shared" si="31"/>
        <v>Dummy - D</v>
      </c>
      <c r="V56" s="218">
        <v>-15390371.91825</v>
      </c>
      <c r="W56" s="233">
        <v>0</v>
      </c>
      <c r="X56" s="220">
        <v>-15390371.91825</v>
      </c>
      <c r="Y56" s="233">
        <v>-93947.175000000003</v>
      </c>
      <c r="Z56" s="220">
        <v>-15484319.093250001</v>
      </c>
      <c r="AA56" s="220">
        <v>0</v>
      </c>
      <c r="AB56" s="220">
        <v>-15484319.093250001</v>
      </c>
      <c r="AC56" s="233"/>
      <c r="AD56" s="233"/>
      <c r="AE56" s="233"/>
      <c r="AF56" s="233"/>
      <c r="AG56" s="233"/>
      <c r="AH56" s="234">
        <f t="shared" ref="AH56:AH64" si="33">V56*1.575</f>
        <v>-24239835.771243751</v>
      </c>
      <c r="AI56" s="234">
        <f t="shared" ref="AI56:AI64" si="34">W56*1.575</f>
        <v>0</v>
      </c>
      <c r="AJ56" s="234">
        <f t="shared" ref="AJ56:AJ64" si="35">X56*1.575</f>
        <v>-24239835.771243751</v>
      </c>
      <c r="AK56" s="234">
        <f t="shared" ref="AK56:AK64" si="36">Y56*1.575</f>
        <v>-147966.800625</v>
      </c>
      <c r="AL56" s="234">
        <f t="shared" ref="AL56:AL64" si="37">Z56*1.575</f>
        <v>-24387802.571868751</v>
      </c>
      <c r="AM56" s="234">
        <f t="shared" ref="AM56:AM64" si="38">AA56*1.575</f>
        <v>0</v>
      </c>
      <c r="AN56" s="234">
        <f t="shared" ref="AN56:AN64" si="39">AB56*1.575</f>
        <v>-24387802.571868751</v>
      </c>
    </row>
    <row r="57" spans="2:41">
      <c r="B57" s="217" t="s">
        <v>465</v>
      </c>
      <c r="C57" s="217" t="s">
        <v>281</v>
      </c>
      <c r="D57" s="217" t="s">
        <v>29</v>
      </c>
      <c r="E57" s="217" t="s">
        <v>461</v>
      </c>
      <c r="F57" s="220">
        <v>0</v>
      </c>
      <c r="G57" s="220">
        <v>0</v>
      </c>
      <c r="H57" s="218">
        <v>0</v>
      </c>
      <c r="I57" s="218">
        <v>152775000</v>
      </c>
      <c r="J57" s="218">
        <v>152775000</v>
      </c>
      <c r="K57" s="218">
        <v>0</v>
      </c>
      <c r="L57" s="218">
        <v>152775000</v>
      </c>
      <c r="M57" s="217" t="s">
        <v>29</v>
      </c>
      <c r="O57" s="233">
        <f t="shared" si="27"/>
        <v>0</v>
      </c>
      <c r="P57" s="233">
        <f t="shared" si="28"/>
        <v>0</v>
      </c>
      <c r="Q57" s="233">
        <f t="shared" si="29"/>
        <v>152775000</v>
      </c>
      <c r="R57" s="233">
        <f t="shared" si="30"/>
        <v>0</v>
      </c>
      <c r="S57" s="233"/>
      <c r="T57" s="220" t="s">
        <v>65</v>
      </c>
      <c r="U57" s="220" t="str">
        <f t="shared" si="31"/>
        <v>Dummy G</v>
      </c>
      <c r="V57" s="218">
        <v>0</v>
      </c>
      <c r="W57" s="233">
        <v>0</v>
      </c>
      <c r="X57" s="220">
        <v>0</v>
      </c>
      <c r="Y57" s="233">
        <v>0</v>
      </c>
      <c r="Z57" s="220">
        <v>0</v>
      </c>
      <c r="AA57" s="220">
        <v>-152775000</v>
      </c>
      <c r="AB57" s="220">
        <v>-152775000</v>
      </c>
      <c r="AC57" s="233"/>
      <c r="AD57" s="233"/>
      <c r="AE57" s="233"/>
      <c r="AF57" s="233"/>
      <c r="AG57" s="233"/>
      <c r="AH57" s="234">
        <f t="shared" si="33"/>
        <v>0</v>
      </c>
      <c r="AI57" s="234">
        <f t="shared" si="34"/>
        <v>0</v>
      </c>
      <c r="AJ57" s="234">
        <f t="shared" si="35"/>
        <v>0</v>
      </c>
      <c r="AK57" s="234">
        <f t="shared" si="36"/>
        <v>0</v>
      </c>
      <c r="AL57" s="234">
        <f t="shared" si="37"/>
        <v>0</v>
      </c>
      <c r="AM57" s="234">
        <f t="shared" si="38"/>
        <v>-240620625</v>
      </c>
      <c r="AN57" s="234">
        <f t="shared" si="39"/>
        <v>-240620625</v>
      </c>
    </row>
    <row r="58" spans="2:41">
      <c r="B58" s="217" t="s">
        <v>465</v>
      </c>
      <c r="C58" s="217" t="s">
        <v>281</v>
      </c>
      <c r="D58" s="217" t="s">
        <v>29</v>
      </c>
      <c r="E58" s="217" t="s">
        <v>800</v>
      </c>
      <c r="F58" s="220">
        <v>34634250000</v>
      </c>
      <c r="G58" s="220">
        <v>0</v>
      </c>
      <c r="H58" s="218">
        <v>34634250000</v>
      </c>
      <c r="I58" s="218">
        <v>0</v>
      </c>
      <c r="J58" s="218">
        <v>34634250000</v>
      </c>
      <c r="K58" s="218">
        <v>8325125366.7644997</v>
      </c>
      <c r="L58" s="218">
        <v>42959375366.764496</v>
      </c>
      <c r="M58" s="217" t="s">
        <v>29</v>
      </c>
      <c r="O58" s="233">
        <f t="shared" si="27"/>
        <v>0</v>
      </c>
      <c r="P58" s="233">
        <f t="shared" si="28"/>
        <v>0</v>
      </c>
      <c r="Q58" s="233">
        <f t="shared" si="29"/>
        <v>0</v>
      </c>
      <c r="R58" s="233">
        <f t="shared" si="30"/>
        <v>0</v>
      </c>
      <c r="S58" s="233"/>
      <c r="T58" s="220" t="s">
        <v>65</v>
      </c>
      <c r="U58" s="220" t="str">
        <f t="shared" si="31"/>
        <v>Dummy - H</v>
      </c>
      <c r="V58" s="218">
        <v>-34634250000</v>
      </c>
      <c r="W58" s="233">
        <v>0</v>
      </c>
      <c r="X58" s="220">
        <v>-34634250000</v>
      </c>
      <c r="Y58" s="233">
        <v>0</v>
      </c>
      <c r="Z58" s="220">
        <v>-34634250000</v>
      </c>
      <c r="AA58" s="220">
        <v>-8325125366.7644997</v>
      </c>
      <c r="AB58" s="220">
        <v>-42959375366.764496</v>
      </c>
      <c r="AC58" s="233"/>
      <c r="AD58" s="233"/>
      <c r="AE58" s="233"/>
      <c r="AF58" s="233"/>
      <c r="AG58" s="233"/>
      <c r="AH58" s="234">
        <f t="shared" si="33"/>
        <v>-54548943750</v>
      </c>
      <c r="AI58" s="234">
        <f t="shared" si="34"/>
        <v>0</v>
      </c>
      <c r="AJ58" s="234">
        <f t="shared" si="35"/>
        <v>-54548943750</v>
      </c>
      <c r="AK58" s="234">
        <f t="shared" si="36"/>
        <v>0</v>
      </c>
      <c r="AL58" s="234">
        <f t="shared" si="37"/>
        <v>-54548943750</v>
      </c>
      <c r="AM58" s="234">
        <f t="shared" si="38"/>
        <v>-13112072452.654087</v>
      </c>
      <c r="AN58" s="234">
        <f t="shared" si="39"/>
        <v>-67661016202.654076</v>
      </c>
    </row>
    <row r="59" spans="2:41">
      <c r="B59" s="217" t="s">
        <v>465</v>
      </c>
      <c r="C59" s="217" t="s">
        <v>281</v>
      </c>
      <c r="D59" s="217" t="s">
        <v>29</v>
      </c>
      <c r="E59" s="217" t="s">
        <v>284</v>
      </c>
      <c r="F59" s="220">
        <v>291375000</v>
      </c>
      <c r="G59" s="220">
        <v>0</v>
      </c>
      <c r="H59" s="218">
        <v>291375000</v>
      </c>
      <c r="I59" s="218">
        <v>0</v>
      </c>
      <c r="J59" s="218">
        <v>291375000</v>
      </c>
      <c r="K59" s="218">
        <v>0</v>
      </c>
      <c r="L59" s="218">
        <v>291375000</v>
      </c>
      <c r="M59" s="217" t="s">
        <v>29</v>
      </c>
      <c r="O59" s="233">
        <f t="shared" si="27"/>
        <v>0</v>
      </c>
      <c r="P59" s="233">
        <f t="shared" si="28"/>
        <v>0</v>
      </c>
      <c r="Q59" s="233">
        <f t="shared" si="29"/>
        <v>0</v>
      </c>
      <c r="R59" s="233">
        <f t="shared" si="30"/>
        <v>0</v>
      </c>
      <c r="S59" s="233"/>
      <c r="T59" s="220" t="s">
        <v>65</v>
      </c>
      <c r="U59" s="220" t="str">
        <f t="shared" si="31"/>
        <v>ALI</v>
      </c>
      <c r="V59" s="218">
        <v>-291375000</v>
      </c>
      <c r="W59" s="233">
        <v>0</v>
      </c>
      <c r="X59" s="220">
        <v>-291375000</v>
      </c>
      <c r="Y59" s="233">
        <v>0</v>
      </c>
      <c r="Z59" s="220">
        <v>-291375000</v>
      </c>
      <c r="AA59" s="220">
        <v>0</v>
      </c>
      <c r="AB59" s="220">
        <v>-291375000</v>
      </c>
      <c r="AC59" s="233"/>
      <c r="AD59" s="233"/>
      <c r="AE59" s="233"/>
      <c r="AF59" s="233"/>
      <c r="AG59" s="233"/>
      <c r="AH59" s="234">
        <f t="shared" si="33"/>
        <v>-458915625</v>
      </c>
      <c r="AI59" s="234">
        <f t="shared" si="34"/>
        <v>0</v>
      </c>
      <c r="AJ59" s="234">
        <f t="shared" si="35"/>
        <v>-458915625</v>
      </c>
      <c r="AK59" s="234">
        <f t="shared" si="36"/>
        <v>0</v>
      </c>
      <c r="AL59" s="234">
        <f t="shared" si="37"/>
        <v>-458915625</v>
      </c>
      <c r="AM59" s="234">
        <f t="shared" si="38"/>
        <v>0</v>
      </c>
      <c r="AN59" s="234">
        <f t="shared" si="39"/>
        <v>-458915625</v>
      </c>
    </row>
    <row r="60" spans="2:41">
      <c r="B60" s="217" t="s">
        <v>465</v>
      </c>
      <c r="C60" s="217" t="s">
        <v>281</v>
      </c>
      <c r="D60" s="217" t="s">
        <v>29</v>
      </c>
      <c r="E60" s="217" t="s">
        <v>815</v>
      </c>
      <c r="F60" s="220">
        <v>-7875000</v>
      </c>
      <c r="G60" s="220">
        <v>0</v>
      </c>
      <c r="H60" s="218">
        <v>-7875000</v>
      </c>
      <c r="I60" s="218">
        <v>0</v>
      </c>
      <c r="J60" s="218">
        <v>-7875000</v>
      </c>
      <c r="K60" s="218">
        <v>69300000</v>
      </c>
      <c r="L60" s="218">
        <v>61425000</v>
      </c>
      <c r="M60" s="217" t="s">
        <v>29</v>
      </c>
      <c r="O60" s="233">
        <f t="shared" si="27"/>
        <v>0</v>
      </c>
      <c r="P60" s="233">
        <f t="shared" si="28"/>
        <v>0</v>
      </c>
      <c r="Q60" s="233">
        <f t="shared" si="29"/>
        <v>0</v>
      </c>
      <c r="R60" s="233">
        <f t="shared" si="30"/>
        <v>0</v>
      </c>
      <c r="S60" s="233"/>
      <c r="T60" s="220" t="s">
        <v>65</v>
      </c>
      <c r="U60" s="220" t="str">
        <f t="shared" si="31"/>
        <v>Dummy - M</v>
      </c>
      <c r="V60" s="218">
        <v>7875000</v>
      </c>
      <c r="W60" s="233">
        <v>0</v>
      </c>
      <c r="X60" s="220">
        <v>7875000</v>
      </c>
      <c r="Y60" s="233">
        <v>0</v>
      </c>
      <c r="Z60" s="220">
        <v>7875000</v>
      </c>
      <c r="AA60" s="220">
        <v>-69300000</v>
      </c>
      <c r="AB60" s="220">
        <v>-61425000</v>
      </c>
      <c r="AC60" s="233"/>
      <c r="AD60" s="233"/>
      <c r="AE60" s="233"/>
      <c r="AF60" s="233"/>
      <c r="AG60" s="233"/>
      <c r="AH60" s="234">
        <f t="shared" si="33"/>
        <v>12403125</v>
      </c>
      <c r="AI60" s="234">
        <f t="shared" si="34"/>
        <v>0</v>
      </c>
      <c r="AJ60" s="234">
        <f t="shared" si="35"/>
        <v>12403125</v>
      </c>
      <c r="AK60" s="234">
        <f t="shared" si="36"/>
        <v>0</v>
      </c>
      <c r="AL60" s="234">
        <f t="shared" si="37"/>
        <v>12403125</v>
      </c>
      <c r="AM60" s="234">
        <f t="shared" si="38"/>
        <v>-109147500</v>
      </c>
      <c r="AN60" s="234">
        <f t="shared" si="39"/>
        <v>-96744375</v>
      </c>
    </row>
    <row r="61" spans="2:41">
      <c r="B61" s="217" t="s">
        <v>465</v>
      </c>
      <c r="C61" s="217" t="s">
        <v>281</v>
      </c>
      <c r="D61" s="217" t="s">
        <v>29</v>
      </c>
      <c r="E61" s="217" t="s">
        <v>609</v>
      </c>
      <c r="F61" s="220">
        <v>4.7248077392578122E-2</v>
      </c>
      <c r="G61" s="220">
        <v>0</v>
      </c>
      <c r="H61" s="218">
        <v>4.7248077392578122E-2</v>
      </c>
      <c r="I61" s="218">
        <v>22664430436.724998</v>
      </c>
      <c r="J61" s="218">
        <v>22664430436.772247</v>
      </c>
      <c r="K61" s="218">
        <v>0</v>
      </c>
      <c r="L61" s="218">
        <v>22664430436.772247</v>
      </c>
      <c r="M61" s="217" t="s">
        <v>29</v>
      </c>
      <c r="O61" s="233">
        <f t="shared" si="27"/>
        <v>4.7248077392578122E-2</v>
      </c>
      <c r="P61" s="233">
        <f t="shared" si="28"/>
        <v>4.7248077392578122E-2</v>
      </c>
      <c r="Q61" s="233">
        <f t="shared" si="29"/>
        <v>4.724884033203125E-2</v>
      </c>
      <c r="R61" s="233">
        <f t="shared" si="30"/>
        <v>4.724884033203125E-2</v>
      </c>
      <c r="S61" s="233"/>
      <c r="T61" s="220" t="s">
        <v>65</v>
      </c>
      <c r="U61" s="220" t="str">
        <f t="shared" si="31"/>
        <v>Dummy - A</v>
      </c>
      <c r="V61" s="218">
        <v>0</v>
      </c>
      <c r="W61" s="233">
        <v>0</v>
      </c>
      <c r="X61" s="220">
        <v>0</v>
      </c>
      <c r="Y61" s="233">
        <v>-22664430436.724998</v>
      </c>
      <c r="Z61" s="220">
        <v>-22664430436.724998</v>
      </c>
      <c r="AA61" s="220">
        <v>0</v>
      </c>
      <c r="AB61" s="220">
        <v>-22664430436.724998</v>
      </c>
      <c r="AC61" s="233"/>
      <c r="AD61" s="233"/>
      <c r="AE61" s="233"/>
      <c r="AF61" s="233"/>
      <c r="AG61" s="233"/>
      <c r="AH61" s="234">
        <f t="shared" si="33"/>
        <v>0</v>
      </c>
      <c r="AI61" s="234">
        <f t="shared" si="34"/>
        <v>0</v>
      </c>
      <c r="AJ61" s="234">
        <f t="shared" si="35"/>
        <v>0</v>
      </c>
      <c r="AK61" s="234">
        <f t="shared" si="36"/>
        <v>-35696477937.841873</v>
      </c>
      <c r="AL61" s="234">
        <f t="shared" si="37"/>
        <v>-35696477937.841873</v>
      </c>
      <c r="AM61" s="234">
        <f t="shared" si="38"/>
        <v>0</v>
      </c>
      <c r="AN61" s="234">
        <f t="shared" si="39"/>
        <v>-35696477937.841873</v>
      </c>
    </row>
    <row r="62" spans="2:41">
      <c r="B62" s="217" t="s">
        <v>465</v>
      </c>
      <c r="C62" s="217" t="s">
        <v>281</v>
      </c>
      <c r="D62" s="217" t="s">
        <v>29</v>
      </c>
      <c r="E62" s="217" t="s">
        <v>816</v>
      </c>
      <c r="F62" s="220">
        <v>0</v>
      </c>
      <c r="G62" s="220">
        <v>0</v>
      </c>
      <c r="H62" s="218">
        <v>0</v>
      </c>
      <c r="I62" s="218">
        <v>0</v>
      </c>
      <c r="J62" s="218">
        <v>0</v>
      </c>
      <c r="K62" s="218">
        <v>3456964094.7926702</v>
      </c>
      <c r="L62" s="218">
        <v>3456964094.7926702</v>
      </c>
      <c r="M62" s="217" t="s">
        <v>29</v>
      </c>
      <c r="O62" s="233">
        <f t="shared" si="27"/>
        <v>0</v>
      </c>
      <c r="P62" s="233">
        <f t="shared" si="28"/>
        <v>0</v>
      </c>
      <c r="Q62" s="233">
        <f t="shared" si="29"/>
        <v>0</v>
      </c>
      <c r="R62" s="233">
        <f t="shared" si="30"/>
        <v>0</v>
      </c>
      <c r="S62" s="233"/>
      <c r="T62" s="220" t="s">
        <v>65</v>
      </c>
      <c r="U62" s="220" t="str">
        <f t="shared" si="31"/>
        <v>Dummy - N</v>
      </c>
      <c r="V62" s="218">
        <v>0</v>
      </c>
      <c r="W62" s="233">
        <v>0</v>
      </c>
      <c r="X62" s="220">
        <v>0</v>
      </c>
      <c r="Y62" s="233">
        <v>0</v>
      </c>
      <c r="Z62" s="220">
        <v>0</v>
      </c>
      <c r="AA62" s="220">
        <v>-3456964094.7926702</v>
      </c>
      <c r="AB62" s="220">
        <v>-3456964094.7926702</v>
      </c>
      <c r="AC62" s="233"/>
      <c r="AD62" s="233"/>
      <c r="AE62" s="233"/>
      <c r="AF62" s="233"/>
      <c r="AG62" s="233"/>
      <c r="AH62" s="234">
        <f t="shared" si="33"/>
        <v>0</v>
      </c>
      <c r="AI62" s="234">
        <f t="shared" si="34"/>
        <v>0</v>
      </c>
      <c r="AJ62" s="234">
        <f t="shared" si="35"/>
        <v>0</v>
      </c>
      <c r="AK62" s="234">
        <f t="shared" si="36"/>
        <v>0</v>
      </c>
      <c r="AL62" s="234">
        <f t="shared" si="37"/>
        <v>0</v>
      </c>
      <c r="AM62" s="234">
        <f t="shared" si="38"/>
        <v>-5444718449.2984552</v>
      </c>
      <c r="AN62" s="234">
        <f t="shared" si="39"/>
        <v>-5444718449.2984552</v>
      </c>
    </row>
    <row r="63" spans="2:41">
      <c r="B63" s="217" t="s">
        <v>465</v>
      </c>
      <c r="C63" s="217" t="s">
        <v>281</v>
      </c>
      <c r="D63" s="217" t="s">
        <v>29</v>
      </c>
      <c r="E63" s="217" t="s">
        <v>811</v>
      </c>
      <c r="F63" s="220">
        <v>0</v>
      </c>
      <c r="G63" s="220">
        <v>0</v>
      </c>
      <c r="H63" s="218">
        <v>0</v>
      </c>
      <c r="I63" s="218">
        <v>0</v>
      </c>
      <c r="J63" s="218">
        <v>0</v>
      </c>
      <c r="K63" s="218">
        <v>27893250000</v>
      </c>
      <c r="L63" s="218">
        <v>27893250000</v>
      </c>
      <c r="M63" s="217" t="s">
        <v>29</v>
      </c>
      <c r="O63" s="233"/>
      <c r="P63" s="233"/>
      <c r="Q63" s="233"/>
      <c r="R63" s="233"/>
      <c r="S63" s="233"/>
      <c r="U63" s="220" t="str">
        <f t="shared" si="31"/>
        <v>Dummy L</v>
      </c>
      <c r="V63" s="218">
        <v>0</v>
      </c>
      <c r="W63" s="233">
        <v>0</v>
      </c>
      <c r="X63" s="220">
        <v>0</v>
      </c>
      <c r="Y63" s="233">
        <v>0</v>
      </c>
      <c r="Z63" s="220">
        <v>0</v>
      </c>
      <c r="AA63" s="220">
        <v>0</v>
      </c>
      <c r="AB63" s="220">
        <v>0</v>
      </c>
      <c r="AC63" s="233"/>
      <c r="AD63" s="233"/>
      <c r="AE63" s="233"/>
      <c r="AF63" s="233"/>
      <c r="AG63" s="233"/>
      <c r="AH63" s="234">
        <f t="shared" si="33"/>
        <v>0</v>
      </c>
      <c r="AI63" s="234">
        <f t="shared" si="34"/>
        <v>0</v>
      </c>
      <c r="AJ63" s="234">
        <f t="shared" si="35"/>
        <v>0</v>
      </c>
      <c r="AK63" s="234">
        <f t="shared" si="36"/>
        <v>0</v>
      </c>
      <c r="AL63" s="234">
        <f t="shared" si="37"/>
        <v>0</v>
      </c>
      <c r="AM63" s="234">
        <f t="shared" si="38"/>
        <v>0</v>
      </c>
      <c r="AN63" s="234">
        <f t="shared" si="39"/>
        <v>0</v>
      </c>
    </row>
    <row r="64" spans="2:41">
      <c r="B64" s="217" t="s">
        <v>465</v>
      </c>
      <c r="C64" s="217" t="s">
        <v>281</v>
      </c>
      <c r="D64" s="217" t="s">
        <v>29</v>
      </c>
      <c r="E64" s="217" t="s">
        <v>288</v>
      </c>
      <c r="F64" s="220">
        <v>0</v>
      </c>
      <c r="G64" s="220">
        <v>0</v>
      </c>
      <c r="H64" s="218">
        <v>0</v>
      </c>
      <c r="I64" s="218">
        <v>0</v>
      </c>
      <c r="J64" s="218">
        <v>0</v>
      </c>
      <c r="K64" s="218">
        <v>0</v>
      </c>
      <c r="L64" s="218">
        <v>0</v>
      </c>
      <c r="M64" s="217" t="s">
        <v>29</v>
      </c>
      <c r="O64" s="233">
        <f t="shared" ref="O64" si="40">H64+V64</f>
        <v>0</v>
      </c>
      <c r="P64" s="233">
        <f t="shared" ref="P64" si="41">H64+X64</f>
        <v>0</v>
      </c>
      <c r="Q64" s="233">
        <f t="shared" ref="Q64" si="42">J64+Z64</f>
        <v>0</v>
      </c>
      <c r="R64" s="233">
        <f t="shared" si="30"/>
        <v>0</v>
      </c>
      <c r="S64" s="233"/>
      <c r="T64" s="220" t="s">
        <v>65</v>
      </c>
      <c r="U64" s="220" t="str">
        <f t="shared" si="31"/>
        <v>Unidentified</v>
      </c>
      <c r="V64" s="218">
        <v>0</v>
      </c>
      <c r="W64" s="233">
        <v>0</v>
      </c>
      <c r="X64" s="220">
        <v>0</v>
      </c>
      <c r="Y64" s="233">
        <v>0</v>
      </c>
      <c r="Z64" s="220">
        <v>0</v>
      </c>
      <c r="AA64" s="220">
        <v>0</v>
      </c>
      <c r="AB64" s="220">
        <v>0</v>
      </c>
      <c r="AC64" s="233"/>
      <c r="AD64" s="233"/>
      <c r="AE64" s="233"/>
      <c r="AF64" s="233"/>
      <c r="AG64" s="233"/>
      <c r="AH64" s="234">
        <f t="shared" si="33"/>
        <v>0</v>
      </c>
      <c r="AI64" s="234">
        <f t="shared" si="34"/>
        <v>0</v>
      </c>
      <c r="AJ64" s="234">
        <f t="shared" si="35"/>
        <v>0</v>
      </c>
      <c r="AK64" s="234">
        <f t="shared" si="36"/>
        <v>0</v>
      </c>
      <c r="AL64" s="234">
        <f t="shared" si="37"/>
        <v>0</v>
      </c>
      <c r="AM64" s="234">
        <f t="shared" si="38"/>
        <v>0</v>
      </c>
      <c r="AN64" s="234">
        <f t="shared" si="39"/>
        <v>0</v>
      </c>
    </row>
    <row r="65" spans="2:33">
      <c r="F65" s="220"/>
      <c r="G65" s="220"/>
      <c r="O65" s="233"/>
      <c r="P65" s="233"/>
      <c r="Q65" s="233"/>
      <c r="R65" s="233"/>
      <c r="S65" s="233"/>
      <c r="V65" s="218"/>
      <c r="W65" s="233"/>
      <c r="Y65" s="233"/>
      <c r="AC65" s="233"/>
      <c r="AD65" s="233"/>
      <c r="AE65" s="233"/>
      <c r="AF65" s="233"/>
      <c r="AG65" s="233"/>
    </row>
    <row r="66" spans="2:33">
      <c r="E66" s="217" t="s">
        <v>278</v>
      </c>
      <c r="F66" s="218">
        <f>SUM(F55:F60)</f>
        <v>34960642632.546753</v>
      </c>
      <c r="G66" s="220"/>
      <c r="H66" s="218">
        <f>SUM(H55:H60)</f>
        <v>34960642632.546753</v>
      </c>
      <c r="J66" s="218">
        <f>SUM(J55:J60)</f>
        <v>35113417632.546753</v>
      </c>
      <c r="L66" s="218">
        <f>SUM(L55:L64)</f>
        <v>97515070038.451157</v>
      </c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</row>
    <row r="67" spans="2:33">
      <c r="D67" s="236" t="s">
        <v>285</v>
      </c>
      <c r="E67" s="217" t="s">
        <v>280</v>
      </c>
      <c r="F67" s="220">
        <v>22197233418</v>
      </c>
      <c r="G67" s="220"/>
      <c r="H67" s="220">
        <v>0</v>
      </c>
      <c r="I67" s="220"/>
      <c r="J67" s="220"/>
      <c r="K67" s="220"/>
      <c r="L67" s="220">
        <v>61914330184</v>
      </c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</row>
    <row r="68" spans="2:33">
      <c r="D68" s="236"/>
      <c r="F68" s="220">
        <f>F66-F67</f>
        <v>12763409214.546753</v>
      </c>
      <c r="G68" s="220"/>
      <c r="H68" s="220"/>
      <c r="I68" s="220"/>
      <c r="J68" s="220"/>
      <c r="K68" s="220"/>
      <c r="L68" s="220">
        <f>L66-L67</f>
        <v>35600739854.451157</v>
      </c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</row>
    <row r="69" spans="2:33">
      <c r="B69" s="238"/>
      <c r="C69" s="238"/>
      <c r="D69" s="238"/>
      <c r="E69" s="238"/>
      <c r="F69" s="239"/>
      <c r="G69" s="239"/>
      <c r="H69" s="239"/>
      <c r="I69" s="239"/>
      <c r="J69" s="239"/>
      <c r="K69" s="239"/>
      <c r="L69" s="239"/>
      <c r="M69" s="240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</row>
    <row r="70" spans="2:33">
      <c r="F70" s="220"/>
      <c r="G70" s="220"/>
      <c r="H70" s="220"/>
      <c r="I70" s="220"/>
      <c r="J70" s="220"/>
      <c r="K70" s="220"/>
      <c r="L70" s="220"/>
      <c r="O70" s="233"/>
      <c r="P70" s="233"/>
      <c r="Q70" s="233"/>
      <c r="R70" s="233"/>
      <c r="S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</row>
    <row r="71" spans="2:33">
      <c r="B71" s="217" t="s">
        <v>609</v>
      </c>
      <c r="C71" s="217" t="s">
        <v>281</v>
      </c>
      <c r="D71" s="217" t="s">
        <v>29</v>
      </c>
      <c r="E71" s="217" t="s">
        <v>640</v>
      </c>
      <c r="F71" s="220">
        <v>25000000</v>
      </c>
      <c r="G71" s="220"/>
      <c r="H71" s="218">
        <f t="shared" ref="H71:J74" si="43">SUM(F71:G71)</f>
        <v>25000000</v>
      </c>
      <c r="J71" s="218">
        <f t="shared" si="43"/>
        <v>25000000</v>
      </c>
      <c r="L71" s="218">
        <f t="shared" ref="L71:L74" si="44">SUM(J71:K71)</f>
        <v>25000000</v>
      </c>
      <c r="M71" s="217" t="s">
        <v>29</v>
      </c>
      <c r="O71" s="233">
        <f t="shared" ref="O71:O74" si="45">H71+V71</f>
        <v>-20081788298</v>
      </c>
      <c r="P71" s="233">
        <f t="shared" ref="P71:P74" si="46">H71+X71</f>
        <v>0</v>
      </c>
      <c r="Q71" s="233">
        <f t="shared" ref="Q71:Q74" si="47">J71+Z71</f>
        <v>0</v>
      </c>
      <c r="R71" s="233">
        <f t="shared" ref="R71:R74" si="48">L71+AB71</f>
        <v>0</v>
      </c>
      <c r="S71" s="233"/>
      <c r="T71" s="220" t="s">
        <v>65</v>
      </c>
      <c r="U71" s="220" t="str">
        <f t="shared" ref="U71:U74" si="49">E71</f>
        <v>Dummy - C</v>
      </c>
      <c r="V71" s="218">
        <v>-20106788298</v>
      </c>
      <c r="W71" s="233">
        <v>20081788298</v>
      </c>
      <c r="X71" s="220">
        <f t="shared" ref="X71:X74" si="50">SUM(V71:W71)</f>
        <v>-25000000</v>
      </c>
      <c r="Y71" s="233"/>
      <c r="Z71" s="220">
        <f t="shared" ref="Z71:Z74" si="51">SUM(X71:Y71)</f>
        <v>-25000000</v>
      </c>
      <c r="AB71" s="220">
        <f t="shared" ref="AB71:AB74" si="52">SUM(Z71:AA71)</f>
        <v>-25000000</v>
      </c>
      <c r="AC71" s="233"/>
      <c r="AD71" s="233"/>
      <c r="AE71" s="233"/>
      <c r="AF71" s="233"/>
      <c r="AG71" s="233"/>
    </row>
    <row r="72" spans="2:33">
      <c r="B72" s="217" t="s">
        <v>609</v>
      </c>
      <c r="C72" s="217" t="s">
        <v>281</v>
      </c>
      <c r="D72" s="217" t="s">
        <v>29</v>
      </c>
      <c r="E72" s="217" t="s">
        <v>688</v>
      </c>
      <c r="F72" s="220">
        <v>-10111466667.420002</v>
      </c>
      <c r="G72" s="220"/>
      <c r="H72" s="218">
        <f t="shared" si="43"/>
        <v>-10111466667.420002</v>
      </c>
      <c r="J72" s="218">
        <f t="shared" si="43"/>
        <v>-10111466667.420002</v>
      </c>
      <c r="K72" s="218">
        <v>10111466667.420002</v>
      </c>
      <c r="L72" s="218">
        <f t="shared" si="44"/>
        <v>0</v>
      </c>
      <c r="M72" s="217" t="s">
        <v>29</v>
      </c>
      <c r="O72" s="233">
        <f t="shared" si="45"/>
        <v>0</v>
      </c>
      <c r="P72" s="233">
        <f t="shared" si="46"/>
        <v>0</v>
      </c>
      <c r="Q72" s="233">
        <f t="shared" si="47"/>
        <v>0</v>
      </c>
      <c r="R72" s="233">
        <f t="shared" si="48"/>
        <v>0</v>
      </c>
      <c r="S72" s="233"/>
      <c r="T72" s="220" t="s">
        <v>65</v>
      </c>
      <c r="U72" s="220" t="str">
        <f t="shared" si="49"/>
        <v>Dummy - D</v>
      </c>
      <c r="V72" s="218">
        <v>10111466667.419998</v>
      </c>
      <c r="W72" s="233"/>
      <c r="X72" s="220">
        <f t="shared" si="50"/>
        <v>10111466667.419998</v>
      </c>
      <c r="Y72" s="233"/>
      <c r="Z72" s="220">
        <f t="shared" si="51"/>
        <v>10111466667.419998</v>
      </c>
      <c r="AA72" s="220">
        <v>-10111466667.420002</v>
      </c>
      <c r="AB72" s="220">
        <f t="shared" si="52"/>
        <v>0</v>
      </c>
      <c r="AC72" s="233"/>
      <c r="AD72" s="233"/>
      <c r="AE72" s="233"/>
      <c r="AF72" s="233"/>
      <c r="AG72" s="233"/>
    </row>
    <row r="73" spans="2:33">
      <c r="B73" s="217" t="s">
        <v>609</v>
      </c>
      <c r="C73" s="217" t="s">
        <v>281</v>
      </c>
      <c r="D73" s="217" t="s">
        <v>29</v>
      </c>
      <c r="E73" s="217" t="s">
        <v>461</v>
      </c>
      <c r="F73" s="220">
        <v>0</v>
      </c>
      <c r="G73" s="220"/>
      <c r="H73" s="218">
        <f t="shared" si="43"/>
        <v>0</v>
      </c>
      <c r="J73" s="218">
        <f t="shared" si="43"/>
        <v>0</v>
      </c>
      <c r="K73" s="218">
        <v>55000000</v>
      </c>
      <c r="L73" s="218">
        <f t="shared" si="44"/>
        <v>55000000</v>
      </c>
      <c r="M73" s="217" t="s">
        <v>29</v>
      </c>
      <c r="O73" s="233">
        <f t="shared" si="45"/>
        <v>0</v>
      </c>
      <c r="P73" s="233">
        <f t="shared" si="46"/>
        <v>0</v>
      </c>
      <c r="Q73" s="233">
        <f t="shared" si="47"/>
        <v>0</v>
      </c>
      <c r="R73" s="233">
        <f t="shared" si="48"/>
        <v>0</v>
      </c>
      <c r="S73" s="233"/>
      <c r="T73" s="220" t="s">
        <v>65</v>
      </c>
      <c r="U73" s="220" t="str">
        <f t="shared" si="49"/>
        <v>Dummy G</v>
      </c>
      <c r="V73" s="218">
        <v>0</v>
      </c>
      <c r="W73" s="233"/>
      <c r="X73" s="220">
        <f t="shared" si="50"/>
        <v>0</v>
      </c>
      <c r="Y73" s="233"/>
      <c r="Z73" s="220">
        <f t="shared" si="51"/>
        <v>0</v>
      </c>
      <c r="AA73" s="220">
        <v>-55000000</v>
      </c>
      <c r="AB73" s="220">
        <f t="shared" si="52"/>
        <v>-55000000</v>
      </c>
      <c r="AC73" s="233"/>
      <c r="AD73" s="233"/>
      <c r="AE73" s="233"/>
      <c r="AF73" s="233"/>
      <c r="AG73" s="233"/>
    </row>
    <row r="74" spans="2:33">
      <c r="B74" s="217" t="s">
        <v>609</v>
      </c>
      <c r="C74" s="217" t="s">
        <v>281</v>
      </c>
      <c r="D74" s="217" t="s">
        <v>29</v>
      </c>
      <c r="E74" s="217" t="s">
        <v>630</v>
      </c>
      <c r="F74" s="220">
        <v>7095000000</v>
      </c>
      <c r="G74" s="220"/>
      <c r="H74" s="218">
        <f t="shared" si="43"/>
        <v>7095000000</v>
      </c>
      <c r="J74" s="218">
        <f t="shared" si="43"/>
        <v>7095000000</v>
      </c>
      <c r="L74" s="218">
        <f t="shared" si="44"/>
        <v>7095000000</v>
      </c>
      <c r="M74" s="217" t="s">
        <v>29</v>
      </c>
      <c r="O74" s="233">
        <f t="shared" si="45"/>
        <v>0</v>
      </c>
      <c r="P74" s="233">
        <f t="shared" si="46"/>
        <v>0</v>
      </c>
      <c r="Q74" s="233">
        <f t="shared" si="47"/>
        <v>0</v>
      </c>
      <c r="R74" s="233">
        <f t="shared" si="48"/>
        <v>0</v>
      </c>
      <c r="S74" s="233"/>
      <c r="T74" s="220" t="s">
        <v>65</v>
      </c>
      <c r="U74" s="220" t="str">
        <f t="shared" si="49"/>
        <v>CVDummy - A</v>
      </c>
      <c r="V74" s="218">
        <f>-L74</f>
        <v>-7095000000</v>
      </c>
      <c r="W74" s="233"/>
      <c r="X74" s="220">
        <f t="shared" si="50"/>
        <v>-7095000000</v>
      </c>
      <c r="Y74" s="233"/>
      <c r="Z74" s="220">
        <f t="shared" si="51"/>
        <v>-7095000000</v>
      </c>
      <c r="AB74" s="220">
        <f t="shared" si="52"/>
        <v>-7095000000</v>
      </c>
      <c r="AC74" s="233"/>
      <c r="AD74" s="233"/>
      <c r="AE74" s="233"/>
      <c r="AF74" s="233"/>
      <c r="AG74" s="233"/>
    </row>
    <row r="75" spans="2:33">
      <c r="F75" s="220"/>
      <c r="G75" s="220"/>
      <c r="H75" s="220"/>
      <c r="I75" s="220"/>
      <c r="J75" s="220"/>
      <c r="K75" s="220"/>
      <c r="L75" s="220"/>
      <c r="O75" s="233"/>
      <c r="P75" s="233"/>
      <c r="Q75" s="233"/>
      <c r="R75" s="233"/>
      <c r="S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</row>
    <row r="76" spans="2:33">
      <c r="E76" s="217" t="s">
        <v>278</v>
      </c>
      <c r="F76" s="218">
        <f>SUM(F71:F74)</f>
        <v>-2991466667.420002</v>
      </c>
      <c r="G76" s="220"/>
      <c r="H76" s="220"/>
      <c r="I76" s="220"/>
      <c r="J76" s="220"/>
      <c r="K76" s="220"/>
      <c r="L76" s="218">
        <f>SUM(L71:L74)</f>
        <v>7175000000</v>
      </c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</row>
    <row r="77" spans="2:33">
      <c r="D77" s="236" t="s">
        <v>285</v>
      </c>
      <c r="E77" s="217" t="s">
        <v>280</v>
      </c>
      <c r="F77" s="220">
        <v>-2991466667</v>
      </c>
      <c r="G77" s="220"/>
      <c r="H77" s="220"/>
      <c r="I77" s="220"/>
      <c r="J77" s="220"/>
      <c r="K77" s="237" t="s">
        <v>289</v>
      </c>
      <c r="L77" s="220">
        <v>-2991466667</v>
      </c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</row>
    <row r="78" spans="2:33">
      <c r="D78" s="236"/>
      <c r="F78" s="220">
        <f>F76-F77</f>
        <v>-0.42000198364257813</v>
      </c>
      <c r="G78" s="220"/>
      <c r="H78" s="220"/>
      <c r="I78" s="220"/>
      <c r="J78" s="220"/>
      <c r="K78" s="220"/>
      <c r="L78" s="220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</row>
    <row r="79" spans="2:33">
      <c r="B79" s="238"/>
      <c r="C79" s="238"/>
      <c r="D79" s="238"/>
      <c r="E79" s="238"/>
      <c r="F79" s="239"/>
      <c r="G79" s="239"/>
      <c r="H79" s="239"/>
      <c r="I79" s="239"/>
      <c r="J79" s="239"/>
      <c r="K79" s="239"/>
      <c r="L79" s="239"/>
      <c r="M79" s="240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</row>
    <row r="81" spans="2:33">
      <c r="B81" s="217" t="s">
        <v>800</v>
      </c>
      <c r="C81" s="217" t="s">
        <v>281</v>
      </c>
      <c r="D81" s="217" t="s">
        <v>29</v>
      </c>
      <c r="E81" s="217" t="s">
        <v>640</v>
      </c>
      <c r="F81" s="220">
        <v>0</v>
      </c>
      <c r="G81" s="220"/>
      <c r="H81" s="218">
        <f t="shared" ref="H81:H83" si="53">SUM(F81:G81)</f>
        <v>0</v>
      </c>
      <c r="J81" s="218">
        <f t="shared" ref="J81:J83" si="54">SUM(H81:I81)</f>
        <v>0</v>
      </c>
      <c r="K81" s="218">
        <v>3627175265</v>
      </c>
      <c r="L81" s="218">
        <f t="shared" ref="L81:L83" si="55">SUM(J81:K81)</f>
        <v>3627175265</v>
      </c>
      <c r="O81" s="233">
        <f t="shared" ref="O81:O83" si="56">H81+V81</f>
        <v>0</v>
      </c>
      <c r="P81" s="233">
        <f t="shared" ref="P81:P83" si="57">H81+X81</f>
        <v>0</v>
      </c>
      <c r="Q81" s="233">
        <f t="shared" ref="Q81:Q83" si="58">J81+Z81</f>
        <v>0</v>
      </c>
      <c r="R81" s="233">
        <f t="shared" ref="R81:R83" si="59">L81+AB81</f>
        <v>0</v>
      </c>
      <c r="S81" s="233"/>
      <c r="T81" s="220" t="s">
        <v>65</v>
      </c>
      <c r="U81" s="220" t="str">
        <f t="shared" ref="U81:U83" si="60">E81</f>
        <v>Dummy - C</v>
      </c>
      <c r="V81" s="218">
        <v>0</v>
      </c>
      <c r="W81" s="233"/>
      <c r="X81" s="220">
        <f t="shared" ref="X81:X83" si="61">SUM(V81:W81)</f>
        <v>0</v>
      </c>
      <c r="Y81" s="233"/>
      <c r="Z81" s="220">
        <f t="shared" ref="Z81:Z83" si="62">SUM(X81:Y81)</f>
        <v>0</v>
      </c>
      <c r="AA81" s="220">
        <v>-3627175265</v>
      </c>
      <c r="AB81" s="220">
        <f t="shared" ref="AB81:AB83" si="63">SUM(Z81:AA81)</f>
        <v>-3627175265</v>
      </c>
      <c r="AC81" s="233"/>
      <c r="AD81" s="233"/>
      <c r="AE81" s="233"/>
      <c r="AF81" s="233"/>
      <c r="AG81" s="233"/>
    </row>
    <row r="82" spans="2:33">
      <c r="B82" s="217" t="s">
        <v>800</v>
      </c>
      <c r="C82" s="217" t="s">
        <v>281</v>
      </c>
      <c r="D82" s="217" t="s">
        <v>29</v>
      </c>
      <c r="E82" s="217" t="s">
        <v>688</v>
      </c>
      <c r="F82" s="220">
        <v>0</v>
      </c>
      <c r="G82" s="220"/>
      <c r="H82" s="218">
        <f t="shared" si="53"/>
        <v>0</v>
      </c>
      <c r="J82" s="218">
        <f t="shared" si="54"/>
        <v>0</v>
      </c>
      <c r="K82" s="218">
        <v>16405427133</v>
      </c>
      <c r="L82" s="218">
        <f t="shared" si="55"/>
        <v>16405427133</v>
      </c>
      <c r="O82" s="233">
        <f t="shared" si="56"/>
        <v>0</v>
      </c>
      <c r="P82" s="233">
        <f t="shared" si="57"/>
        <v>0</v>
      </c>
      <c r="Q82" s="233">
        <f t="shared" si="58"/>
        <v>0</v>
      </c>
      <c r="R82" s="233">
        <f t="shared" si="59"/>
        <v>0</v>
      </c>
      <c r="S82" s="233"/>
      <c r="T82" s="220" t="s">
        <v>65</v>
      </c>
      <c r="U82" s="220" t="str">
        <f t="shared" si="60"/>
        <v>Dummy - D</v>
      </c>
      <c r="V82" s="218"/>
      <c r="W82" s="233"/>
      <c r="X82" s="220">
        <f t="shared" si="61"/>
        <v>0</v>
      </c>
      <c r="Y82" s="233"/>
      <c r="Z82" s="220">
        <f t="shared" si="62"/>
        <v>0</v>
      </c>
      <c r="AA82" s="220">
        <v>-16405427133</v>
      </c>
      <c r="AB82" s="220">
        <f t="shared" si="63"/>
        <v>-16405427133</v>
      </c>
      <c r="AC82" s="233"/>
      <c r="AD82" s="233"/>
      <c r="AE82" s="233"/>
      <c r="AF82" s="233"/>
      <c r="AG82" s="233"/>
    </row>
    <row r="83" spans="2:33">
      <c r="B83" s="217" t="s">
        <v>800</v>
      </c>
      <c r="C83" s="217" t="s">
        <v>281</v>
      </c>
      <c r="D83" s="217" t="s">
        <v>29</v>
      </c>
      <c r="F83" s="220">
        <v>0</v>
      </c>
      <c r="G83" s="220"/>
      <c r="H83" s="218">
        <f t="shared" si="53"/>
        <v>0</v>
      </c>
      <c r="J83" s="218">
        <f t="shared" si="54"/>
        <v>0</v>
      </c>
      <c r="L83" s="218">
        <f t="shared" si="55"/>
        <v>0</v>
      </c>
      <c r="O83" s="233">
        <f t="shared" si="56"/>
        <v>0</v>
      </c>
      <c r="P83" s="233">
        <f t="shared" si="57"/>
        <v>0</v>
      </c>
      <c r="Q83" s="233">
        <f t="shared" si="58"/>
        <v>0</v>
      </c>
      <c r="R83" s="233">
        <f t="shared" si="59"/>
        <v>0</v>
      </c>
      <c r="S83" s="233"/>
      <c r="T83" s="220" t="s">
        <v>65</v>
      </c>
      <c r="U83" s="220">
        <f t="shared" si="60"/>
        <v>0</v>
      </c>
      <c r="V83" s="218">
        <v>0</v>
      </c>
      <c r="W83" s="233"/>
      <c r="X83" s="220">
        <f t="shared" si="61"/>
        <v>0</v>
      </c>
      <c r="Y83" s="233"/>
      <c r="Z83" s="220">
        <f t="shared" si="62"/>
        <v>0</v>
      </c>
      <c r="AB83" s="220">
        <f t="shared" si="63"/>
        <v>0</v>
      </c>
      <c r="AC83" s="233"/>
      <c r="AD83" s="233"/>
      <c r="AE83" s="233"/>
      <c r="AF83" s="233"/>
      <c r="AG83" s="233"/>
    </row>
    <row r="84" spans="2:33">
      <c r="F84" s="220"/>
      <c r="G84" s="220"/>
      <c r="H84" s="220"/>
      <c r="I84" s="220"/>
      <c r="J84" s="220"/>
      <c r="K84" s="220"/>
      <c r="L84" s="220"/>
      <c r="O84" s="233"/>
      <c r="P84" s="233"/>
      <c r="Q84" s="233"/>
      <c r="R84" s="233"/>
      <c r="S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</row>
    <row r="85" spans="2:33">
      <c r="E85" s="217" t="s">
        <v>278</v>
      </c>
      <c r="F85" s="218">
        <f>SUM(F81:F83)</f>
        <v>0</v>
      </c>
      <c r="G85" s="220"/>
      <c r="H85" s="220"/>
      <c r="I85" s="220"/>
      <c r="J85" s="220"/>
      <c r="K85" s="220"/>
      <c r="L85" s="218">
        <f>SUM(L81:L83)</f>
        <v>20032602398</v>
      </c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</row>
    <row r="86" spans="2:33">
      <c r="D86" s="236" t="s">
        <v>285</v>
      </c>
      <c r="E86" s="217" t="s">
        <v>280</v>
      </c>
      <c r="F86" s="220">
        <v>0</v>
      </c>
      <c r="G86" s="220"/>
      <c r="H86" s="220"/>
      <c r="I86" s="220"/>
      <c r="J86" s="220"/>
      <c r="K86" s="237" t="s">
        <v>289</v>
      </c>
      <c r="L86" s="220">
        <v>0</v>
      </c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</row>
    <row r="87" spans="2:33">
      <c r="D87" s="236"/>
      <c r="F87" s="220">
        <f>F85-F86</f>
        <v>0</v>
      </c>
      <c r="G87" s="220"/>
      <c r="H87" s="220"/>
      <c r="I87" s="220"/>
      <c r="J87" s="220"/>
      <c r="K87" s="220"/>
      <c r="L87" s="220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</row>
    <row r="88" spans="2:33">
      <c r="B88" s="238"/>
      <c r="C88" s="238"/>
      <c r="D88" s="238"/>
      <c r="E88" s="238"/>
      <c r="F88" s="239"/>
      <c r="G88" s="239"/>
      <c r="H88" s="239"/>
      <c r="I88" s="239"/>
      <c r="J88" s="239"/>
      <c r="K88" s="239"/>
      <c r="L88" s="239"/>
      <c r="M88" s="240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</row>
    <row r="90" spans="2:33">
      <c r="B90" s="217" t="s">
        <v>630</v>
      </c>
      <c r="C90" s="217" t="s">
        <v>281</v>
      </c>
      <c r="D90" s="217" t="s">
        <v>29</v>
      </c>
      <c r="E90" s="217" t="s">
        <v>640</v>
      </c>
      <c r="F90" s="220">
        <v>0</v>
      </c>
      <c r="G90" s="220"/>
      <c r="H90" s="218">
        <f t="shared" ref="H90:H92" si="64">SUM(F90:G90)</f>
        <v>0</v>
      </c>
      <c r="J90" s="218">
        <f t="shared" ref="J90:J92" si="65">SUM(H90:I90)</f>
        <v>0</v>
      </c>
      <c r="K90" s="218">
        <v>500000000</v>
      </c>
      <c r="L90" s="218">
        <f t="shared" ref="L90:L92" si="66">SUM(J90:K90)</f>
        <v>500000000</v>
      </c>
      <c r="O90" s="233">
        <f t="shared" ref="O90:O92" si="67">H90+V90</f>
        <v>0</v>
      </c>
      <c r="P90" s="233">
        <f t="shared" ref="P90:P92" si="68">H90+X90</f>
        <v>0</v>
      </c>
      <c r="Q90" s="233">
        <f t="shared" ref="Q90:Q92" si="69">J90+Z90</f>
        <v>0</v>
      </c>
      <c r="R90" s="233">
        <f t="shared" ref="R90:R92" si="70">L90+AB90</f>
        <v>0</v>
      </c>
      <c r="S90" s="233"/>
      <c r="T90" s="220" t="s">
        <v>65</v>
      </c>
      <c r="U90" s="220" t="str">
        <f t="shared" ref="U90:U92" si="71">E90</f>
        <v>Dummy - C</v>
      </c>
      <c r="V90" s="218">
        <v>0</v>
      </c>
      <c r="W90" s="233"/>
      <c r="X90" s="220">
        <f t="shared" ref="X90:X92" si="72">SUM(V90:W90)</f>
        <v>0</v>
      </c>
      <c r="Y90" s="233"/>
      <c r="Z90" s="220">
        <f t="shared" ref="Z90:Z92" si="73">SUM(X90:Y90)</f>
        <v>0</v>
      </c>
      <c r="AA90" s="220">
        <v>-500000000</v>
      </c>
      <c r="AB90" s="220">
        <f t="shared" ref="AB90:AB92" si="74">SUM(Z90:AA90)</f>
        <v>-500000000</v>
      </c>
      <c r="AC90" s="233"/>
      <c r="AD90" s="233"/>
      <c r="AE90" s="233"/>
      <c r="AF90" s="233"/>
      <c r="AG90" s="233"/>
    </row>
    <row r="91" spans="2:33">
      <c r="B91" s="217" t="s">
        <v>630</v>
      </c>
      <c r="C91" s="217" t="s">
        <v>281</v>
      </c>
      <c r="D91" s="217" t="s">
        <v>29</v>
      </c>
      <c r="E91" s="217" t="s">
        <v>688</v>
      </c>
      <c r="F91" s="220">
        <v>0</v>
      </c>
      <c r="G91" s="220"/>
      <c r="H91" s="218">
        <f t="shared" si="64"/>
        <v>0</v>
      </c>
      <c r="J91" s="218">
        <f t="shared" si="65"/>
        <v>0</v>
      </c>
      <c r="K91" s="218">
        <v>5584789910</v>
      </c>
      <c r="L91" s="218">
        <f t="shared" si="66"/>
        <v>5584789910</v>
      </c>
      <c r="O91" s="233">
        <f t="shared" si="67"/>
        <v>0</v>
      </c>
      <c r="P91" s="233">
        <f t="shared" si="68"/>
        <v>0</v>
      </c>
      <c r="Q91" s="233">
        <f t="shared" si="69"/>
        <v>0</v>
      </c>
      <c r="R91" s="233">
        <f t="shared" si="70"/>
        <v>0</v>
      </c>
      <c r="S91" s="233"/>
      <c r="T91" s="220" t="s">
        <v>65</v>
      </c>
      <c r="U91" s="220" t="str">
        <f t="shared" si="71"/>
        <v>Dummy - D</v>
      </c>
      <c r="V91" s="218"/>
      <c r="W91" s="233"/>
      <c r="X91" s="220">
        <f t="shared" si="72"/>
        <v>0</v>
      </c>
      <c r="Y91" s="233"/>
      <c r="Z91" s="220">
        <f t="shared" si="73"/>
        <v>0</v>
      </c>
      <c r="AA91" s="220">
        <v>-5584789910</v>
      </c>
      <c r="AB91" s="220">
        <f t="shared" si="74"/>
        <v>-5584789910</v>
      </c>
      <c r="AC91" s="233"/>
      <c r="AD91" s="233"/>
      <c r="AE91" s="233"/>
      <c r="AF91" s="233"/>
      <c r="AG91" s="233"/>
    </row>
    <row r="92" spans="2:33">
      <c r="B92" s="217" t="s">
        <v>630</v>
      </c>
      <c r="C92" s="217" t="s">
        <v>281</v>
      </c>
      <c r="D92" s="217" t="s">
        <v>29</v>
      </c>
      <c r="E92" s="217" t="s">
        <v>465</v>
      </c>
      <c r="F92" s="220">
        <v>25588714</v>
      </c>
      <c r="G92" s="220"/>
      <c r="H92" s="218">
        <f t="shared" si="64"/>
        <v>25588714</v>
      </c>
      <c r="J92" s="218">
        <f t="shared" si="65"/>
        <v>25588714</v>
      </c>
      <c r="L92" s="218">
        <f t="shared" si="66"/>
        <v>25588714</v>
      </c>
      <c r="O92" s="233">
        <f t="shared" si="67"/>
        <v>0</v>
      </c>
      <c r="P92" s="233">
        <f t="shared" si="68"/>
        <v>0</v>
      </c>
      <c r="Q92" s="233">
        <f t="shared" si="69"/>
        <v>0</v>
      </c>
      <c r="R92" s="233">
        <f t="shared" si="70"/>
        <v>0</v>
      </c>
      <c r="S92" s="233"/>
      <c r="T92" s="220" t="s">
        <v>65</v>
      </c>
      <c r="U92" s="220" t="str">
        <f t="shared" si="71"/>
        <v>Dummy F</v>
      </c>
      <c r="V92" s="218">
        <v>-25588714</v>
      </c>
      <c r="W92" s="233"/>
      <c r="X92" s="220">
        <f t="shared" si="72"/>
        <v>-25588714</v>
      </c>
      <c r="Y92" s="233"/>
      <c r="Z92" s="220">
        <f t="shared" si="73"/>
        <v>-25588714</v>
      </c>
      <c r="AB92" s="220">
        <f t="shared" si="74"/>
        <v>-25588714</v>
      </c>
      <c r="AC92" s="233"/>
      <c r="AD92" s="233"/>
      <c r="AE92" s="233"/>
      <c r="AF92" s="233"/>
      <c r="AG92" s="233"/>
    </row>
    <row r="93" spans="2:33">
      <c r="F93" s="220"/>
      <c r="G93" s="220"/>
      <c r="H93" s="220"/>
      <c r="I93" s="220"/>
      <c r="J93" s="220"/>
      <c r="K93" s="220"/>
      <c r="L93" s="220"/>
      <c r="O93" s="233"/>
      <c r="P93" s="233"/>
      <c r="Q93" s="233"/>
      <c r="R93" s="233"/>
      <c r="S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</row>
    <row r="94" spans="2:33">
      <c r="E94" s="217" t="s">
        <v>278</v>
      </c>
      <c r="F94" s="218">
        <f>SUM(F90:F92)</f>
        <v>25588714</v>
      </c>
      <c r="G94" s="220"/>
      <c r="H94" s="220"/>
      <c r="I94" s="220"/>
      <c r="J94" s="220"/>
      <c r="K94" s="220"/>
      <c r="L94" s="218">
        <f>SUM(L90:L92)</f>
        <v>6110378624</v>
      </c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</row>
    <row r="95" spans="2:33">
      <c r="D95" s="236" t="s">
        <v>285</v>
      </c>
      <c r="E95" s="217" t="s">
        <v>280</v>
      </c>
      <c r="F95" s="220"/>
      <c r="G95" s="220"/>
      <c r="H95" s="220"/>
      <c r="I95" s="220"/>
      <c r="J95" s="220"/>
      <c r="K95" s="237" t="s">
        <v>289</v>
      </c>
      <c r="L95" s="220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</row>
    <row r="96" spans="2:33">
      <c r="D96" s="236"/>
      <c r="F96" s="220">
        <f>F94-F95</f>
        <v>25588714</v>
      </c>
      <c r="G96" s="220"/>
      <c r="H96" s="220"/>
      <c r="I96" s="220"/>
      <c r="J96" s="220"/>
      <c r="K96" s="220"/>
      <c r="L96" s="220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</row>
    <row r="97" spans="2:33">
      <c r="B97" s="238"/>
      <c r="C97" s="238"/>
      <c r="D97" s="238"/>
      <c r="E97" s="238"/>
      <c r="F97" s="239"/>
      <c r="G97" s="239"/>
      <c r="H97" s="239"/>
      <c r="I97" s="239"/>
      <c r="J97" s="239"/>
      <c r="K97" s="239"/>
      <c r="L97" s="239"/>
      <c r="M97" s="240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</row>
    <row r="99" spans="2:33">
      <c r="B99" s="217" t="s">
        <v>811</v>
      </c>
      <c r="C99" s="217" t="s">
        <v>281</v>
      </c>
      <c r="D99" s="217" t="s">
        <v>29</v>
      </c>
      <c r="E99" s="217" t="s">
        <v>640</v>
      </c>
      <c r="F99" s="220">
        <v>0</v>
      </c>
      <c r="G99" s="220"/>
      <c r="H99" s="218">
        <f t="shared" ref="H99:H102" si="75">SUM(F99:G99)</f>
        <v>0</v>
      </c>
      <c r="J99" s="218">
        <f t="shared" ref="J99:J102" si="76">SUM(H99:I99)</f>
        <v>0</v>
      </c>
      <c r="K99" s="218">
        <v>8831401575</v>
      </c>
      <c r="L99" s="218">
        <f t="shared" ref="L99:L102" si="77">SUM(J99:K99)</f>
        <v>8831401575</v>
      </c>
      <c r="O99" s="233">
        <f t="shared" ref="O99:O102" si="78">H99+V99</f>
        <v>0</v>
      </c>
      <c r="P99" s="233">
        <f t="shared" ref="P99:P102" si="79">H99+X99</f>
        <v>0</v>
      </c>
      <c r="Q99" s="233">
        <f t="shared" ref="Q99:Q102" si="80">J99+Z99</f>
        <v>0</v>
      </c>
      <c r="R99" s="233">
        <f t="shared" ref="R99:R102" si="81">L99+AB99</f>
        <v>0</v>
      </c>
      <c r="S99" s="233"/>
      <c r="T99" s="220" t="s">
        <v>65</v>
      </c>
      <c r="U99" s="220" t="str">
        <f t="shared" ref="U99:U102" si="82">E99</f>
        <v>Dummy - C</v>
      </c>
      <c r="V99" s="218">
        <v>0</v>
      </c>
      <c r="W99" s="233"/>
      <c r="X99" s="220">
        <f t="shared" ref="X99:X102" si="83">SUM(V99:W99)</f>
        <v>0</v>
      </c>
      <c r="Y99" s="233"/>
      <c r="Z99" s="220">
        <f t="shared" ref="Z99:Z102" si="84">SUM(X99:Y99)</f>
        <v>0</v>
      </c>
      <c r="AA99" s="220">
        <v>-8831401575</v>
      </c>
      <c r="AB99" s="220">
        <f t="shared" ref="AB99:AB102" si="85">SUM(Z99:AA99)</f>
        <v>-8831401575</v>
      </c>
      <c r="AC99" s="233"/>
      <c r="AD99" s="233"/>
      <c r="AE99" s="233"/>
      <c r="AF99" s="233"/>
      <c r="AG99" s="233"/>
    </row>
    <row r="100" spans="2:33">
      <c r="B100" s="217" t="s">
        <v>811</v>
      </c>
      <c r="C100" s="217" t="s">
        <v>281</v>
      </c>
      <c r="D100" s="217" t="s">
        <v>29</v>
      </c>
      <c r="E100" s="217" t="s">
        <v>688</v>
      </c>
      <c r="F100" s="220">
        <v>0</v>
      </c>
      <c r="G100" s="220"/>
      <c r="H100" s="218">
        <f t="shared" si="75"/>
        <v>0</v>
      </c>
      <c r="J100" s="218">
        <f t="shared" si="76"/>
        <v>0</v>
      </c>
      <c r="L100" s="218">
        <f t="shared" si="77"/>
        <v>0</v>
      </c>
      <c r="O100" s="233">
        <f t="shared" si="78"/>
        <v>0</v>
      </c>
      <c r="P100" s="233">
        <f t="shared" si="79"/>
        <v>0</v>
      </c>
      <c r="Q100" s="233">
        <f t="shared" si="80"/>
        <v>0</v>
      </c>
      <c r="R100" s="233">
        <f t="shared" si="81"/>
        <v>0</v>
      </c>
      <c r="S100" s="233"/>
      <c r="T100" s="220" t="s">
        <v>65</v>
      </c>
      <c r="U100" s="220" t="str">
        <f t="shared" si="82"/>
        <v>Dummy - D</v>
      </c>
      <c r="V100" s="218">
        <v>0</v>
      </c>
      <c r="W100" s="233"/>
      <c r="X100" s="220">
        <f t="shared" si="83"/>
        <v>0</v>
      </c>
      <c r="Y100" s="233"/>
      <c r="Z100" s="220">
        <f t="shared" si="84"/>
        <v>0</v>
      </c>
      <c r="AB100" s="220">
        <f t="shared" si="85"/>
        <v>0</v>
      </c>
      <c r="AC100" s="233"/>
      <c r="AD100" s="233"/>
      <c r="AE100" s="233"/>
      <c r="AF100" s="233"/>
      <c r="AG100" s="233"/>
    </row>
    <row r="101" spans="2:33">
      <c r="B101" s="217" t="s">
        <v>811</v>
      </c>
      <c r="C101" s="217" t="s">
        <v>281</v>
      </c>
      <c r="D101" s="217" t="s">
        <v>29</v>
      </c>
      <c r="E101" s="217" t="s">
        <v>465</v>
      </c>
      <c r="F101" s="220">
        <v>0</v>
      </c>
      <c r="G101" s="220"/>
      <c r="H101" s="218">
        <f t="shared" si="75"/>
        <v>0</v>
      </c>
      <c r="J101" s="218">
        <f t="shared" si="76"/>
        <v>0</v>
      </c>
      <c r="K101" s="218">
        <v>9499517930.7199993</v>
      </c>
      <c r="L101" s="218">
        <f t="shared" si="77"/>
        <v>9499517930.7199993</v>
      </c>
      <c r="O101" s="233">
        <f t="shared" si="78"/>
        <v>0</v>
      </c>
      <c r="P101" s="233">
        <f t="shared" si="79"/>
        <v>0</v>
      </c>
      <c r="Q101" s="233">
        <f t="shared" si="80"/>
        <v>0</v>
      </c>
      <c r="R101" s="233">
        <f t="shared" si="81"/>
        <v>0</v>
      </c>
      <c r="S101" s="233"/>
      <c r="T101" s="220" t="s">
        <v>65</v>
      </c>
      <c r="U101" s="220" t="str">
        <f t="shared" si="82"/>
        <v>Dummy F</v>
      </c>
      <c r="V101" s="218">
        <v>0</v>
      </c>
      <c r="W101" s="233"/>
      <c r="X101" s="220">
        <f t="shared" si="83"/>
        <v>0</v>
      </c>
      <c r="Y101" s="233"/>
      <c r="Z101" s="220">
        <f t="shared" si="84"/>
        <v>0</v>
      </c>
      <c r="AA101" s="220">
        <v>-9499517930.7199993</v>
      </c>
      <c r="AB101" s="220">
        <f t="shared" si="85"/>
        <v>-9499517930.7199993</v>
      </c>
      <c r="AC101" s="233"/>
      <c r="AD101" s="233"/>
      <c r="AE101" s="233"/>
      <c r="AF101" s="233"/>
      <c r="AG101" s="233"/>
    </row>
    <row r="102" spans="2:33">
      <c r="B102" s="217" t="s">
        <v>811</v>
      </c>
      <c r="C102" s="217" t="s">
        <v>281</v>
      </c>
      <c r="D102" s="217" t="s">
        <v>29</v>
      </c>
      <c r="E102" s="217" t="s">
        <v>630</v>
      </c>
      <c r="F102" s="220">
        <v>0</v>
      </c>
      <c r="G102" s="220"/>
      <c r="H102" s="218">
        <f t="shared" si="75"/>
        <v>0</v>
      </c>
      <c r="J102" s="218">
        <f t="shared" si="76"/>
        <v>0</v>
      </c>
      <c r="L102" s="218">
        <f t="shared" si="77"/>
        <v>0</v>
      </c>
      <c r="O102" s="233">
        <f t="shared" si="78"/>
        <v>0</v>
      </c>
      <c r="P102" s="233">
        <f t="shared" si="79"/>
        <v>0</v>
      </c>
      <c r="Q102" s="233">
        <f t="shared" si="80"/>
        <v>0</v>
      </c>
      <c r="R102" s="233">
        <f t="shared" si="81"/>
        <v>0</v>
      </c>
      <c r="S102" s="233"/>
      <c r="T102" s="220" t="s">
        <v>65</v>
      </c>
      <c r="U102" s="220" t="str">
        <f t="shared" si="82"/>
        <v>CVDummy - A</v>
      </c>
      <c r="V102" s="218">
        <v>0</v>
      </c>
      <c r="W102" s="233"/>
      <c r="X102" s="220">
        <f t="shared" si="83"/>
        <v>0</v>
      </c>
      <c r="Y102" s="233"/>
      <c r="Z102" s="220">
        <f t="shared" si="84"/>
        <v>0</v>
      </c>
      <c r="AB102" s="220">
        <f t="shared" si="85"/>
        <v>0</v>
      </c>
      <c r="AC102" s="233"/>
      <c r="AD102" s="233"/>
      <c r="AE102" s="233"/>
      <c r="AF102" s="233"/>
      <c r="AG102" s="233"/>
    </row>
    <row r="103" spans="2:33">
      <c r="F103" s="220"/>
      <c r="G103" s="220"/>
      <c r="H103" s="220"/>
      <c r="I103" s="220"/>
      <c r="J103" s="220"/>
      <c r="K103" s="220"/>
      <c r="L103" s="220"/>
      <c r="O103" s="233"/>
      <c r="P103" s="233"/>
      <c r="Q103" s="233"/>
      <c r="R103" s="233"/>
      <c r="S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</row>
    <row r="104" spans="2:33">
      <c r="E104" s="217" t="s">
        <v>278</v>
      </c>
      <c r="F104" s="218">
        <f>SUM(F99:F102)</f>
        <v>0</v>
      </c>
      <c r="G104" s="220"/>
      <c r="H104" s="220"/>
      <c r="I104" s="220"/>
      <c r="J104" s="220"/>
      <c r="K104" s="220"/>
      <c r="L104" s="218">
        <f>SUM(L99:L102)</f>
        <v>18330919505.720001</v>
      </c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</row>
    <row r="105" spans="2:33">
      <c r="D105" s="236" t="s">
        <v>285</v>
      </c>
      <c r="E105" s="217" t="s">
        <v>280</v>
      </c>
      <c r="F105" s="220">
        <v>696104</v>
      </c>
      <c r="G105" s="220"/>
      <c r="H105" s="220"/>
      <c r="I105" s="220"/>
      <c r="J105" s="220"/>
      <c r="K105" s="237" t="s">
        <v>289</v>
      </c>
      <c r="L105" s="220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</row>
    <row r="106" spans="2:33">
      <c r="D106" s="236"/>
      <c r="F106" s="220">
        <f>F104-F105</f>
        <v>-696104</v>
      </c>
      <c r="G106" s="220"/>
      <c r="H106" s="220"/>
      <c r="I106" s="220"/>
      <c r="J106" s="220"/>
      <c r="K106" s="220"/>
      <c r="L106" s="220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</row>
    <row r="107" spans="2:33">
      <c r="B107" s="238"/>
      <c r="C107" s="238"/>
      <c r="D107" s="238"/>
      <c r="E107" s="238"/>
      <c r="F107" s="239"/>
      <c r="G107" s="239"/>
      <c r="H107" s="239"/>
      <c r="I107" s="239"/>
      <c r="J107" s="239"/>
      <c r="K107" s="239"/>
      <c r="L107" s="239"/>
      <c r="M107" s="240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</row>
    <row r="109" spans="2:33">
      <c r="B109" s="231" t="s">
        <v>43</v>
      </c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23"/>
      <c r="O109" s="223"/>
      <c r="P109" s="223"/>
      <c r="Q109" s="223"/>
      <c r="R109" s="223"/>
      <c r="S109" s="223"/>
      <c r="T109" s="232" t="s">
        <v>89</v>
      </c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27"/>
      <c r="AG109" s="227"/>
    </row>
    <row r="110" spans="2:33">
      <c r="C110" s="227"/>
      <c r="D110" s="227"/>
      <c r="E110" s="227"/>
      <c r="F110" s="230"/>
      <c r="G110" s="230"/>
      <c r="H110" s="230"/>
      <c r="I110" s="230"/>
      <c r="J110" s="230"/>
      <c r="K110" s="230"/>
      <c r="L110" s="230"/>
      <c r="M110" s="230"/>
      <c r="N110" s="223"/>
      <c r="O110" s="223"/>
      <c r="P110" s="223"/>
      <c r="Q110" s="223"/>
      <c r="R110" s="223"/>
      <c r="S110" s="223"/>
      <c r="AE110" s="227"/>
      <c r="AF110" s="227"/>
      <c r="AG110" s="227"/>
    </row>
    <row r="111" spans="2:33">
      <c r="B111" s="217" t="s">
        <v>640</v>
      </c>
      <c r="D111" s="217" t="s">
        <v>43</v>
      </c>
      <c r="E111" s="217" t="s">
        <v>688</v>
      </c>
      <c r="F111" s="218">
        <v>565461517034</v>
      </c>
      <c r="G111" s="218">
        <v>0</v>
      </c>
      <c r="H111" s="218">
        <f>SUM(F111:G111)</f>
        <v>565461517034</v>
      </c>
      <c r="I111" s="218">
        <v>-565461517034</v>
      </c>
      <c r="J111" s="218">
        <f>SUM(H111:I111)</f>
        <v>0</v>
      </c>
      <c r="M111" s="217" t="s">
        <v>43</v>
      </c>
      <c r="O111" s="233">
        <f>F111+V111</f>
        <v>0</v>
      </c>
      <c r="P111" s="233">
        <f>H111+X111</f>
        <v>0</v>
      </c>
      <c r="Q111" s="233">
        <f>J111+Z111</f>
        <v>0</v>
      </c>
      <c r="R111" s="233">
        <f t="shared" ref="R111:R114" si="86">L111+AB111</f>
        <v>0</v>
      </c>
      <c r="S111" s="233"/>
      <c r="T111" s="220" t="s">
        <v>89</v>
      </c>
      <c r="U111" s="220" t="str">
        <f>E111</f>
        <v>Dummy - D</v>
      </c>
      <c r="V111" s="218">
        <v>-565461517034</v>
      </c>
      <c r="W111" s="218">
        <v>0</v>
      </c>
      <c r="X111" s="220">
        <f t="shared" ref="X111:X112" si="87">SUM(V111:W111)</f>
        <v>-565461517034</v>
      </c>
      <c r="Y111" s="220">
        <v>565461517034</v>
      </c>
      <c r="Z111" s="220">
        <f>SUM(X111:Y111)</f>
        <v>0</v>
      </c>
      <c r="AB111" s="220">
        <f t="shared" ref="AB111:AB114" si="88">SUM(Z111:AA111)</f>
        <v>0</v>
      </c>
      <c r="AC111" s="217"/>
      <c r="AD111" s="217"/>
    </row>
    <row r="112" spans="2:33">
      <c r="B112" s="217" t="s">
        <v>640</v>
      </c>
      <c r="D112" s="217" t="s">
        <v>43</v>
      </c>
      <c r="E112" s="217" t="s">
        <v>802</v>
      </c>
      <c r="F112" s="218">
        <v>8414887410</v>
      </c>
      <c r="H112" s="218">
        <f t="shared" ref="H112:H114" si="89">SUM(F112:G112)</f>
        <v>8414887410</v>
      </c>
      <c r="I112" s="218">
        <v>-8414887410</v>
      </c>
      <c r="J112" s="218">
        <f t="shared" ref="J112:J116" si="90">SUM(H112:I112)</f>
        <v>0</v>
      </c>
      <c r="M112" s="217" t="s">
        <v>43</v>
      </c>
      <c r="O112" s="233">
        <f t="shared" ref="O112:O114" si="91">F112+V112</f>
        <v>0</v>
      </c>
      <c r="P112" s="233">
        <f t="shared" ref="P112:P114" si="92">H112+X112</f>
        <v>0</v>
      </c>
      <c r="Q112" s="233">
        <f t="shared" ref="Q112:Q114" si="93">J112+Z112</f>
        <v>0</v>
      </c>
      <c r="R112" s="233">
        <f t="shared" si="86"/>
        <v>0</v>
      </c>
      <c r="S112" s="233"/>
      <c r="T112" s="220" t="s">
        <v>89</v>
      </c>
      <c r="U112" s="220" t="str">
        <f>E112</f>
        <v>Dummy - I</v>
      </c>
      <c r="V112" s="218">
        <v>-8414887410</v>
      </c>
      <c r="X112" s="220">
        <f t="shared" si="87"/>
        <v>-8414887410</v>
      </c>
      <c r="Y112" s="220">
        <v>8414887410</v>
      </c>
      <c r="Z112" s="220">
        <f t="shared" ref="Z112:Z114" si="94">SUM(X112:Y112)</f>
        <v>0</v>
      </c>
      <c r="AB112" s="220">
        <f t="shared" si="88"/>
        <v>0</v>
      </c>
    </row>
    <row r="113" spans="2:33">
      <c r="B113" s="217" t="s">
        <v>640</v>
      </c>
      <c r="D113" s="217" t="s">
        <v>43</v>
      </c>
      <c r="E113" s="217" t="s">
        <v>740</v>
      </c>
      <c r="F113" s="218">
        <v>-26401000000</v>
      </c>
      <c r="G113" s="218">
        <v>52802000000</v>
      </c>
      <c r="H113" s="218">
        <f t="shared" si="89"/>
        <v>26401000000</v>
      </c>
      <c r="I113" s="218">
        <v>-26401000000</v>
      </c>
      <c r="J113" s="218">
        <f t="shared" si="90"/>
        <v>0</v>
      </c>
      <c r="M113" s="217" t="s">
        <v>43</v>
      </c>
      <c r="O113" s="233">
        <f t="shared" si="91"/>
        <v>-52802000000</v>
      </c>
      <c r="P113" s="233">
        <f t="shared" si="92"/>
        <v>0</v>
      </c>
      <c r="Q113" s="233">
        <f t="shared" si="93"/>
        <v>0</v>
      </c>
      <c r="R113" s="233">
        <f t="shared" si="86"/>
        <v>0</v>
      </c>
      <c r="S113" s="233"/>
      <c r="T113" s="220" t="s">
        <v>89</v>
      </c>
      <c r="U113" s="220" t="str">
        <f>E113</f>
        <v>Dummy - E</v>
      </c>
      <c r="V113" s="218">
        <v>-26401000000</v>
      </c>
      <c r="X113" s="220">
        <f>SUM(V113:W113)</f>
        <v>-26401000000</v>
      </c>
      <c r="Y113" s="220">
        <v>26401000000</v>
      </c>
      <c r="Z113" s="220">
        <f t="shared" si="94"/>
        <v>0</v>
      </c>
      <c r="AB113" s="220">
        <f t="shared" si="88"/>
        <v>0</v>
      </c>
    </row>
    <row r="114" spans="2:33">
      <c r="B114" s="217" t="s">
        <v>640</v>
      </c>
      <c r="D114" s="217" t="s">
        <v>43</v>
      </c>
      <c r="E114" s="217" t="s">
        <v>465</v>
      </c>
      <c r="F114" s="218">
        <v>72438250560</v>
      </c>
      <c r="G114" s="218">
        <v>0</v>
      </c>
      <c r="H114" s="218">
        <f t="shared" si="89"/>
        <v>72438250560</v>
      </c>
      <c r="I114" s="218">
        <v>-72438250560</v>
      </c>
      <c r="J114" s="218">
        <f t="shared" si="90"/>
        <v>0</v>
      </c>
      <c r="M114" s="217" t="s">
        <v>43</v>
      </c>
      <c r="O114" s="233">
        <f t="shared" si="91"/>
        <v>0</v>
      </c>
      <c r="P114" s="233">
        <f t="shared" si="92"/>
        <v>0</v>
      </c>
      <c r="Q114" s="233">
        <f t="shared" si="93"/>
        <v>0</v>
      </c>
      <c r="R114" s="233">
        <f t="shared" si="86"/>
        <v>0</v>
      </c>
      <c r="S114" s="233"/>
      <c r="T114" s="220" t="s">
        <v>89</v>
      </c>
      <c r="U114" s="220" t="str">
        <f>E114</f>
        <v>Dummy F</v>
      </c>
      <c r="V114" s="218">
        <v>-72438250560</v>
      </c>
      <c r="W114" s="220">
        <v>0</v>
      </c>
      <c r="X114" s="220">
        <f t="shared" ref="X114" si="95">SUM(V114:W114)</f>
        <v>-72438250560</v>
      </c>
      <c r="Y114" s="220">
        <v>72438250560</v>
      </c>
      <c r="Z114" s="220">
        <f t="shared" si="94"/>
        <v>0</v>
      </c>
      <c r="AB114" s="220">
        <f t="shared" si="88"/>
        <v>0</v>
      </c>
    </row>
    <row r="115" spans="2:33">
      <c r="F115" s="220"/>
      <c r="G115" s="220"/>
      <c r="H115" s="220"/>
      <c r="I115" s="220"/>
      <c r="J115" s="218">
        <f t="shared" si="90"/>
        <v>0</v>
      </c>
      <c r="O115" s="233"/>
      <c r="P115" s="233"/>
      <c r="Q115" s="233"/>
      <c r="R115" s="233"/>
      <c r="S115" s="233"/>
      <c r="T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</row>
    <row r="116" spans="2:33">
      <c r="E116" s="217" t="s">
        <v>278</v>
      </c>
      <c r="F116" s="220">
        <f>SUM(F111:F114)</f>
        <v>619913655004</v>
      </c>
      <c r="G116" s="220"/>
      <c r="H116" s="220">
        <f>SUM(H111:H114)</f>
        <v>672715655004</v>
      </c>
      <c r="I116" s="220"/>
      <c r="J116" s="218">
        <f t="shared" si="90"/>
        <v>672715655004</v>
      </c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233"/>
      <c r="AG116" s="233"/>
    </row>
    <row r="117" spans="2:33">
      <c r="D117" s="236" t="s">
        <v>285</v>
      </c>
      <c r="E117" s="217" t="s">
        <v>43</v>
      </c>
      <c r="F117" s="220">
        <v>619913655004</v>
      </c>
      <c r="G117" s="220"/>
      <c r="H117" s="220"/>
      <c r="I117" s="220"/>
      <c r="J117" s="220"/>
      <c r="K117" s="220"/>
      <c r="L117" s="220"/>
      <c r="M117" s="218">
        <f>F116+F117</f>
        <v>1239827310008</v>
      </c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</row>
    <row r="118" spans="2:33">
      <c r="E118" s="217" t="s">
        <v>109</v>
      </c>
      <c r="F118" s="220">
        <f>F116-SUM(F117:F117)</f>
        <v>0</v>
      </c>
      <c r="G118" s="220"/>
      <c r="H118" s="220"/>
      <c r="I118" s="220"/>
      <c r="J118" s="220"/>
      <c r="K118" s="220"/>
      <c r="L118" s="220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233"/>
      <c r="AG118" s="233"/>
    </row>
    <row r="119" spans="2:33">
      <c r="B119" s="238"/>
      <c r="C119" s="238"/>
      <c r="D119" s="238"/>
      <c r="E119" s="238"/>
      <c r="F119" s="239"/>
      <c r="G119" s="239"/>
      <c r="H119" s="239"/>
      <c r="I119" s="239"/>
      <c r="J119" s="239"/>
      <c r="K119" s="239"/>
      <c r="L119" s="239"/>
      <c r="M119" s="240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</row>
    <row r="120" spans="2:33">
      <c r="F120" s="220"/>
      <c r="G120" s="220"/>
      <c r="H120" s="220"/>
      <c r="I120" s="220"/>
      <c r="J120" s="220"/>
      <c r="K120" s="220"/>
      <c r="L120" s="220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</row>
    <row r="121" spans="2:33">
      <c r="B121" s="217" t="s">
        <v>688</v>
      </c>
      <c r="D121" s="217" t="s">
        <v>43</v>
      </c>
      <c r="E121" s="217" t="s">
        <v>609</v>
      </c>
      <c r="F121" s="220">
        <v>12121826200</v>
      </c>
      <c r="G121" s="220">
        <v>0</v>
      </c>
      <c r="H121" s="218">
        <f t="shared" ref="H121:H122" si="96">SUM(F121:G121)</f>
        <v>12121826200</v>
      </c>
      <c r="I121" s="218">
        <v>-12121826200</v>
      </c>
      <c r="J121" s="218">
        <f t="shared" ref="J121:J122" si="97">SUM(H121:I121)</f>
        <v>0</v>
      </c>
      <c r="M121" s="217" t="s">
        <v>43</v>
      </c>
      <c r="O121" s="233">
        <f t="shared" ref="O121:O122" si="98">F121+V121</f>
        <v>0</v>
      </c>
      <c r="P121" s="233">
        <f t="shared" ref="P121:P122" si="99">H121+X121</f>
        <v>0</v>
      </c>
      <c r="Q121" s="233">
        <f t="shared" ref="Q121:Q122" si="100">J121+Z121</f>
        <v>0</v>
      </c>
      <c r="R121" s="233">
        <f t="shared" ref="R121:R122" si="101">L121+AB121</f>
        <v>0</v>
      </c>
      <c r="S121" s="233"/>
      <c r="T121" s="220" t="s">
        <v>89</v>
      </c>
      <c r="U121" s="220" t="str">
        <f t="shared" ref="U121:U122" si="102">E121</f>
        <v>Dummy - A</v>
      </c>
      <c r="V121" s="218">
        <v>-12121826200</v>
      </c>
      <c r="W121" s="220">
        <v>0</v>
      </c>
      <c r="X121" s="220">
        <f t="shared" ref="X121:X122" si="103">SUM(V121:W121)</f>
        <v>-12121826200</v>
      </c>
      <c r="Y121" s="220">
        <v>12121826200</v>
      </c>
      <c r="Z121" s="220">
        <f t="shared" ref="Z121:Z122" si="104">SUM(X121:Y121)</f>
        <v>0</v>
      </c>
      <c r="AB121" s="220">
        <f t="shared" ref="AB121:AB122" si="105">SUM(Z121:AA121)</f>
        <v>0</v>
      </c>
      <c r="AC121" s="233"/>
      <c r="AD121" s="233"/>
      <c r="AE121" s="233"/>
      <c r="AF121" s="233"/>
      <c r="AG121" s="233"/>
    </row>
    <row r="122" spans="2:33">
      <c r="B122" s="217" t="s">
        <v>688</v>
      </c>
      <c r="D122" s="217" t="s">
        <v>43</v>
      </c>
      <c r="E122" s="217" t="s">
        <v>802</v>
      </c>
      <c r="F122" s="220">
        <v>1071452628</v>
      </c>
      <c r="G122" s="220"/>
      <c r="H122" s="218">
        <f t="shared" si="96"/>
        <v>1071452628</v>
      </c>
      <c r="I122" s="218">
        <v>-1071452628</v>
      </c>
      <c r="J122" s="218">
        <f t="shared" si="97"/>
        <v>0</v>
      </c>
      <c r="M122" s="217" t="s">
        <v>43</v>
      </c>
      <c r="O122" s="233">
        <f t="shared" si="98"/>
        <v>-10938507620</v>
      </c>
      <c r="P122" s="233">
        <f t="shared" si="99"/>
        <v>-10938507620</v>
      </c>
      <c r="Q122" s="233">
        <f t="shared" si="100"/>
        <v>0</v>
      </c>
      <c r="R122" s="233">
        <f t="shared" si="101"/>
        <v>0</v>
      </c>
      <c r="S122" s="233"/>
      <c r="T122" s="220" t="s">
        <v>89</v>
      </c>
      <c r="U122" s="220" t="str">
        <f t="shared" si="102"/>
        <v>Dummy - I</v>
      </c>
      <c r="V122" s="218">
        <v>-12009960248</v>
      </c>
      <c r="W122" s="220">
        <v>0</v>
      </c>
      <c r="X122" s="220">
        <f t="shared" si="103"/>
        <v>-12009960248</v>
      </c>
      <c r="Y122" s="220">
        <v>12009960248</v>
      </c>
      <c r="Z122" s="220">
        <f t="shared" si="104"/>
        <v>0</v>
      </c>
      <c r="AB122" s="220">
        <f t="shared" si="105"/>
        <v>0</v>
      </c>
      <c r="AC122" s="233"/>
      <c r="AD122" s="233"/>
      <c r="AE122" s="233"/>
      <c r="AF122" s="233"/>
      <c r="AG122" s="233"/>
    </row>
    <row r="123" spans="2:33">
      <c r="F123" s="220"/>
      <c r="G123" s="220"/>
      <c r="H123" s="220"/>
      <c r="I123" s="220"/>
      <c r="J123" s="220"/>
      <c r="K123" s="220"/>
      <c r="L123" s="220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</row>
    <row r="124" spans="2:33">
      <c r="E124" s="217" t="s">
        <v>278</v>
      </c>
      <c r="F124" s="218">
        <f>SUM(F121:F122)</f>
        <v>13193278828</v>
      </c>
      <c r="G124" s="220"/>
      <c r="H124" s="220"/>
      <c r="I124" s="220"/>
      <c r="J124" s="220"/>
      <c r="K124" s="220"/>
      <c r="L124" s="220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</row>
    <row r="125" spans="2:33">
      <c r="D125" s="236" t="s">
        <v>285</v>
      </c>
      <c r="E125" s="217" t="s">
        <v>43</v>
      </c>
      <c r="F125" s="220">
        <v>13193278828</v>
      </c>
      <c r="G125" s="220"/>
      <c r="H125" s="220"/>
      <c r="I125" s="220"/>
      <c r="J125" s="220"/>
      <c r="K125" s="220"/>
      <c r="L125" s="220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</row>
    <row r="126" spans="2:33">
      <c r="D126" s="236"/>
      <c r="F126" s="220">
        <f>F124-F125</f>
        <v>0</v>
      </c>
      <c r="G126" s="220"/>
      <c r="H126" s="220"/>
      <c r="I126" s="220"/>
      <c r="J126" s="220"/>
      <c r="K126" s="220"/>
      <c r="L126" s="220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</row>
    <row r="127" spans="2:33">
      <c r="B127" s="238"/>
      <c r="C127" s="238"/>
      <c r="D127" s="238"/>
      <c r="E127" s="238"/>
      <c r="F127" s="239"/>
      <c r="G127" s="239"/>
      <c r="H127" s="239"/>
      <c r="I127" s="239"/>
      <c r="J127" s="239"/>
      <c r="K127" s="239"/>
      <c r="L127" s="239"/>
      <c r="M127" s="240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</row>
    <row r="128" spans="2:33">
      <c r="F128" s="220"/>
      <c r="G128" s="220"/>
      <c r="H128" s="220"/>
      <c r="I128" s="220"/>
      <c r="J128" s="220"/>
      <c r="K128" s="220"/>
      <c r="L128" s="220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</row>
    <row r="129" spans="2:33">
      <c r="B129" s="217" t="s">
        <v>465</v>
      </c>
      <c r="D129" s="217" t="s">
        <v>43</v>
      </c>
      <c r="E129" s="217" t="s">
        <v>609</v>
      </c>
      <c r="F129" s="220">
        <v>14390114563</v>
      </c>
      <c r="G129" s="220"/>
      <c r="H129" s="218">
        <f t="shared" ref="H129:H132" si="106">SUM(F129:G129)</f>
        <v>14390114563</v>
      </c>
      <c r="I129" s="218">
        <v>-14390114563</v>
      </c>
      <c r="J129" s="218">
        <f t="shared" ref="J129:J132" si="107">SUM(H129:I129)</f>
        <v>0</v>
      </c>
      <c r="M129" s="217" t="s">
        <v>43</v>
      </c>
      <c r="O129" s="233">
        <f t="shared" ref="O129:O132" si="108">F129+V129</f>
        <v>0</v>
      </c>
      <c r="P129" s="233">
        <f t="shared" ref="P129:P132" si="109">H129+X129</f>
        <v>0</v>
      </c>
      <c r="Q129" s="233">
        <f t="shared" ref="Q129:Q132" si="110">J129+Z129</f>
        <v>0</v>
      </c>
      <c r="R129" s="233">
        <f t="shared" ref="R129:R132" si="111">L129+AB129</f>
        <v>0</v>
      </c>
      <c r="S129" s="233"/>
      <c r="T129" s="220" t="s">
        <v>89</v>
      </c>
      <c r="U129" s="220" t="str">
        <f t="shared" ref="U129:U132" si="112">E129</f>
        <v>Dummy - A</v>
      </c>
      <c r="V129" s="218">
        <v>-14390114563</v>
      </c>
      <c r="W129" s="220">
        <v>0</v>
      </c>
      <c r="X129" s="220">
        <f t="shared" ref="X129:X132" si="113">SUM(V129:W129)</f>
        <v>-14390114563</v>
      </c>
      <c r="Y129" s="220">
        <v>14390114563</v>
      </c>
      <c r="Z129" s="220">
        <f t="shared" ref="Z129:Z132" si="114">SUM(X129:Y129)</f>
        <v>0</v>
      </c>
      <c r="AB129" s="220">
        <f t="shared" ref="AB129:AB132" si="115">SUM(Z129:AA129)</f>
        <v>0</v>
      </c>
      <c r="AC129" s="233"/>
      <c r="AD129" s="233"/>
      <c r="AE129" s="233"/>
      <c r="AF129" s="233"/>
      <c r="AG129" s="233"/>
    </row>
    <row r="130" spans="2:33">
      <c r="B130" s="217" t="s">
        <v>465</v>
      </c>
      <c r="D130" s="217" t="s">
        <v>43</v>
      </c>
      <c r="E130" s="217" t="s">
        <v>815</v>
      </c>
      <c r="F130" s="220">
        <v>44000000</v>
      </c>
      <c r="G130" s="220"/>
      <c r="H130" s="218">
        <f t="shared" si="106"/>
        <v>44000000</v>
      </c>
      <c r="I130" s="218">
        <v>-44000000</v>
      </c>
      <c r="J130" s="218">
        <f t="shared" si="107"/>
        <v>0</v>
      </c>
      <c r="M130" s="217" t="s">
        <v>43</v>
      </c>
      <c r="O130" s="233">
        <f t="shared" si="108"/>
        <v>0</v>
      </c>
      <c r="P130" s="233">
        <f t="shared" si="109"/>
        <v>0</v>
      </c>
      <c r="Q130" s="233">
        <f t="shared" si="110"/>
        <v>0</v>
      </c>
      <c r="R130" s="233">
        <f t="shared" si="111"/>
        <v>0</v>
      </c>
      <c r="S130" s="233"/>
      <c r="T130" s="220" t="s">
        <v>89</v>
      </c>
      <c r="U130" s="220" t="str">
        <f t="shared" si="112"/>
        <v>Dummy - M</v>
      </c>
      <c r="V130" s="218">
        <v>-44000000</v>
      </c>
      <c r="X130" s="220">
        <f t="shared" si="113"/>
        <v>-44000000</v>
      </c>
      <c r="Y130" s="220">
        <v>44000000</v>
      </c>
      <c r="Z130" s="220">
        <f t="shared" si="114"/>
        <v>0</v>
      </c>
      <c r="AB130" s="220">
        <f t="shared" si="115"/>
        <v>0</v>
      </c>
      <c r="AC130" s="233"/>
      <c r="AD130" s="233"/>
      <c r="AE130" s="233"/>
      <c r="AF130" s="233"/>
      <c r="AG130" s="233"/>
    </row>
    <row r="131" spans="2:33">
      <c r="B131" s="217" t="s">
        <v>465</v>
      </c>
      <c r="D131" s="217" t="s">
        <v>43</v>
      </c>
      <c r="E131" s="217" t="s">
        <v>461</v>
      </c>
      <c r="F131" s="220">
        <v>97000000</v>
      </c>
      <c r="G131" s="220"/>
      <c r="H131" s="218">
        <f t="shared" si="106"/>
        <v>97000000</v>
      </c>
      <c r="I131" s="218">
        <v>-97000000</v>
      </c>
      <c r="J131" s="218">
        <f t="shared" si="107"/>
        <v>0</v>
      </c>
      <c r="M131" s="217" t="s">
        <v>43</v>
      </c>
      <c r="O131" s="233">
        <f t="shared" si="108"/>
        <v>0</v>
      </c>
      <c r="P131" s="233">
        <f t="shared" si="109"/>
        <v>0</v>
      </c>
      <c r="Q131" s="233">
        <f t="shared" si="110"/>
        <v>0</v>
      </c>
      <c r="R131" s="233">
        <f t="shared" si="111"/>
        <v>0</v>
      </c>
      <c r="S131" s="233"/>
      <c r="T131" s="220" t="s">
        <v>89</v>
      </c>
      <c r="U131" s="220" t="str">
        <f t="shared" si="112"/>
        <v>Dummy G</v>
      </c>
      <c r="V131" s="218">
        <v>-97000000</v>
      </c>
      <c r="W131" s="220">
        <v>0</v>
      </c>
      <c r="X131" s="220">
        <f t="shared" si="113"/>
        <v>-97000000</v>
      </c>
      <c r="Y131" s="220">
        <v>97000000</v>
      </c>
      <c r="Z131" s="220">
        <f t="shared" si="114"/>
        <v>0</v>
      </c>
      <c r="AB131" s="220">
        <f t="shared" si="115"/>
        <v>0</v>
      </c>
      <c r="AC131" s="233"/>
      <c r="AD131" s="233"/>
      <c r="AE131" s="233"/>
      <c r="AF131" s="233"/>
      <c r="AG131" s="233"/>
    </row>
    <row r="132" spans="2:33">
      <c r="B132" s="217" t="s">
        <v>465</v>
      </c>
      <c r="D132" s="217" t="s">
        <v>43</v>
      </c>
      <c r="E132" s="217" t="s">
        <v>811</v>
      </c>
      <c r="F132" s="220">
        <v>17710000000</v>
      </c>
      <c r="G132" s="220"/>
      <c r="H132" s="218">
        <f t="shared" si="106"/>
        <v>17710000000</v>
      </c>
      <c r="I132" s="218">
        <v>-17710000000</v>
      </c>
      <c r="J132" s="218">
        <f t="shared" si="107"/>
        <v>0</v>
      </c>
      <c r="M132" s="217" t="s">
        <v>43</v>
      </c>
      <c r="O132" s="233">
        <f t="shared" si="108"/>
        <v>0</v>
      </c>
      <c r="P132" s="233">
        <f t="shared" si="109"/>
        <v>0</v>
      </c>
      <c r="Q132" s="233">
        <f t="shared" si="110"/>
        <v>0</v>
      </c>
      <c r="R132" s="233">
        <f t="shared" si="111"/>
        <v>0</v>
      </c>
      <c r="S132" s="233"/>
      <c r="T132" s="220" t="s">
        <v>89</v>
      </c>
      <c r="U132" s="220" t="str">
        <f t="shared" si="112"/>
        <v>Dummy L</v>
      </c>
      <c r="V132" s="218">
        <v>-17710000000</v>
      </c>
      <c r="W132" s="220">
        <v>0</v>
      </c>
      <c r="X132" s="220">
        <f t="shared" si="113"/>
        <v>-17710000000</v>
      </c>
      <c r="Y132" s="220">
        <v>17710000000</v>
      </c>
      <c r="Z132" s="220">
        <f t="shared" si="114"/>
        <v>0</v>
      </c>
      <c r="AB132" s="220">
        <f t="shared" si="115"/>
        <v>0</v>
      </c>
      <c r="AC132" s="233"/>
      <c r="AD132" s="233"/>
      <c r="AE132" s="233"/>
      <c r="AF132" s="233"/>
      <c r="AG132" s="233"/>
    </row>
    <row r="133" spans="2:33">
      <c r="F133" s="220"/>
      <c r="G133" s="220"/>
      <c r="H133" s="220"/>
      <c r="I133" s="220"/>
      <c r="J133" s="220"/>
      <c r="K133" s="220"/>
      <c r="L133" s="220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</row>
    <row r="134" spans="2:33">
      <c r="E134" s="217" t="s">
        <v>278</v>
      </c>
      <c r="F134" s="218">
        <f>SUM(F129:F132)</f>
        <v>32241114563</v>
      </c>
      <c r="G134" s="220"/>
      <c r="H134" s="220"/>
      <c r="I134" s="220"/>
      <c r="J134" s="220"/>
      <c r="K134" s="220"/>
      <c r="L134" s="220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</row>
    <row r="135" spans="2:33">
      <c r="D135" s="236" t="s">
        <v>285</v>
      </c>
      <c r="E135" s="217" t="s">
        <v>43</v>
      </c>
      <c r="F135" s="220">
        <v>32241114563</v>
      </c>
      <c r="G135" s="220"/>
      <c r="H135" s="220"/>
      <c r="I135" s="220"/>
      <c r="J135" s="220"/>
      <c r="K135" s="220"/>
      <c r="L135" s="220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</row>
    <row r="136" spans="2:33">
      <c r="D136" s="236"/>
      <c r="F136" s="220">
        <f>F134-F135</f>
        <v>0</v>
      </c>
      <c r="G136" s="220"/>
      <c r="H136" s="220"/>
      <c r="I136" s="220"/>
      <c r="J136" s="220"/>
      <c r="K136" s="220"/>
      <c r="L136" s="220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</row>
    <row r="137" spans="2:33">
      <c r="B137" s="238"/>
      <c r="C137" s="238"/>
      <c r="D137" s="238"/>
      <c r="E137" s="238"/>
      <c r="F137" s="239"/>
      <c r="G137" s="239"/>
      <c r="H137" s="239"/>
      <c r="I137" s="239"/>
      <c r="J137" s="239"/>
      <c r="K137" s="239"/>
      <c r="L137" s="239"/>
      <c r="M137" s="240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</row>
    <row r="138" spans="2:33">
      <c r="F138" s="220"/>
      <c r="G138" s="220"/>
      <c r="H138" s="220"/>
      <c r="I138" s="220"/>
      <c r="J138" s="220"/>
      <c r="K138" s="220"/>
      <c r="L138" s="220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</row>
    <row r="139" spans="2:33">
      <c r="B139" s="217" t="s">
        <v>609</v>
      </c>
      <c r="D139" s="217" t="s">
        <v>43</v>
      </c>
      <c r="E139" s="217" t="s">
        <v>461</v>
      </c>
      <c r="F139" s="220">
        <v>55000000</v>
      </c>
      <c r="G139" s="220">
        <v>0</v>
      </c>
      <c r="H139" s="218">
        <f t="shared" ref="H139" si="116">SUM(F139:G139)</f>
        <v>55000000</v>
      </c>
      <c r="J139" s="218">
        <f t="shared" ref="J139" si="117">SUM(H139:I139)</f>
        <v>55000000</v>
      </c>
      <c r="K139" s="218">
        <f>-J139</f>
        <v>-55000000</v>
      </c>
      <c r="L139" s="218">
        <f>SUM(J139:K139)</f>
        <v>0</v>
      </c>
      <c r="M139" s="217" t="s">
        <v>43</v>
      </c>
      <c r="O139" s="233">
        <f t="shared" ref="O139" si="118">F139+V139</f>
        <v>0</v>
      </c>
      <c r="P139" s="233">
        <f t="shared" ref="P139" si="119">H139+X139</f>
        <v>0</v>
      </c>
      <c r="Q139" s="233">
        <f t="shared" ref="Q139" si="120">J139+Z139</f>
        <v>0</v>
      </c>
      <c r="R139" s="233">
        <f t="shared" ref="R139" si="121">L139+AB139</f>
        <v>0</v>
      </c>
      <c r="S139" s="233"/>
      <c r="T139" s="220" t="s">
        <v>89</v>
      </c>
      <c r="U139" s="220" t="str">
        <f t="shared" ref="U139" si="122">E139</f>
        <v>Dummy G</v>
      </c>
      <c r="V139" s="218">
        <v>-55000000</v>
      </c>
      <c r="W139" s="220">
        <v>0</v>
      </c>
      <c r="X139" s="220">
        <f t="shared" ref="X139" si="123">SUM(V139:W139)</f>
        <v>-55000000</v>
      </c>
      <c r="Y139" s="220">
        <v>0</v>
      </c>
      <c r="Z139" s="220">
        <f t="shared" ref="Z139" si="124">SUM(X139:Y139)</f>
        <v>-55000000</v>
      </c>
      <c r="AA139" s="220">
        <f>-Z139</f>
        <v>55000000</v>
      </c>
      <c r="AB139" s="220">
        <f t="shared" ref="AB139" si="125">SUM(Z139:AA139)</f>
        <v>0</v>
      </c>
      <c r="AC139" s="233"/>
      <c r="AD139" s="233"/>
      <c r="AE139" s="233"/>
      <c r="AF139" s="233"/>
      <c r="AG139" s="233"/>
    </row>
    <row r="140" spans="2:33">
      <c r="F140" s="220"/>
      <c r="G140" s="220"/>
      <c r="H140" s="220"/>
      <c r="I140" s="220"/>
      <c r="J140" s="220"/>
      <c r="K140" s="220"/>
      <c r="L140" s="220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</row>
    <row r="141" spans="2:33">
      <c r="E141" s="217" t="s">
        <v>278</v>
      </c>
      <c r="F141" s="218">
        <f>SUM(F139:F139)</f>
        <v>55000000</v>
      </c>
      <c r="G141" s="220"/>
      <c r="H141" s="220"/>
      <c r="I141" s="220"/>
      <c r="J141" s="220"/>
      <c r="K141" s="220"/>
      <c r="L141" s="220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</row>
    <row r="142" spans="2:33">
      <c r="D142" s="236" t="s">
        <v>285</v>
      </c>
      <c r="E142" s="217" t="s">
        <v>43</v>
      </c>
      <c r="F142" s="220">
        <v>0</v>
      </c>
      <c r="G142" s="220"/>
      <c r="H142" s="220"/>
      <c r="I142" s="220"/>
      <c r="J142" s="220"/>
      <c r="K142" s="220"/>
      <c r="L142" s="220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</row>
    <row r="143" spans="2:33">
      <c r="D143" s="236"/>
      <c r="F143" s="220">
        <f>F141-F142</f>
        <v>55000000</v>
      </c>
      <c r="G143" s="220"/>
      <c r="H143" s="220"/>
      <c r="I143" s="220"/>
      <c r="J143" s="220"/>
      <c r="K143" s="220"/>
      <c r="L143" s="220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</row>
    <row r="144" spans="2:33">
      <c r="B144" s="238"/>
      <c r="C144" s="238"/>
      <c r="D144" s="238"/>
      <c r="E144" s="238"/>
      <c r="F144" s="239"/>
      <c r="G144" s="239"/>
      <c r="H144" s="239"/>
      <c r="I144" s="239"/>
      <c r="J144" s="239"/>
      <c r="K144" s="239"/>
      <c r="L144" s="239"/>
      <c r="M144" s="240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</row>
    <row r="145" spans="2:33">
      <c r="B145" s="231" t="s">
        <v>290</v>
      </c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23"/>
      <c r="O145" s="223"/>
      <c r="P145" s="223"/>
      <c r="Q145" s="223"/>
      <c r="R145" s="223"/>
      <c r="S145" s="223"/>
      <c r="T145" s="232" t="s">
        <v>260</v>
      </c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27"/>
      <c r="AG145" s="227"/>
    </row>
    <row r="146" spans="2:33">
      <c r="C146" s="227"/>
      <c r="D146" s="227"/>
      <c r="E146" s="227"/>
      <c r="F146" s="230"/>
      <c r="G146" s="230"/>
      <c r="H146" s="230"/>
      <c r="I146" s="230"/>
      <c r="J146" s="230"/>
      <c r="K146" s="230"/>
      <c r="L146" s="230"/>
      <c r="M146" s="230"/>
      <c r="N146" s="223"/>
      <c r="O146" s="223"/>
      <c r="P146" s="223"/>
      <c r="Q146" s="223"/>
      <c r="R146" s="223"/>
      <c r="S146" s="223"/>
      <c r="AE146" s="227"/>
      <c r="AF146" s="227"/>
      <c r="AG146" s="227"/>
    </row>
    <row r="147" spans="2:33">
      <c r="B147" s="217" t="s">
        <v>640</v>
      </c>
      <c r="D147" s="217" t="s">
        <v>32</v>
      </c>
      <c r="E147" s="217" t="s">
        <v>688</v>
      </c>
      <c r="G147" s="218">
        <v>10849057296.363626</v>
      </c>
      <c r="H147" s="218">
        <f>SUM(F147:G147)</f>
        <v>10849057296.363626</v>
      </c>
      <c r="I147" s="218">
        <v>0</v>
      </c>
      <c r="J147" s="218">
        <f>SUM(H147:I147)</f>
        <v>10849057296.363626</v>
      </c>
      <c r="K147" s="218">
        <v>0</v>
      </c>
      <c r="L147" s="218">
        <f t="shared" ref="L147:L157" si="126">SUM(J147:K147)</f>
        <v>10849057296.363626</v>
      </c>
      <c r="M147" s="217" t="s">
        <v>290</v>
      </c>
      <c r="O147" s="233">
        <f>F147+V147</f>
        <v>-9070347730.9200001</v>
      </c>
      <c r="P147" s="233">
        <f>H147+X147</f>
        <v>1778709565.4436264</v>
      </c>
      <c r="Q147" s="233">
        <f>J147+Z147</f>
        <v>1778709565.4436264</v>
      </c>
      <c r="R147" s="233">
        <f>L147+AB147</f>
        <v>-167969401.5563736</v>
      </c>
      <c r="S147" s="233"/>
      <c r="T147" s="220" t="s">
        <v>68</v>
      </c>
      <c r="U147" s="220" t="str">
        <f>E147</f>
        <v>Dummy - D</v>
      </c>
      <c r="V147" s="218">
        <v>-9070347730.9200001</v>
      </c>
      <c r="W147" s="218">
        <v>0</v>
      </c>
      <c r="X147" s="220">
        <f t="shared" ref="X147:X148" si="127">SUM(V147:W147)</f>
        <v>-9070347730.9200001</v>
      </c>
      <c r="Z147" s="220">
        <f>SUM(X147:Y147)</f>
        <v>-9070347730.9200001</v>
      </c>
      <c r="AA147" s="220">
        <v>-1946678967</v>
      </c>
      <c r="AB147" s="220">
        <f t="shared" ref="AB147:AB157" si="128">SUM(Z147:AA147)</f>
        <v>-11017026697.92</v>
      </c>
      <c r="AC147" s="217"/>
      <c r="AD147" s="217" t="s">
        <v>260</v>
      </c>
    </row>
    <row r="148" spans="2:33">
      <c r="B148" s="217" t="s">
        <v>640</v>
      </c>
      <c r="D148" s="217" t="s">
        <v>32</v>
      </c>
      <c r="E148" s="217" t="s">
        <v>802</v>
      </c>
      <c r="F148" s="218">
        <v>0</v>
      </c>
      <c r="H148" s="218">
        <f t="shared" ref="H148:H157" si="129">SUM(F148:G148)</f>
        <v>0</v>
      </c>
      <c r="I148" s="218">
        <v>0</v>
      </c>
      <c r="J148" s="218">
        <f t="shared" ref="J148:J159" si="130">SUM(H148:I148)</f>
        <v>0</v>
      </c>
      <c r="K148" s="218">
        <v>0</v>
      </c>
      <c r="L148" s="218">
        <f t="shared" si="126"/>
        <v>0</v>
      </c>
      <c r="M148" s="217" t="s">
        <v>290</v>
      </c>
      <c r="O148" s="233">
        <f t="shared" ref="O148:O157" si="131">F148+V148</f>
        <v>0</v>
      </c>
      <c r="P148" s="233">
        <f t="shared" ref="P148:P157" si="132">H148+X148</f>
        <v>0</v>
      </c>
      <c r="Q148" s="233">
        <f t="shared" ref="Q148:Q157" si="133">J148+Z148</f>
        <v>0</v>
      </c>
      <c r="R148" s="233">
        <f t="shared" ref="R148:R157" si="134">L148+AB148</f>
        <v>0</v>
      </c>
      <c r="S148" s="233"/>
      <c r="T148" s="220" t="s">
        <v>68</v>
      </c>
      <c r="U148" s="220" t="str">
        <f>E148</f>
        <v>Dummy - I</v>
      </c>
      <c r="V148" s="218">
        <v>0</v>
      </c>
      <c r="X148" s="220">
        <f t="shared" si="127"/>
        <v>0</v>
      </c>
      <c r="Y148" s="220">
        <v>0</v>
      </c>
      <c r="Z148" s="220">
        <f t="shared" ref="Z148:Z157" si="135">SUM(X148:Y148)</f>
        <v>0</v>
      </c>
      <c r="AB148" s="220">
        <f t="shared" si="128"/>
        <v>0</v>
      </c>
      <c r="AD148" s="217" t="s">
        <v>260</v>
      </c>
    </row>
    <row r="149" spans="2:33">
      <c r="B149" s="217" t="s">
        <v>640</v>
      </c>
      <c r="D149" s="217" t="s">
        <v>32</v>
      </c>
      <c r="E149" s="217" t="s">
        <v>740</v>
      </c>
      <c r="F149" s="218">
        <v>0</v>
      </c>
      <c r="G149" s="218">
        <v>0</v>
      </c>
      <c r="H149" s="218">
        <f t="shared" si="129"/>
        <v>0</v>
      </c>
      <c r="I149" s="218">
        <v>0</v>
      </c>
      <c r="J149" s="218">
        <f t="shared" si="130"/>
        <v>0</v>
      </c>
      <c r="K149" s="218">
        <v>0</v>
      </c>
      <c r="L149" s="218">
        <f t="shared" si="126"/>
        <v>0</v>
      </c>
      <c r="M149" s="217" t="s">
        <v>290</v>
      </c>
      <c r="O149" s="233">
        <f t="shared" si="131"/>
        <v>0</v>
      </c>
      <c r="P149" s="233">
        <f t="shared" si="132"/>
        <v>0</v>
      </c>
      <c r="Q149" s="233">
        <f t="shared" si="133"/>
        <v>0</v>
      </c>
      <c r="R149" s="233">
        <f t="shared" si="134"/>
        <v>0</v>
      </c>
      <c r="S149" s="233"/>
      <c r="T149" s="220" t="s">
        <v>68</v>
      </c>
      <c r="U149" s="220" t="str">
        <f>E149</f>
        <v>Dummy - E</v>
      </c>
      <c r="V149" s="218">
        <v>0</v>
      </c>
      <c r="X149" s="220">
        <f>SUM(V149:W149)</f>
        <v>0</v>
      </c>
      <c r="Z149" s="220">
        <f t="shared" si="135"/>
        <v>0</v>
      </c>
      <c r="AB149" s="220">
        <f t="shared" si="128"/>
        <v>0</v>
      </c>
      <c r="AD149" s="217" t="s">
        <v>260</v>
      </c>
    </row>
    <row r="150" spans="2:33">
      <c r="B150" s="217" t="s">
        <v>640</v>
      </c>
      <c r="D150" s="217" t="s">
        <v>32</v>
      </c>
      <c r="E150" s="217" t="s">
        <v>465</v>
      </c>
      <c r="F150" s="218">
        <v>0</v>
      </c>
      <c r="G150" s="218">
        <v>0</v>
      </c>
      <c r="H150" s="218">
        <f t="shared" si="129"/>
        <v>0</v>
      </c>
      <c r="I150" s="218">
        <v>0</v>
      </c>
      <c r="J150" s="218">
        <f t="shared" si="130"/>
        <v>0</v>
      </c>
      <c r="K150" s="218">
        <v>0</v>
      </c>
      <c r="L150" s="218">
        <f t="shared" si="126"/>
        <v>0</v>
      </c>
      <c r="M150" s="217" t="s">
        <v>290</v>
      </c>
      <c r="O150" s="233">
        <f t="shared" si="131"/>
        <v>0</v>
      </c>
      <c r="P150" s="233">
        <f t="shared" si="132"/>
        <v>0</v>
      </c>
      <c r="Q150" s="233">
        <f t="shared" si="133"/>
        <v>0</v>
      </c>
      <c r="R150" s="233">
        <f t="shared" si="134"/>
        <v>0</v>
      </c>
      <c r="S150" s="233"/>
      <c r="T150" s="220" t="s">
        <v>68</v>
      </c>
      <c r="U150" s="220" t="str">
        <f>E150</f>
        <v>Dummy F</v>
      </c>
      <c r="V150" s="218">
        <v>0</v>
      </c>
      <c r="W150" s="220">
        <v>0</v>
      </c>
      <c r="X150" s="220">
        <f t="shared" ref="X150:X157" si="136">SUM(V150:W150)</f>
        <v>0</v>
      </c>
      <c r="Y150" s="220">
        <v>0</v>
      </c>
      <c r="Z150" s="220">
        <f t="shared" si="135"/>
        <v>0</v>
      </c>
      <c r="AB150" s="220">
        <f t="shared" si="128"/>
        <v>0</v>
      </c>
      <c r="AD150" s="217" t="s">
        <v>260</v>
      </c>
    </row>
    <row r="151" spans="2:33">
      <c r="B151" s="217" t="s">
        <v>640</v>
      </c>
      <c r="D151" s="217" t="s">
        <v>32</v>
      </c>
      <c r="E151" s="217" t="s">
        <v>609</v>
      </c>
      <c r="F151" s="218">
        <v>3142455697</v>
      </c>
      <c r="G151" s="218">
        <v>-2661446482.6181598</v>
      </c>
      <c r="H151" s="218">
        <f t="shared" si="129"/>
        <v>481009214.38184023</v>
      </c>
      <c r="J151" s="218">
        <f t="shared" si="130"/>
        <v>481009214.38184023</v>
      </c>
      <c r="K151" s="218">
        <v>0</v>
      </c>
      <c r="L151" s="218">
        <f t="shared" si="126"/>
        <v>481009214.38184023</v>
      </c>
      <c r="M151" s="217" t="s">
        <v>290</v>
      </c>
      <c r="O151" s="233">
        <f t="shared" si="131"/>
        <v>3142455697</v>
      </c>
      <c r="P151" s="233">
        <f t="shared" si="132"/>
        <v>481009214.38184023</v>
      </c>
      <c r="Q151" s="233">
        <f t="shared" si="133"/>
        <v>481009214.38184023</v>
      </c>
      <c r="R151" s="233">
        <f t="shared" si="134"/>
        <v>481009214.38184023</v>
      </c>
      <c r="S151" s="233"/>
      <c r="T151" s="220" t="s">
        <v>68</v>
      </c>
      <c r="U151" s="220" t="str">
        <f>E151</f>
        <v>Dummy - A</v>
      </c>
      <c r="V151" s="218">
        <v>0</v>
      </c>
      <c r="X151" s="220">
        <f t="shared" si="136"/>
        <v>0</v>
      </c>
      <c r="Z151" s="220">
        <f t="shared" si="135"/>
        <v>0</v>
      </c>
      <c r="AB151" s="220">
        <f t="shared" si="128"/>
        <v>0</v>
      </c>
      <c r="AD151" s="217" t="s">
        <v>260</v>
      </c>
    </row>
    <row r="152" spans="2:33">
      <c r="B152" s="217" t="s">
        <v>640</v>
      </c>
      <c r="D152" s="217" t="s">
        <v>32</v>
      </c>
      <c r="E152" s="217" t="s">
        <v>461</v>
      </c>
      <c r="F152" s="218">
        <v>0</v>
      </c>
      <c r="G152" s="218">
        <v>0</v>
      </c>
      <c r="H152" s="218">
        <f t="shared" si="129"/>
        <v>0</v>
      </c>
      <c r="J152" s="218">
        <f t="shared" si="130"/>
        <v>0</v>
      </c>
      <c r="K152" s="218">
        <v>0</v>
      </c>
      <c r="L152" s="218">
        <f t="shared" si="126"/>
        <v>0</v>
      </c>
      <c r="M152" s="217" t="s">
        <v>290</v>
      </c>
      <c r="O152" s="233">
        <f t="shared" si="131"/>
        <v>0</v>
      </c>
      <c r="P152" s="233">
        <f t="shared" si="132"/>
        <v>0</v>
      </c>
      <c r="Q152" s="233">
        <f t="shared" si="133"/>
        <v>0</v>
      </c>
      <c r="R152" s="233">
        <f t="shared" si="134"/>
        <v>0</v>
      </c>
      <c r="S152" s="233"/>
      <c r="T152" s="220" t="s">
        <v>68</v>
      </c>
      <c r="U152" s="220" t="str">
        <f t="shared" ref="U152:U157" si="137">E152</f>
        <v>Dummy G</v>
      </c>
      <c r="V152" s="218">
        <v>0</v>
      </c>
      <c r="W152" s="233"/>
      <c r="X152" s="220">
        <f t="shared" si="136"/>
        <v>0</v>
      </c>
      <c r="Z152" s="220">
        <f t="shared" si="135"/>
        <v>0</v>
      </c>
      <c r="AB152" s="220">
        <f t="shared" si="128"/>
        <v>0</v>
      </c>
      <c r="AC152" s="233"/>
      <c r="AD152" s="217" t="s">
        <v>260</v>
      </c>
      <c r="AE152" s="233"/>
    </row>
    <row r="153" spans="2:33">
      <c r="B153" s="217" t="s">
        <v>640</v>
      </c>
      <c r="D153" s="217" t="s">
        <v>32</v>
      </c>
      <c r="E153" s="217" t="s">
        <v>800</v>
      </c>
      <c r="F153" s="218">
        <v>236508466</v>
      </c>
      <c r="G153" s="218">
        <v>0</v>
      </c>
      <c r="H153" s="218">
        <f t="shared" si="129"/>
        <v>236508466</v>
      </c>
      <c r="J153" s="218">
        <f t="shared" si="130"/>
        <v>236508466</v>
      </c>
      <c r="K153" s="218">
        <v>0</v>
      </c>
      <c r="L153" s="218">
        <f t="shared" si="126"/>
        <v>236508466</v>
      </c>
      <c r="M153" s="217" t="s">
        <v>290</v>
      </c>
      <c r="O153" s="233">
        <f t="shared" si="131"/>
        <v>0</v>
      </c>
      <c r="P153" s="233">
        <f t="shared" si="132"/>
        <v>0</v>
      </c>
      <c r="Q153" s="233">
        <f t="shared" si="133"/>
        <v>0</v>
      </c>
      <c r="R153" s="233">
        <f t="shared" si="134"/>
        <v>0</v>
      </c>
      <c r="S153" s="233"/>
      <c r="T153" s="220" t="s">
        <v>68</v>
      </c>
      <c r="U153" s="220" t="str">
        <f t="shared" si="137"/>
        <v>Dummy - H</v>
      </c>
      <c r="V153" s="218">
        <v>-236508466</v>
      </c>
      <c r="W153" s="233"/>
      <c r="X153" s="220">
        <f t="shared" si="136"/>
        <v>-236508466</v>
      </c>
      <c r="Z153" s="220">
        <f t="shared" si="135"/>
        <v>-236508466</v>
      </c>
      <c r="AB153" s="220">
        <f t="shared" si="128"/>
        <v>-236508466</v>
      </c>
      <c r="AC153" s="233"/>
      <c r="AD153" s="217" t="s">
        <v>260</v>
      </c>
      <c r="AE153" s="233"/>
    </row>
    <row r="154" spans="2:33">
      <c r="B154" s="217" t="s">
        <v>640</v>
      </c>
      <c r="D154" s="217" t="s">
        <v>32</v>
      </c>
      <c r="E154" s="217" t="s">
        <v>630</v>
      </c>
      <c r="F154" s="218">
        <v>1376419357</v>
      </c>
      <c r="G154" s="218">
        <v>2840100894</v>
      </c>
      <c r="H154" s="218">
        <f t="shared" si="129"/>
        <v>4216520251</v>
      </c>
      <c r="J154" s="218">
        <f t="shared" si="130"/>
        <v>4216520251</v>
      </c>
      <c r="K154" s="218">
        <v>-2697615357</v>
      </c>
      <c r="L154" s="218">
        <f t="shared" si="126"/>
        <v>1518904894</v>
      </c>
      <c r="M154" s="217" t="s">
        <v>290</v>
      </c>
      <c r="O154" s="233">
        <f t="shared" si="131"/>
        <v>0</v>
      </c>
      <c r="P154" s="233">
        <f t="shared" si="132"/>
        <v>2840100894</v>
      </c>
      <c r="Q154" s="233">
        <f t="shared" si="133"/>
        <v>2840100894</v>
      </c>
      <c r="R154" s="233">
        <f t="shared" si="134"/>
        <v>0</v>
      </c>
      <c r="S154" s="233"/>
      <c r="T154" s="220" t="s">
        <v>68</v>
      </c>
      <c r="U154" s="220" t="str">
        <f t="shared" si="137"/>
        <v>CVDummy - A</v>
      </c>
      <c r="V154" s="218">
        <v>-1376419357</v>
      </c>
      <c r="W154" s="233"/>
      <c r="X154" s="220">
        <f t="shared" si="136"/>
        <v>-1376419357</v>
      </c>
      <c r="Z154" s="220">
        <f t="shared" si="135"/>
        <v>-1376419357</v>
      </c>
      <c r="AA154" s="220">
        <f>-K154-G154</f>
        <v>-142485537</v>
      </c>
      <c r="AB154" s="220">
        <f t="shared" si="128"/>
        <v>-1518904894</v>
      </c>
      <c r="AC154" s="233"/>
      <c r="AD154" s="217" t="s">
        <v>260</v>
      </c>
      <c r="AE154" s="233"/>
    </row>
    <row r="155" spans="2:33">
      <c r="B155" s="217" t="s">
        <v>640</v>
      </c>
      <c r="D155" s="217" t="s">
        <v>32</v>
      </c>
      <c r="E155" s="217" t="s">
        <v>811</v>
      </c>
      <c r="F155" s="218">
        <v>2657130883</v>
      </c>
      <c r="G155" s="218">
        <v>0</v>
      </c>
      <c r="H155" s="218">
        <f t="shared" si="129"/>
        <v>2657130883</v>
      </c>
      <c r="J155" s="218">
        <f t="shared" si="130"/>
        <v>2657130883</v>
      </c>
      <c r="K155" s="218">
        <v>0</v>
      </c>
      <c r="L155" s="218">
        <f t="shared" si="126"/>
        <v>2657130883</v>
      </c>
      <c r="M155" s="217" t="s">
        <v>290</v>
      </c>
      <c r="O155" s="233">
        <f t="shared" si="131"/>
        <v>-0.1313939094543457</v>
      </c>
      <c r="P155" s="233">
        <f t="shared" si="132"/>
        <v>-0.1313939094543457</v>
      </c>
      <c r="Q155" s="233">
        <f t="shared" si="133"/>
        <v>-0.1313939094543457</v>
      </c>
      <c r="R155" s="233">
        <f t="shared" si="134"/>
        <v>-0.1313939094543457</v>
      </c>
      <c r="S155" s="233"/>
      <c r="T155" s="220" t="s">
        <v>68</v>
      </c>
      <c r="U155" s="220" t="str">
        <f t="shared" si="137"/>
        <v>Dummy L</v>
      </c>
      <c r="V155" s="218">
        <v>-2657130883.1313939</v>
      </c>
      <c r="W155" s="233"/>
      <c r="X155" s="220">
        <f t="shared" si="136"/>
        <v>-2657130883.1313939</v>
      </c>
      <c r="Z155" s="220">
        <f t="shared" si="135"/>
        <v>-2657130883.1313939</v>
      </c>
      <c r="AB155" s="220">
        <f t="shared" si="128"/>
        <v>-2657130883.1313939</v>
      </c>
      <c r="AC155" s="233"/>
      <c r="AD155" s="217" t="s">
        <v>260</v>
      </c>
      <c r="AE155" s="233"/>
    </row>
    <row r="156" spans="2:33">
      <c r="B156" s="217" t="s">
        <v>640</v>
      </c>
      <c r="D156" s="217" t="s">
        <v>32</v>
      </c>
      <c r="E156" s="217" t="s">
        <v>291</v>
      </c>
      <c r="F156" s="218">
        <v>16384787503.000002</v>
      </c>
      <c r="G156" s="218">
        <v>0</v>
      </c>
      <c r="H156" s="218">
        <f t="shared" si="129"/>
        <v>16384787503.000002</v>
      </c>
      <c r="J156" s="218">
        <f t="shared" si="130"/>
        <v>16384787503.000002</v>
      </c>
      <c r="K156" s="218">
        <v>0</v>
      </c>
      <c r="L156" s="218">
        <f t="shared" si="126"/>
        <v>16384787503.000002</v>
      </c>
      <c r="M156" s="217" t="s">
        <v>290</v>
      </c>
      <c r="O156" s="233">
        <f t="shared" si="131"/>
        <v>0</v>
      </c>
      <c r="P156" s="233">
        <f t="shared" si="132"/>
        <v>0</v>
      </c>
      <c r="Q156" s="233">
        <f t="shared" si="133"/>
        <v>0</v>
      </c>
      <c r="R156" s="233">
        <f t="shared" si="134"/>
        <v>0</v>
      </c>
      <c r="S156" s="233"/>
      <c r="T156" s="220" t="s">
        <v>68</v>
      </c>
      <c r="U156" s="220" t="s">
        <v>292</v>
      </c>
      <c r="V156" s="218">
        <f>-F156</f>
        <v>-16384787503.000002</v>
      </c>
      <c r="X156" s="220">
        <f t="shared" si="136"/>
        <v>-16384787503.000002</v>
      </c>
      <c r="Z156" s="220">
        <f t="shared" si="135"/>
        <v>-16384787503.000002</v>
      </c>
      <c r="AB156" s="220">
        <f t="shared" si="128"/>
        <v>-16384787503.000002</v>
      </c>
      <c r="AD156" s="217" t="s">
        <v>260</v>
      </c>
    </row>
    <row r="157" spans="2:33">
      <c r="B157" s="217" t="s">
        <v>640</v>
      </c>
      <c r="D157" s="217" t="s">
        <v>32</v>
      </c>
      <c r="E157" s="217" t="s">
        <v>816</v>
      </c>
      <c r="F157" s="218">
        <v>0</v>
      </c>
      <c r="G157" s="218">
        <v>2285109307.8280001</v>
      </c>
      <c r="H157" s="218">
        <f t="shared" si="129"/>
        <v>2285109307.8280001</v>
      </c>
      <c r="J157" s="218">
        <f t="shared" si="130"/>
        <v>2285109307.8280001</v>
      </c>
      <c r="K157" s="218">
        <v>2555709553</v>
      </c>
      <c r="L157" s="218">
        <f t="shared" si="126"/>
        <v>4840818860.8280001</v>
      </c>
      <c r="M157" s="217" t="s">
        <v>290</v>
      </c>
      <c r="O157" s="233">
        <f t="shared" si="131"/>
        <v>0</v>
      </c>
      <c r="P157" s="233">
        <f t="shared" si="132"/>
        <v>0</v>
      </c>
      <c r="Q157" s="233">
        <f t="shared" si="133"/>
        <v>0</v>
      </c>
      <c r="R157" s="233">
        <f t="shared" si="134"/>
        <v>0</v>
      </c>
      <c r="S157" s="233"/>
      <c r="T157" s="220" t="s">
        <v>68</v>
      </c>
      <c r="U157" s="220" t="str">
        <f t="shared" si="137"/>
        <v>Dummy - N</v>
      </c>
      <c r="V157" s="218">
        <f>-F157</f>
        <v>0</v>
      </c>
      <c r="W157" s="218">
        <f>-G157</f>
        <v>-2285109307.8280001</v>
      </c>
      <c r="X157" s="220">
        <f t="shared" si="136"/>
        <v>-2285109307.8280001</v>
      </c>
      <c r="Z157" s="220">
        <f t="shared" si="135"/>
        <v>-2285109307.8280001</v>
      </c>
      <c r="AA157" s="220">
        <f>-K157</f>
        <v>-2555709553</v>
      </c>
      <c r="AB157" s="220">
        <f t="shared" si="128"/>
        <v>-4840818860.8280001</v>
      </c>
      <c r="AD157" s="217"/>
    </row>
    <row r="158" spans="2:33">
      <c r="F158" s="220"/>
      <c r="G158" s="220"/>
      <c r="H158" s="220"/>
      <c r="I158" s="220"/>
      <c r="J158" s="218">
        <f t="shared" si="130"/>
        <v>0</v>
      </c>
      <c r="O158" s="233"/>
      <c r="P158" s="233"/>
      <c r="Q158" s="233"/>
      <c r="R158" s="233"/>
      <c r="S158" s="233"/>
      <c r="T158" s="233"/>
      <c r="V158" s="233"/>
      <c r="W158" s="233"/>
      <c r="X158" s="233"/>
      <c r="Y158" s="233"/>
      <c r="Z158" s="233"/>
      <c r="AA158" s="233"/>
      <c r="AB158" s="233"/>
      <c r="AC158" s="233"/>
      <c r="AD158" s="233"/>
      <c r="AE158" s="233"/>
      <c r="AF158" s="233"/>
      <c r="AG158" s="233"/>
    </row>
    <row r="159" spans="2:33">
      <c r="E159" s="217" t="s">
        <v>278</v>
      </c>
      <c r="F159" s="220">
        <f>SUM(F147:F157)</f>
        <v>23797301906</v>
      </c>
      <c r="G159" s="220"/>
      <c r="H159" s="220">
        <f>SUM(H147:H157)</f>
        <v>37110122921.573471</v>
      </c>
      <c r="I159" s="220"/>
      <c r="J159" s="218">
        <f t="shared" si="130"/>
        <v>37110122921.573471</v>
      </c>
      <c r="L159" s="218">
        <f>SUM(L147:L157)</f>
        <v>36968217117.573471</v>
      </c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>
        <f>SUBTOTAL(9,Z7:Z72)</f>
        <v>-1359880687593.7039</v>
      </c>
      <c r="AA159" s="233"/>
      <c r="AB159" s="233"/>
      <c r="AC159" s="233"/>
      <c r="AD159" s="233"/>
      <c r="AE159" s="233"/>
      <c r="AF159" s="233"/>
      <c r="AG159" s="233"/>
    </row>
    <row r="160" spans="2:33">
      <c r="D160" s="236" t="s">
        <v>285</v>
      </c>
      <c r="E160" s="217" t="s">
        <v>293</v>
      </c>
      <c r="F160" s="220">
        <v>7412514403</v>
      </c>
      <c r="G160" s="220"/>
      <c r="H160" s="220"/>
      <c r="I160" s="220"/>
      <c r="J160" s="220"/>
      <c r="K160" s="220"/>
      <c r="L160" s="218">
        <v>37527975876</v>
      </c>
      <c r="M160" s="218">
        <f>F159+F160</f>
        <v>31209816309</v>
      </c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</row>
    <row r="161" spans="2:41">
      <c r="D161" s="236" t="s">
        <v>285</v>
      </c>
      <c r="E161" s="217" t="s">
        <v>294</v>
      </c>
      <c r="F161" s="220">
        <v>16384787503</v>
      </c>
      <c r="G161" s="220"/>
      <c r="H161" s="220"/>
      <c r="I161" s="220"/>
      <c r="J161" s="220"/>
      <c r="K161" s="220"/>
      <c r="L161" s="220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  <c r="AE161" s="233"/>
      <c r="AF161" s="233"/>
      <c r="AG161" s="233"/>
    </row>
    <row r="162" spans="2:41">
      <c r="E162" s="217" t="s">
        <v>109</v>
      </c>
      <c r="F162" s="220">
        <f>F159-SUM(F160:F161)</f>
        <v>0</v>
      </c>
      <c r="G162" s="220"/>
      <c r="H162" s="220"/>
      <c r="I162" s="220"/>
      <c r="J162" s="220"/>
      <c r="K162" s="220"/>
      <c r="L162" s="220">
        <f>L159-L160</f>
        <v>-559758758.42652893</v>
      </c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</row>
    <row r="163" spans="2:41">
      <c r="B163" s="238"/>
      <c r="C163" s="238"/>
      <c r="D163" s="238"/>
      <c r="E163" s="238"/>
      <c r="F163" s="239"/>
      <c r="G163" s="239"/>
      <c r="H163" s="239"/>
      <c r="I163" s="239"/>
      <c r="J163" s="239"/>
      <c r="K163" s="239"/>
      <c r="L163" s="239"/>
      <c r="M163" s="240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  <c r="AA163" s="233"/>
      <c r="AB163" s="233"/>
      <c r="AC163" s="233"/>
      <c r="AD163" s="233"/>
      <c r="AE163" s="233"/>
      <c r="AF163" s="233"/>
      <c r="AG163" s="233"/>
    </row>
    <row r="164" spans="2:41">
      <c r="F164" s="220"/>
      <c r="G164" s="220"/>
      <c r="H164" s="220"/>
      <c r="I164" s="220"/>
      <c r="J164" s="220"/>
      <c r="K164" s="220"/>
      <c r="L164" s="220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  <c r="AA164" s="233"/>
      <c r="AB164" s="233"/>
      <c r="AC164" s="233"/>
      <c r="AD164" s="233"/>
      <c r="AE164" s="233"/>
      <c r="AF164" s="233"/>
      <c r="AG164" s="233"/>
    </row>
    <row r="165" spans="2:41">
      <c r="B165" s="217" t="s">
        <v>688</v>
      </c>
      <c r="D165" s="217" t="s">
        <v>32</v>
      </c>
      <c r="E165" s="217" t="s">
        <v>640</v>
      </c>
      <c r="F165" s="241">
        <v>15057294044.625</v>
      </c>
      <c r="G165" s="218">
        <v>-244646988.07499999</v>
      </c>
      <c r="H165" s="218">
        <v>14812647056.549999</v>
      </c>
      <c r="I165" s="218">
        <v>0</v>
      </c>
      <c r="J165" s="218">
        <v>14812647056.549999</v>
      </c>
      <c r="K165" s="218">
        <v>0</v>
      </c>
      <c r="L165" s="218">
        <v>14812647056.549999</v>
      </c>
      <c r="M165" s="217" t="s">
        <v>290</v>
      </c>
      <c r="O165" s="233">
        <f t="shared" ref="O165:O171" si="138">F165+V165</f>
        <v>5820127672.625</v>
      </c>
      <c r="P165" s="233">
        <f t="shared" ref="P165:P171" si="139">H165+X165</f>
        <v>5575480684.5499992</v>
      </c>
      <c r="Q165" s="233">
        <f t="shared" ref="Q165:Q171" si="140">J165+Z165</f>
        <v>5575480684.5499992</v>
      </c>
      <c r="R165" s="233">
        <f t="shared" ref="R165:R171" si="141">L165+AB165</f>
        <v>4675480684.5499992</v>
      </c>
      <c r="S165" s="233"/>
      <c r="T165" s="220" t="s">
        <v>68</v>
      </c>
      <c r="U165" s="220" t="str">
        <f>E165</f>
        <v>Dummy - C</v>
      </c>
      <c r="V165" s="218">
        <v>-9237166372</v>
      </c>
      <c r="W165" s="218"/>
      <c r="X165" s="220">
        <f t="shared" ref="X165:X171" si="142">SUM(V165:W165)</f>
        <v>-9237166372</v>
      </c>
      <c r="Y165" s="233"/>
      <c r="Z165" s="220">
        <f t="shared" ref="Z165:Z171" si="143">SUM(X165:Y165)</f>
        <v>-9237166372</v>
      </c>
      <c r="AA165" s="220">
        <v>-900000000</v>
      </c>
      <c r="AB165" s="220">
        <f t="shared" ref="AB165:AB171" si="144">SUM(Z165:AA165)</f>
        <v>-10137166372</v>
      </c>
      <c r="AC165" s="233"/>
      <c r="AD165" s="233"/>
      <c r="AE165" s="233"/>
      <c r="AF165" s="233"/>
      <c r="AG165" s="233"/>
      <c r="AH165" s="234">
        <f>V165*1.575</f>
        <v>-14548537035.9</v>
      </c>
      <c r="AI165" s="234">
        <f t="shared" ref="AI165:AN173" si="145">W165*1.575</f>
        <v>0</v>
      </c>
      <c r="AJ165" s="234">
        <f t="shared" si="145"/>
        <v>-14548537035.9</v>
      </c>
      <c r="AK165" s="234">
        <f t="shared" si="145"/>
        <v>0</v>
      </c>
      <c r="AL165" s="234">
        <f t="shared" si="145"/>
        <v>-14548537035.9</v>
      </c>
      <c r="AM165" s="234">
        <f t="shared" si="145"/>
        <v>-1417500000</v>
      </c>
      <c r="AN165" s="234">
        <f t="shared" si="145"/>
        <v>-15966037035.9</v>
      </c>
      <c r="AO165" s="234"/>
    </row>
    <row r="166" spans="2:41">
      <c r="B166" s="217" t="s">
        <v>688</v>
      </c>
      <c r="D166" s="217" t="s">
        <v>32</v>
      </c>
      <c r="E166" s="217" t="s">
        <v>465</v>
      </c>
      <c r="F166" s="220">
        <v>2186048732.1749997</v>
      </c>
      <c r="G166" s="218">
        <v>0</v>
      </c>
      <c r="H166" s="218">
        <v>2186048732.1749997</v>
      </c>
      <c r="I166" s="218">
        <v>0</v>
      </c>
      <c r="J166" s="218">
        <v>2186048732.1749997</v>
      </c>
      <c r="K166" s="218">
        <v>2934864257.8499999</v>
      </c>
      <c r="L166" s="218">
        <v>5120912990.0249996</v>
      </c>
      <c r="M166" s="217" t="s">
        <v>290</v>
      </c>
      <c r="O166" s="233">
        <f t="shared" si="138"/>
        <v>-1065324595.8250003</v>
      </c>
      <c r="P166" s="233">
        <f t="shared" si="139"/>
        <v>-1065324595.8250003</v>
      </c>
      <c r="Q166" s="233">
        <f t="shared" si="140"/>
        <v>-1065324595.8250003</v>
      </c>
      <c r="R166" s="233">
        <f t="shared" si="141"/>
        <v>1869539662.0249996</v>
      </c>
      <c r="S166" s="233"/>
      <c r="T166" s="220" t="s">
        <v>68</v>
      </c>
      <c r="U166" s="220" t="str">
        <f t="shared" ref="U166:U172" si="146">E166</f>
        <v>Dummy F</v>
      </c>
      <c r="V166" s="218">
        <v>-3251373328</v>
      </c>
      <c r="W166" s="233"/>
      <c r="X166" s="220">
        <f t="shared" si="142"/>
        <v>-3251373328</v>
      </c>
      <c r="Y166" s="233">
        <v>0</v>
      </c>
      <c r="Z166" s="220">
        <f t="shared" si="143"/>
        <v>-3251373328</v>
      </c>
      <c r="AB166" s="220">
        <f t="shared" si="144"/>
        <v>-3251373328</v>
      </c>
      <c r="AC166" s="233"/>
      <c r="AD166" s="233"/>
      <c r="AE166" s="233"/>
      <c r="AF166" s="233"/>
      <c r="AG166" s="233"/>
      <c r="AH166" s="234">
        <f t="shared" ref="AH166:AH173" si="147">V166*1.575</f>
        <v>-5120912991.5999994</v>
      </c>
      <c r="AI166" s="234">
        <f t="shared" si="145"/>
        <v>0</v>
      </c>
      <c r="AJ166" s="234">
        <f t="shared" si="145"/>
        <v>-5120912991.5999994</v>
      </c>
      <c r="AK166" s="234">
        <f t="shared" si="145"/>
        <v>0</v>
      </c>
      <c r="AL166" s="234">
        <f t="shared" si="145"/>
        <v>-5120912991.5999994</v>
      </c>
      <c r="AM166" s="234">
        <f t="shared" si="145"/>
        <v>0</v>
      </c>
      <c r="AN166" s="234">
        <f t="shared" si="145"/>
        <v>-5120912991.5999994</v>
      </c>
    </row>
    <row r="167" spans="2:41">
      <c r="B167" s="217" t="s">
        <v>688</v>
      </c>
      <c r="D167" s="217" t="s">
        <v>32</v>
      </c>
      <c r="E167" s="217" t="s">
        <v>811</v>
      </c>
      <c r="F167" s="220">
        <v>12995351370.225</v>
      </c>
      <c r="G167" s="218">
        <v>0</v>
      </c>
      <c r="H167" s="218">
        <v>12995351370.225</v>
      </c>
      <c r="I167" s="218">
        <v>0</v>
      </c>
      <c r="J167" s="218">
        <v>12995351370.225</v>
      </c>
      <c r="K167" s="218">
        <v>0</v>
      </c>
      <c r="L167" s="218">
        <v>12995351370.225</v>
      </c>
      <c r="M167" s="217" t="s">
        <v>290</v>
      </c>
      <c r="O167" s="233">
        <f t="shared" si="138"/>
        <v>0</v>
      </c>
      <c r="P167" s="233">
        <f t="shared" si="139"/>
        <v>0</v>
      </c>
      <c r="Q167" s="233">
        <f t="shared" si="140"/>
        <v>0</v>
      </c>
      <c r="R167" s="233">
        <f t="shared" si="141"/>
        <v>0</v>
      </c>
      <c r="S167" s="233"/>
      <c r="T167" s="220" t="s">
        <v>68</v>
      </c>
      <c r="U167" s="220" t="str">
        <f t="shared" si="146"/>
        <v>Dummy L</v>
      </c>
      <c r="V167" s="218">
        <f>-F167</f>
        <v>-12995351370.225</v>
      </c>
      <c r="W167" s="233"/>
      <c r="X167" s="220">
        <f t="shared" si="142"/>
        <v>-12995351370.225</v>
      </c>
      <c r="Y167" s="233"/>
      <c r="Z167" s="220">
        <f t="shared" si="143"/>
        <v>-12995351370.225</v>
      </c>
      <c r="AB167" s="220">
        <f t="shared" si="144"/>
        <v>-12995351370.225</v>
      </c>
      <c r="AC167" s="233"/>
      <c r="AD167" s="233"/>
      <c r="AE167" s="233"/>
      <c r="AF167" s="233"/>
      <c r="AG167" s="233"/>
      <c r="AH167" s="234">
        <f t="shared" si="147"/>
        <v>-20467678408.104374</v>
      </c>
      <c r="AI167" s="234">
        <f t="shared" si="145"/>
        <v>0</v>
      </c>
      <c r="AJ167" s="234">
        <f t="shared" si="145"/>
        <v>-20467678408.104374</v>
      </c>
      <c r="AK167" s="234">
        <f t="shared" si="145"/>
        <v>0</v>
      </c>
      <c r="AL167" s="234">
        <f t="shared" si="145"/>
        <v>-20467678408.104374</v>
      </c>
      <c r="AM167" s="234">
        <f t="shared" si="145"/>
        <v>0</v>
      </c>
      <c r="AN167" s="234">
        <f t="shared" si="145"/>
        <v>-20467678408.104374</v>
      </c>
    </row>
    <row r="168" spans="2:41">
      <c r="B168" s="217" t="s">
        <v>688</v>
      </c>
      <c r="D168" s="217" t="s">
        <v>32</v>
      </c>
      <c r="E168" s="217" t="s">
        <v>609</v>
      </c>
      <c r="F168" s="220">
        <v>30256823164.049999</v>
      </c>
      <c r="G168" s="218">
        <v>0</v>
      </c>
      <c r="H168" s="218">
        <v>30256823164.049999</v>
      </c>
      <c r="I168" s="218">
        <v>0</v>
      </c>
      <c r="J168" s="218">
        <v>30256823164.049999</v>
      </c>
      <c r="K168" s="218">
        <v>0</v>
      </c>
      <c r="L168" s="218">
        <v>30256823164.049999</v>
      </c>
      <c r="M168" s="217" t="s">
        <v>290</v>
      </c>
      <c r="O168" s="233">
        <f t="shared" si="138"/>
        <v>11046141790.049999</v>
      </c>
      <c r="P168" s="233">
        <f t="shared" si="139"/>
        <v>11046141790.049999</v>
      </c>
      <c r="Q168" s="233">
        <f t="shared" si="140"/>
        <v>11046141790.049999</v>
      </c>
      <c r="R168" s="233">
        <f t="shared" si="141"/>
        <v>11046141790.049999</v>
      </c>
      <c r="S168" s="233"/>
      <c r="T168" s="220" t="s">
        <v>68</v>
      </c>
      <c r="U168" s="220" t="str">
        <f t="shared" si="146"/>
        <v>Dummy - A</v>
      </c>
      <c r="V168" s="218">
        <v>-19210681374</v>
      </c>
      <c r="W168" s="233"/>
      <c r="X168" s="220">
        <f t="shared" si="142"/>
        <v>-19210681374</v>
      </c>
      <c r="Y168" s="233"/>
      <c r="Z168" s="220">
        <f t="shared" si="143"/>
        <v>-19210681374</v>
      </c>
      <c r="AB168" s="220">
        <f t="shared" si="144"/>
        <v>-19210681374</v>
      </c>
      <c r="AC168" s="233"/>
      <c r="AD168" s="233"/>
      <c r="AE168" s="233"/>
      <c r="AF168" s="233"/>
      <c r="AG168" s="233"/>
      <c r="AH168" s="234">
        <f t="shared" si="147"/>
        <v>-30256823164.049999</v>
      </c>
      <c r="AI168" s="234">
        <f t="shared" si="145"/>
        <v>0</v>
      </c>
      <c r="AJ168" s="234">
        <f t="shared" si="145"/>
        <v>-30256823164.049999</v>
      </c>
      <c r="AK168" s="234">
        <f t="shared" si="145"/>
        <v>0</v>
      </c>
      <c r="AL168" s="234">
        <f t="shared" si="145"/>
        <v>-30256823164.049999</v>
      </c>
      <c r="AM168" s="234">
        <f t="shared" si="145"/>
        <v>0</v>
      </c>
      <c r="AN168" s="234">
        <f t="shared" si="145"/>
        <v>-30256823164.049999</v>
      </c>
    </row>
    <row r="169" spans="2:41">
      <c r="B169" s="217" t="s">
        <v>688</v>
      </c>
      <c r="D169" s="217" t="s">
        <v>32</v>
      </c>
      <c r="E169" s="217" t="s">
        <v>800</v>
      </c>
      <c r="F169" s="220">
        <v>3186401094.4499998</v>
      </c>
      <c r="G169" s="218">
        <v>0</v>
      </c>
      <c r="H169" s="218">
        <v>3186401094.4499998</v>
      </c>
      <c r="I169" s="218">
        <v>0</v>
      </c>
      <c r="J169" s="218">
        <v>3186401094.4499998</v>
      </c>
      <c r="K169" s="218">
        <v>0</v>
      </c>
      <c r="L169" s="218">
        <v>3186401094.4499998</v>
      </c>
      <c r="M169" s="217" t="s">
        <v>290</v>
      </c>
      <c r="O169" s="233">
        <f t="shared" si="138"/>
        <v>0</v>
      </c>
      <c r="P169" s="233">
        <f t="shared" si="139"/>
        <v>0</v>
      </c>
      <c r="Q169" s="233">
        <f t="shared" si="140"/>
        <v>0</v>
      </c>
      <c r="R169" s="233">
        <f t="shared" si="141"/>
        <v>0</v>
      </c>
      <c r="S169" s="233"/>
      <c r="T169" s="220" t="s">
        <v>68</v>
      </c>
      <c r="U169" s="220" t="str">
        <f t="shared" si="146"/>
        <v>Dummy - H</v>
      </c>
      <c r="V169" s="218">
        <f>-F169</f>
        <v>-3186401094.4499998</v>
      </c>
      <c r="W169" s="233"/>
      <c r="X169" s="220">
        <f t="shared" si="142"/>
        <v>-3186401094.4499998</v>
      </c>
      <c r="Y169" s="233"/>
      <c r="Z169" s="220">
        <f t="shared" si="143"/>
        <v>-3186401094.4499998</v>
      </c>
      <c r="AB169" s="220">
        <f t="shared" si="144"/>
        <v>-3186401094.4499998</v>
      </c>
      <c r="AC169" s="233"/>
      <c r="AD169" s="233"/>
      <c r="AE169" s="233"/>
      <c r="AF169" s="233"/>
      <c r="AG169" s="233"/>
      <c r="AH169" s="234">
        <f t="shared" si="147"/>
        <v>-5018581723.75875</v>
      </c>
      <c r="AI169" s="234">
        <f t="shared" si="145"/>
        <v>0</v>
      </c>
      <c r="AJ169" s="234">
        <f t="shared" si="145"/>
        <v>-5018581723.75875</v>
      </c>
      <c r="AK169" s="234">
        <f t="shared" si="145"/>
        <v>0</v>
      </c>
      <c r="AL169" s="234">
        <f t="shared" si="145"/>
        <v>-5018581723.75875</v>
      </c>
      <c r="AM169" s="234">
        <f t="shared" si="145"/>
        <v>0</v>
      </c>
      <c r="AN169" s="234">
        <f t="shared" si="145"/>
        <v>-5018581723.75875</v>
      </c>
    </row>
    <row r="170" spans="2:41">
      <c r="B170" s="217" t="s">
        <v>688</v>
      </c>
      <c r="D170" s="217" t="s">
        <v>32</v>
      </c>
      <c r="E170" s="217" t="s">
        <v>630</v>
      </c>
      <c r="F170" s="220">
        <v>311963081.84999996</v>
      </c>
      <c r="G170" s="218">
        <v>0</v>
      </c>
      <c r="H170" s="218">
        <v>311963081.84999996</v>
      </c>
      <c r="I170" s="218">
        <v>0</v>
      </c>
      <c r="J170" s="218">
        <v>311963081.84999996</v>
      </c>
      <c r="K170" s="218">
        <v>0</v>
      </c>
      <c r="L170" s="218">
        <v>311963081.84999996</v>
      </c>
      <c r="M170" s="217" t="s">
        <v>290</v>
      </c>
      <c r="O170" s="233">
        <f t="shared" si="138"/>
        <v>0</v>
      </c>
      <c r="P170" s="233">
        <f t="shared" si="139"/>
        <v>0</v>
      </c>
      <c r="Q170" s="233">
        <f t="shared" si="140"/>
        <v>0</v>
      </c>
      <c r="R170" s="233">
        <f t="shared" si="141"/>
        <v>0</v>
      </c>
      <c r="S170" s="233"/>
      <c r="T170" s="220" t="s">
        <v>68</v>
      </c>
      <c r="U170" s="220" t="str">
        <f t="shared" si="146"/>
        <v>CVDummy - A</v>
      </c>
      <c r="V170" s="218">
        <f>-F170</f>
        <v>-311963081.84999996</v>
      </c>
      <c r="W170" s="233"/>
      <c r="X170" s="220">
        <f t="shared" si="142"/>
        <v>-311963081.84999996</v>
      </c>
      <c r="Y170" s="233"/>
      <c r="Z170" s="220">
        <f t="shared" si="143"/>
        <v>-311963081.84999996</v>
      </c>
      <c r="AB170" s="220">
        <f t="shared" si="144"/>
        <v>-311963081.84999996</v>
      </c>
      <c r="AC170" s="233"/>
      <c r="AD170" s="233"/>
      <c r="AE170" s="233"/>
      <c r="AF170" s="233"/>
      <c r="AG170" s="233"/>
      <c r="AH170" s="234">
        <f t="shared" si="147"/>
        <v>-491341853.91374993</v>
      </c>
      <c r="AI170" s="234">
        <f t="shared" si="145"/>
        <v>0</v>
      </c>
      <c r="AJ170" s="234">
        <f t="shared" si="145"/>
        <v>-491341853.91374993</v>
      </c>
      <c r="AK170" s="234">
        <f t="shared" si="145"/>
        <v>0</v>
      </c>
      <c r="AL170" s="234">
        <f t="shared" si="145"/>
        <v>-491341853.91374993</v>
      </c>
      <c r="AM170" s="234">
        <f t="shared" si="145"/>
        <v>0</v>
      </c>
      <c r="AN170" s="234">
        <f t="shared" si="145"/>
        <v>-491341853.91374993</v>
      </c>
    </row>
    <row r="171" spans="2:41">
      <c r="B171" s="217" t="s">
        <v>688</v>
      </c>
      <c r="D171" s="217" t="s">
        <v>32</v>
      </c>
      <c r="E171" s="217" t="s">
        <v>291</v>
      </c>
      <c r="F171" s="220">
        <v>1646439617.0249999</v>
      </c>
      <c r="G171" s="218">
        <v>0</v>
      </c>
      <c r="H171" s="218">
        <v>1646439617.0249999</v>
      </c>
      <c r="I171" s="218">
        <v>0</v>
      </c>
      <c r="J171" s="218">
        <v>1646439617.0249999</v>
      </c>
      <c r="K171" s="218">
        <v>0</v>
      </c>
      <c r="L171" s="218">
        <v>1646439617.0249999</v>
      </c>
      <c r="M171" s="217" t="s">
        <v>290</v>
      </c>
      <c r="O171" s="233">
        <f t="shared" si="138"/>
        <v>0</v>
      </c>
      <c r="P171" s="233">
        <f t="shared" si="139"/>
        <v>0</v>
      </c>
      <c r="Q171" s="233">
        <f t="shared" si="140"/>
        <v>0</v>
      </c>
      <c r="R171" s="233">
        <f t="shared" si="141"/>
        <v>0</v>
      </c>
      <c r="S171" s="233"/>
      <c r="T171" s="220" t="s">
        <v>68</v>
      </c>
      <c r="U171" s="220" t="str">
        <f t="shared" si="146"/>
        <v>Interest Income</v>
      </c>
      <c r="V171" s="218">
        <f>-F171</f>
        <v>-1646439617.0249999</v>
      </c>
      <c r="W171" s="233"/>
      <c r="X171" s="220">
        <f t="shared" si="142"/>
        <v>-1646439617.0249999</v>
      </c>
      <c r="Y171" s="233"/>
      <c r="Z171" s="220">
        <f t="shared" si="143"/>
        <v>-1646439617.0249999</v>
      </c>
      <c r="AB171" s="220">
        <f t="shared" si="144"/>
        <v>-1646439617.0249999</v>
      </c>
      <c r="AC171" s="233"/>
      <c r="AD171" s="233"/>
      <c r="AE171" s="233"/>
      <c r="AF171" s="233"/>
      <c r="AG171" s="233"/>
      <c r="AH171" s="234">
        <f t="shared" si="147"/>
        <v>-2593142396.8143749</v>
      </c>
      <c r="AI171" s="234">
        <f t="shared" si="145"/>
        <v>0</v>
      </c>
      <c r="AJ171" s="234">
        <f t="shared" si="145"/>
        <v>-2593142396.8143749</v>
      </c>
      <c r="AK171" s="234">
        <f t="shared" si="145"/>
        <v>0</v>
      </c>
      <c r="AL171" s="234">
        <f t="shared" si="145"/>
        <v>-2593142396.8143749</v>
      </c>
      <c r="AM171" s="234">
        <f t="shared" si="145"/>
        <v>0</v>
      </c>
      <c r="AN171" s="234">
        <f t="shared" si="145"/>
        <v>-2593142396.8143749</v>
      </c>
    </row>
    <row r="172" spans="2:41">
      <c r="B172" s="217" t="s">
        <v>688</v>
      </c>
      <c r="D172" s="217" t="s">
        <v>32</v>
      </c>
      <c r="E172" s="217" t="s">
        <v>288</v>
      </c>
      <c r="F172" s="220">
        <v>0</v>
      </c>
      <c r="G172" s="218">
        <v>0</v>
      </c>
      <c r="H172" s="218">
        <v>0</v>
      </c>
      <c r="I172" s="218">
        <v>0</v>
      </c>
      <c r="J172" s="218">
        <v>0</v>
      </c>
      <c r="K172" s="218">
        <v>0</v>
      </c>
      <c r="L172" s="218">
        <v>0</v>
      </c>
      <c r="M172" s="217" t="s">
        <v>290</v>
      </c>
      <c r="O172" s="233"/>
      <c r="P172" s="233"/>
      <c r="Q172" s="233"/>
      <c r="R172" s="233"/>
      <c r="S172" s="233"/>
      <c r="U172" s="220" t="str">
        <f t="shared" si="146"/>
        <v>Unidentified</v>
      </c>
      <c r="V172" s="218"/>
      <c r="W172" s="233"/>
      <c r="Y172" s="233"/>
      <c r="AC172" s="233"/>
      <c r="AD172" s="233"/>
      <c r="AE172" s="233"/>
      <c r="AF172" s="233"/>
      <c r="AG172" s="233"/>
      <c r="AH172" s="234">
        <f t="shared" si="147"/>
        <v>0</v>
      </c>
      <c r="AI172" s="234">
        <f t="shared" si="145"/>
        <v>0</v>
      </c>
      <c r="AJ172" s="234">
        <f t="shared" si="145"/>
        <v>0</v>
      </c>
      <c r="AK172" s="234">
        <f t="shared" si="145"/>
        <v>0</v>
      </c>
      <c r="AL172" s="234">
        <f t="shared" si="145"/>
        <v>0</v>
      </c>
      <c r="AM172" s="234">
        <f t="shared" si="145"/>
        <v>0</v>
      </c>
      <c r="AN172" s="234">
        <f t="shared" si="145"/>
        <v>0</v>
      </c>
    </row>
    <row r="173" spans="2:41">
      <c r="B173" s="217" t="s">
        <v>688</v>
      </c>
      <c r="D173" s="217" t="s">
        <v>32</v>
      </c>
      <c r="E173" s="217" t="s">
        <v>287</v>
      </c>
      <c r="F173" s="220">
        <v>4299620834.25</v>
      </c>
      <c r="G173" s="218">
        <v>0</v>
      </c>
      <c r="H173" s="218">
        <v>4299620834.25</v>
      </c>
      <c r="I173" s="218">
        <v>0</v>
      </c>
      <c r="J173" s="218">
        <v>4299620834.25</v>
      </c>
      <c r="K173" s="218">
        <v>0</v>
      </c>
      <c r="L173" s="218">
        <v>4299620834.25</v>
      </c>
      <c r="M173" s="217" t="s">
        <v>290</v>
      </c>
      <c r="O173" s="233"/>
      <c r="P173" s="233"/>
      <c r="Q173" s="233"/>
      <c r="R173" s="233"/>
      <c r="S173" s="233"/>
      <c r="V173" s="218"/>
      <c r="W173" s="233"/>
      <c r="Y173" s="233"/>
      <c r="AC173" s="233"/>
      <c r="AD173" s="233"/>
      <c r="AE173" s="233"/>
      <c r="AF173" s="233"/>
      <c r="AG173" s="233"/>
      <c r="AH173" s="234">
        <f t="shared" si="147"/>
        <v>0</v>
      </c>
      <c r="AI173" s="234">
        <f t="shared" si="145"/>
        <v>0</v>
      </c>
      <c r="AJ173" s="234">
        <f t="shared" si="145"/>
        <v>0</v>
      </c>
      <c r="AK173" s="234">
        <f t="shared" si="145"/>
        <v>0</v>
      </c>
      <c r="AL173" s="234">
        <f t="shared" si="145"/>
        <v>0</v>
      </c>
      <c r="AM173" s="234">
        <f t="shared" si="145"/>
        <v>0</v>
      </c>
      <c r="AN173" s="234">
        <f t="shared" si="145"/>
        <v>0</v>
      </c>
    </row>
    <row r="174" spans="2:41">
      <c r="F174" s="220"/>
      <c r="G174" s="220"/>
      <c r="H174" s="220"/>
      <c r="I174" s="220"/>
      <c r="J174" s="220"/>
      <c r="K174" s="220"/>
      <c r="L174" s="220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233"/>
      <c r="AB174" s="233"/>
      <c r="AC174" s="233"/>
      <c r="AD174" s="233"/>
      <c r="AE174" s="233"/>
      <c r="AF174" s="233"/>
      <c r="AG174" s="233"/>
    </row>
    <row r="175" spans="2:41">
      <c r="E175" s="217" t="s">
        <v>278</v>
      </c>
      <c r="F175" s="218">
        <f>SUM(F165:F173)</f>
        <v>69939941938.649994</v>
      </c>
      <c r="G175" s="220"/>
      <c r="H175" s="220"/>
      <c r="I175" s="220"/>
      <c r="J175" s="220"/>
      <c r="K175" s="220"/>
      <c r="L175" s="220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  <c r="AA175" s="233"/>
      <c r="AB175" s="233"/>
      <c r="AC175" s="233"/>
      <c r="AD175" s="233"/>
      <c r="AE175" s="233"/>
      <c r="AF175" s="233"/>
      <c r="AG175" s="233"/>
    </row>
    <row r="176" spans="2:41">
      <c r="D176" s="236" t="s">
        <v>285</v>
      </c>
      <c r="E176" s="217" t="s">
        <v>280</v>
      </c>
      <c r="F176" s="220">
        <f>'Consol SoFP 24'!I29</f>
        <v>52588124889.776001</v>
      </c>
      <c r="G176" s="220"/>
      <c r="H176" s="220">
        <f>SUM(H165:H173)</f>
        <v>69695294950.574997</v>
      </c>
      <c r="I176" s="220"/>
      <c r="J176" s="220"/>
      <c r="K176" s="220">
        <f>SUM(K165:K173)</f>
        <v>2934864257.8499999</v>
      </c>
      <c r="L176" s="220">
        <f>SUM(L165:L173)</f>
        <v>72630159208.424988</v>
      </c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  <c r="AA176" s="233"/>
      <c r="AB176" s="233"/>
      <c r="AC176" s="233"/>
      <c r="AD176" s="233"/>
      <c r="AE176" s="233"/>
      <c r="AF176" s="233"/>
      <c r="AG176" s="233"/>
    </row>
    <row r="177" spans="2:41">
      <c r="D177" s="236" t="s">
        <v>285</v>
      </c>
      <c r="E177" s="217" t="s">
        <v>291</v>
      </c>
      <c r="F177" s="220">
        <v>0</v>
      </c>
      <c r="G177" s="220"/>
      <c r="H177" s="220">
        <f>H165-H176</f>
        <v>-54882647894.024994</v>
      </c>
      <c r="I177" s="220"/>
      <c r="J177" s="220"/>
      <c r="K177" s="220"/>
      <c r="L177" s="220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  <c r="AA177" s="233"/>
      <c r="AB177" s="233"/>
      <c r="AC177" s="233"/>
      <c r="AD177" s="233"/>
      <c r="AE177" s="233"/>
      <c r="AF177" s="233"/>
      <c r="AG177" s="233"/>
    </row>
    <row r="178" spans="2:41">
      <c r="D178" s="236"/>
      <c r="F178" s="220">
        <f>F175-SUM(F176:F177)</f>
        <v>17351817048.873993</v>
      </c>
      <c r="G178" s="220"/>
      <c r="H178" s="220"/>
      <c r="I178" s="220"/>
      <c r="J178" s="220"/>
      <c r="K178" s="220"/>
      <c r="L178" s="220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  <c r="AA178" s="233"/>
      <c r="AB178" s="233"/>
      <c r="AC178" s="233"/>
      <c r="AD178" s="233"/>
      <c r="AE178" s="233"/>
      <c r="AF178" s="233"/>
      <c r="AG178" s="233"/>
    </row>
    <row r="179" spans="2:41">
      <c r="B179" s="238"/>
      <c r="C179" s="238"/>
      <c r="D179" s="238"/>
      <c r="E179" s="238"/>
      <c r="F179" s="239"/>
      <c r="G179" s="239"/>
      <c r="H179" s="239"/>
      <c r="I179" s="239"/>
      <c r="J179" s="239"/>
      <c r="K179" s="239"/>
      <c r="L179" s="239"/>
      <c r="M179" s="240"/>
      <c r="O179" s="233"/>
      <c r="P179" s="233"/>
      <c r="Q179" s="233"/>
      <c r="R179" s="233"/>
      <c r="S179" s="233"/>
      <c r="T179" s="240"/>
      <c r="U179" s="240"/>
      <c r="V179" s="240"/>
      <c r="W179" s="240"/>
      <c r="X179" s="240"/>
      <c r="Y179" s="240"/>
      <c r="Z179" s="240"/>
      <c r="AA179" s="240"/>
      <c r="AB179" s="240"/>
      <c r="AC179" s="240"/>
      <c r="AD179" s="240"/>
      <c r="AE179" s="240"/>
      <c r="AF179" s="233"/>
      <c r="AG179" s="233"/>
    </row>
    <row r="181" spans="2:41">
      <c r="B181" s="231" t="s">
        <v>21</v>
      </c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23"/>
      <c r="O181" s="223"/>
      <c r="P181" s="223"/>
      <c r="Q181" s="223"/>
      <c r="R181" s="223"/>
      <c r="S181" s="223"/>
      <c r="T181" s="231" t="s">
        <v>255</v>
      </c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27"/>
      <c r="AG181" s="227"/>
    </row>
    <row r="182" spans="2:41">
      <c r="C182" s="227"/>
      <c r="D182" s="227"/>
      <c r="E182" s="227"/>
      <c r="F182" s="230"/>
      <c r="G182" s="230"/>
      <c r="H182" s="230"/>
      <c r="I182" s="230"/>
      <c r="J182" s="230"/>
      <c r="K182" s="230"/>
      <c r="L182" s="230"/>
      <c r="M182" s="230"/>
      <c r="N182" s="223"/>
      <c r="O182" s="223"/>
      <c r="P182" s="223"/>
      <c r="Q182" s="223"/>
      <c r="R182" s="223"/>
      <c r="S182" s="223"/>
      <c r="AE182" s="227"/>
      <c r="AF182" s="227"/>
      <c r="AG182" s="227"/>
    </row>
    <row r="183" spans="2:41">
      <c r="B183" s="217" t="s">
        <v>640</v>
      </c>
      <c r="C183" s="217" t="s">
        <v>295</v>
      </c>
      <c r="D183" s="217" t="s">
        <v>259</v>
      </c>
      <c r="E183" s="217" t="s">
        <v>465</v>
      </c>
      <c r="F183" s="218">
        <v>0</v>
      </c>
      <c r="G183" s="218">
        <v>0</v>
      </c>
      <c r="H183" s="218">
        <v>0</v>
      </c>
      <c r="I183" s="218">
        <v>0</v>
      </c>
      <c r="J183" s="218">
        <v>0</v>
      </c>
      <c r="K183" s="218">
        <v>14774284578.375</v>
      </c>
      <c r="L183" s="218">
        <v>14774284578.375</v>
      </c>
      <c r="M183" s="217" t="s">
        <v>259</v>
      </c>
      <c r="O183" s="233">
        <f>F183+V183</f>
        <v>0</v>
      </c>
      <c r="P183" s="233">
        <f>H183+X183</f>
        <v>0</v>
      </c>
      <c r="Q183" s="233">
        <f>J183+Z183</f>
        <v>0</v>
      </c>
      <c r="R183" s="233">
        <f>L183+AB183</f>
        <v>1.0552501678466797</v>
      </c>
      <c r="S183" s="233"/>
      <c r="T183" s="220" t="s">
        <v>258</v>
      </c>
      <c r="U183" s="220" t="str">
        <f>E183</f>
        <v>Dummy F</v>
      </c>
      <c r="V183" s="218">
        <v>0</v>
      </c>
      <c r="W183" s="218">
        <v>0</v>
      </c>
      <c r="X183" s="220">
        <v>0</v>
      </c>
      <c r="Y183" s="220">
        <v>0</v>
      </c>
      <c r="Z183" s="220">
        <v>0</v>
      </c>
      <c r="AA183" s="220">
        <v>-14774284577.31975</v>
      </c>
      <c r="AB183" s="220">
        <v>-14774284577.31975</v>
      </c>
      <c r="AC183" s="217"/>
      <c r="AD183" s="220" t="s">
        <v>258</v>
      </c>
      <c r="AH183" s="514">
        <f>V183*1.575</f>
        <v>0</v>
      </c>
      <c r="AI183" s="514">
        <f t="shared" ref="AI183:AO183" si="148">W183*1.575</f>
        <v>0</v>
      </c>
      <c r="AJ183" s="514">
        <f t="shared" si="148"/>
        <v>0</v>
      </c>
      <c r="AK183" s="514">
        <f t="shared" si="148"/>
        <v>0</v>
      </c>
      <c r="AL183" s="514">
        <f t="shared" si="148"/>
        <v>0</v>
      </c>
      <c r="AM183" s="514">
        <f t="shared" si="148"/>
        <v>-23269498209.278606</v>
      </c>
      <c r="AN183" s="514">
        <f t="shared" si="148"/>
        <v>-23269498209.278606</v>
      </c>
      <c r="AO183" s="514">
        <f t="shared" si="148"/>
        <v>0</v>
      </c>
    </row>
    <row r="184" spans="2:41">
      <c r="M184" s="217"/>
      <c r="O184" s="233"/>
      <c r="P184" s="233"/>
      <c r="Q184" s="233"/>
      <c r="R184" s="233"/>
      <c r="S184" s="233"/>
      <c r="V184" s="218"/>
      <c r="W184" s="218"/>
      <c r="AC184" s="217"/>
      <c r="AD184" s="220"/>
    </row>
    <row r="185" spans="2:41">
      <c r="B185" s="217" t="s">
        <v>640</v>
      </c>
      <c r="C185" s="217" t="s">
        <v>296</v>
      </c>
      <c r="D185" s="217" t="s">
        <v>297</v>
      </c>
      <c r="E185" s="217" t="s">
        <v>630</v>
      </c>
      <c r="F185" s="218">
        <v>224414720.53875008</v>
      </c>
      <c r="G185" s="218">
        <v>0</v>
      </c>
      <c r="H185" s="218">
        <v>224414720.53875008</v>
      </c>
      <c r="I185" s="218">
        <v>0</v>
      </c>
      <c r="J185" s="218">
        <v>224414720.53875008</v>
      </c>
      <c r="K185" s="218">
        <v>0</v>
      </c>
      <c r="L185" s="218">
        <v>224414720.53875008</v>
      </c>
      <c r="M185" s="217" t="s">
        <v>297</v>
      </c>
      <c r="O185" s="233">
        <f t="shared" ref="O185:O193" si="149">F185+V185</f>
        <v>-129038464.30978128</v>
      </c>
      <c r="P185" s="233">
        <f t="shared" ref="P185:P193" si="150">H185+X185</f>
        <v>-129038464.30978128</v>
      </c>
      <c r="Q185" s="233">
        <f t="shared" ref="Q185:Q193" si="151">J185+Z185</f>
        <v>-129038464.30978128</v>
      </c>
      <c r="R185" s="233">
        <f t="shared" ref="R185:R193" si="152">L185+AB185</f>
        <v>-129038464.30978128</v>
      </c>
      <c r="S185" s="233"/>
      <c r="T185" s="220" t="s">
        <v>298</v>
      </c>
      <c r="U185" s="220" t="str">
        <f>E185</f>
        <v>CVDummy - A</v>
      </c>
      <c r="V185" s="218">
        <v>-353453184.84853137</v>
      </c>
      <c r="W185" s="220">
        <v>0</v>
      </c>
      <c r="X185" s="220">
        <v>-353453184.84853137</v>
      </c>
      <c r="Y185" s="220">
        <v>0</v>
      </c>
      <c r="Z185" s="220">
        <v>-353453184.84853137</v>
      </c>
      <c r="AA185" s="220">
        <v>0</v>
      </c>
      <c r="AB185" s="220">
        <v>-353453184.84853137</v>
      </c>
      <c r="AD185" s="220" t="s">
        <v>298</v>
      </c>
      <c r="AH185" s="514">
        <f t="shared" ref="AH185:AH187" si="153">V185*1.575</f>
        <v>-556688766.13643694</v>
      </c>
      <c r="AI185" s="514">
        <f t="shared" ref="AI185:AI187" si="154">W185*1.575</f>
        <v>0</v>
      </c>
      <c r="AJ185" s="514">
        <f t="shared" ref="AJ185:AJ187" si="155">X185*1.575</f>
        <v>-556688766.13643694</v>
      </c>
      <c r="AK185" s="514">
        <f t="shared" ref="AK185:AK187" si="156">Y185*1.575</f>
        <v>0</v>
      </c>
      <c r="AL185" s="514">
        <f t="shared" ref="AL185:AL187" si="157">Z185*1.575</f>
        <v>-556688766.13643694</v>
      </c>
      <c r="AM185" s="514">
        <f t="shared" ref="AM185:AM187" si="158">AA185*1.575</f>
        <v>0</v>
      </c>
      <c r="AN185" s="514">
        <f t="shared" ref="AN185:AN187" si="159">AB185*1.575</f>
        <v>-556688766.13643694</v>
      </c>
    </row>
    <row r="186" spans="2:41">
      <c r="B186" s="217" t="s">
        <v>640</v>
      </c>
      <c r="C186" s="217" t="s">
        <v>296</v>
      </c>
      <c r="D186" s="217" t="s">
        <v>297</v>
      </c>
      <c r="E186" s="217" t="s">
        <v>811</v>
      </c>
      <c r="F186" s="218">
        <v>0</v>
      </c>
      <c r="G186" s="218">
        <v>0</v>
      </c>
      <c r="H186" s="218">
        <v>0</v>
      </c>
      <c r="I186" s="218">
        <v>0</v>
      </c>
      <c r="J186" s="218">
        <v>0</v>
      </c>
      <c r="K186" s="218">
        <v>0</v>
      </c>
      <c r="L186" s="218">
        <v>0</v>
      </c>
      <c r="M186" s="217" t="s">
        <v>297</v>
      </c>
      <c r="O186" s="233">
        <f t="shared" si="149"/>
        <v>0</v>
      </c>
      <c r="P186" s="233">
        <f t="shared" si="150"/>
        <v>0</v>
      </c>
      <c r="Q186" s="233">
        <f t="shared" si="151"/>
        <v>0</v>
      </c>
      <c r="R186" s="233">
        <f t="shared" si="152"/>
        <v>0</v>
      </c>
      <c r="S186" s="233"/>
      <c r="T186" s="220" t="s">
        <v>298</v>
      </c>
      <c r="U186" s="220" t="str">
        <f>E186</f>
        <v>Dummy L</v>
      </c>
      <c r="V186" s="218">
        <v>0</v>
      </c>
      <c r="W186" s="220">
        <v>0</v>
      </c>
      <c r="X186" s="220">
        <v>0</v>
      </c>
      <c r="Y186" s="220">
        <v>0</v>
      </c>
      <c r="Z186" s="220">
        <v>0</v>
      </c>
      <c r="AA186" s="220">
        <v>0</v>
      </c>
      <c r="AB186" s="220">
        <v>0</v>
      </c>
      <c r="AD186" s="220" t="s">
        <v>298</v>
      </c>
      <c r="AH186" s="514">
        <f t="shared" si="153"/>
        <v>0</v>
      </c>
      <c r="AI186" s="514">
        <f t="shared" si="154"/>
        <v>0</v>
      </c>
      <c r="AJ186" s="514">
        <f t="shared" si="155"/>
        <v>0</v>
      </c>
      <c r="AK186" s="514">
        <f t="shared" si="156"/>
        <v>0</v>
      </c>
      <c r="AL186" s="514">
        <f t="shared" si="157"/>
        <v>0</v>
      </c>
      <c r="AM186" s="514">
        <f t="shared" si="158"/>
        <v>0</v>
      </c>
      <c r="AN186" s="514">
        <f t="shared" si="159"/>
        <v>0</v>
      </c>
    </row>
    <row r="187" spans="2:41">
      <c r="B187" s="217" t="s">
        <v>640</v>
      </c>
      <c r="C187" s="217" t="s">
        <v>296</v>
      </c>
      <c r="D187" s="217" t="s">
        <v>297</v>
      </c>
      <c r="F187" s="218">
        <v>0</v>
      </c>
      <c r="G187" s="218">
        <v>0</v>
      </c>
      <c r="H187" s="218">
        <v>0</v>
      </c>
      <c r="I187" s="218">
        <v>0</v>
      </c>
      <c r="J187" s="218">
        <v>0</v>
      </c>
      <c r="K187" s="218">
        <v>0</v>
      </c>
      <c r="L187" s="218">
        <v>0</v>
      </c>
      <c r="M187" s="217" t="s">
        <v>297</v>
      </c>
      <c r="O187" s="233">
        <f t="shared" si="149"/>
        <v>0</v>
      </c>
      <c r="P187" s="233">
        <f t="shared" si="150"/>
        <v>0</v>
      </c>
      <c r="Q187" s="233">
        <f t="shared" si="151"/>
        <v>0</v>
      </c>
      <c r="R187" s="233">
        <f t="shared" si="152"/>
        <v>0</v>
      </c>
      <c r="S187" s="233"/>
      <c r="T187" s="220" t="s">
        <v>298</v>
      </c>
      <c r="U187" s="220">
        <f>E187</f>
        <v>0</v>
      </c>
      <c r="V187" s="218">
        <v>0</v>
      </c>
      <c r="W187" s="220">
        <v>0</v>
      </c>
      <c r="X187" s="220">
        <v>0</v>
      </c>
      <c r="Y187" s="220">
        <v>0</v>
      </c>
      <c r="Z187" s="220">
        <v>0</v>
      </c>
      <c r="AA187" s="220">
        <v>0</v>
      </c>
      <c r="AB187" s="220">
        <v>0</v>
      </c>
      <c r="AD187" s="220" t="s">
        <v>298</v>
      </c>
      <c r="AH187" s="514">
        <f t="shared" si="153"/>
        <v>0</v>
      </c>
      <c r="AI187" s="514">
        <f t="shared" si="154"/>
        <v>0</v>
      </c>
      <c r="AJ187" s="514">
        <f t="shared" si="155"/>
        <v>0</v>
      </c>
      <c r="AK187" s="514">
        <f t="shared" si="156"/>
        <v>0</v>
      </c>
      <c r="AL187" s="514">
        <f t="shared" si="157"/>
        <v>0</v>
      </c>
      <c r="AM187" s="514">
        <f t="shared" si="158"/>
        <v>0</v>
      </c>
      <c r="AN187" s="514">
        <f t="shared" si="159"/>
        <v>0</v>
      </c>
    </row>
    <row r="188" spans="2:41">
      <c r="M188" s="217"/>
      <c r="O188" s="233"/>
      <c r="P188" s="233"/>
      <c r="Q188" s="233"/>
      <c r="R188" s="233"/>
      <c r="S188" s="233"/>
      <c r="V188" s="218"/>
      <c r="AD188" s="220"/>
    </row>
    <row r="189" spans="2:41">
      <c r="B189" s="217" t="s">
        <v>640</v>
      </c>
      <c r="C189" s="217" t="s">
        <v>299</v>
      </c>
      <c r="D189" s="217" t="s">
        <v>300</v>
      </c>
      <c r="E189" s="217" t="s">
        <v>688</v>
      </c>
      <c r="F189" s="218">
        <v>-340613843.84999996</v>
      </c>
      <c r="G189" s="218">
        <v>0</v>
      </c>
      <c r="H189" s="218">
        <v>-340613843.84999996</v>
      </c>
      <c r="I189" s="218">
        <v>0</v>
      </c>
      <c r="J189" s="218">
        <v>-340613843.84999996</v>
      </c>
      <c r="K189" s="218">
        <v>340613845.42500001</v>
      </c>
      <c r="L189" s="218">
        <v>1.575</v>
      </c>
      <c r="M189" s="217" t="s">
        <v>300</v>
      </c>
      <c r="O189" s="233">
        <f t="shared" si="149"/>
        <v>1.5750000476837158</v>
      </c>
      <c r="P189" s="233">
        <f t="shared" si="150"/>
        <v>1.5750000476837158</v>
      </c>
      <c r="Q189" s="233">
        <f t="shared" si="151"/>
        <v>1.5750000476837158</v>
      </c>
      <c r="R189" s="233">
        <f t="shared" si="152"/>
        <v>340613847</v>
      </c>
      <c r="S189" s="233"/>
      <c r="T189" s="220" t="s">
        <v>301</v>
      </c>
      <c r="U189" s="220" t="str">
        <f>E189</f>
        <v>Dummy - D</v>
      </c>
      <c r="V189" s="218">
        <v>340613845.42500001</v>
      </c>
      <c r="W189" s="220">
        <v>0</v>
      </c>
      <c r="X189" s="220">
        <v>340613845.42500001</v>
      </c>
      <c r="Y189" s="220">
        <v>0</v>
      </c>
      <c r="Z189" s="220">
        <v>340613845.42500001</v>
      </c>
      <c r="AA189" s="220">
        <v>0</v>
      </c>
      <c r="AB189" s="220">
        <v>340613845.42500001</v>
      </c>
      <c r="AD189" s="220" t="s">
        <v>302</v>
      </c>
      <c r="AH189" s="514"/>
      <c r="AI189" s="514"/>
      <c r="AJ189" s="514"/>
      <c r="AK189" s="514"/>
      <c r="AL189" s="514"/>
      <c r="AM189" s="514"/>
      <c r="AN189" s="514"/>
    </row>
    <row r="190" spans="2:41">
      <c r="B190" s="217" t="s">
        <v>640</v>
      </c>
      <c r="C190" s="217" t="s">
        <v>299</v>
      </c>
      <c r="D190" s="217" t="s">
        <v>300</v>
      </c>
      <c r="E190" s="217" t="s">
        <v>465</v>
      </c>
      <c r="F190" s="218">
        <v>158356800</v>
      </c>
      <c r="G190" s="218">
        <v>-158356800</v>
      </c>
      <c r="H190" s="218">
        <v>0</v>
      </c>
      <c r="I190" s="218">
        <v>0</v>
      </c>
      <c r="J190" s="218">
        <v>0</v>
      </c>
      <c r="K190" s="218">
        <v>0</v>
      </c>
      <c r="L190" s="218">
        <v>0</v>
      </c>
      <c r="M190" s="217" t="s">
        <v>300</v>
      </c>
      <c r="O190" s="233">
        <f t="shared" si="149"/>
        <v>0</v>
      </c>
      <c r="P190" s="233">
        <f t="shared" si="150"/>
        <v>0</v>
      </c>
      <c r="Q190" s="233">
        <f t="shared" si="151"/>
        <v>0</v>
      </c>
      <c r="R190" s="233">
        <f t="shared" si="152"/>
        <v>0</v>
      </c>
      <c r="S190" s="233"/>
      <c r="T190" s="220" t="s">
        <v>301</v>
      </c>
      <c r="U190" s="220" t="str">
        <f>E190</f>
        <v>Dummy F</v>
      </c>
      <c r="V190" s="218">
        <v>-158356800</v>
      </c>
      <c r="W190" s="220">
        <v>158356800</v>
      </c>
      <c r="X190" s="220">
        <v>0</v>
      </c>
      <c r="Y190" s="220">
        <v>0</v>
      </c>
      <c r="Z190" s="220">
        <v>0</v>
      </c>
      <c r="AA190" s="220">
        <v>0</v>
      </c>
      <c r="AB190" s="220">
        <v>0</v>
      </c>
      <c r="AD190" s="220" t="s">
        <v>302</v>
      </c>
      <c r="AH190" s="514"/>
      <c r="AI190" s="514"/>
      <c r="AJ190" s="514"/>
      <c r="AK190" s="514"/>
      <c r="AL190" s="514"/>
      <c r="AM190" s="514"/>
      <c r="AN190" s="514"/>
    </row>
    <row r="191" spans="2:41">
      <c r="B191" s="217" t="s">
        <v>640</v>
      </c>
      <c r="C191" s="217" t="s">
        <v>299</v>
      </c>
      <c r="D191" s="217" t="s">
        <v>300</v>
      </c>
      <c r="E191" s="217" t="s">
        <v>811</v>
      </c>
      <c r="F191" s="218">
        <v>322108461.67500001</v>
      </c>
      <c r="G191" s="218">
        <v>0</v>
      </c>
      <c r="H191" s="218">
        <v>322108461.67500001</v>
      </c>
      <c r="I191" s="218">
        <v>0</v>
      </c>
      <c r="J191" s="218">
        <v>322108461.67500001</v>
      </c>
      <c r="K191" s="218">
        <v>0</v>
      </c>
      <c r="L191" s="218">
        <v>322108461.67500001</v>
      </c>
      <c r="M191" s="217" t="s">
        <v>300</v>
      </c>
      <c r="O191" s="233">
        <f t="shared" si="149"/>
        <v>-185212365.46312499</v>
      </c>
      <c r="P191" s="233">
        <f t="shared" si="150"/>
        <v>-185212365.46312499</v>
      </c>
      <c r="Q191" s="233">
        <f t="shared" si="151"/>
        <v>-185212365.46312499</v>
      </c>
      <c r="R191" s="233">
        <f t="shared" si="152"/>
        <v>-185212365.46312499</v>
      </c>
      <c r="S191" s="233"/>
      <c r="T191" s="220" t="s">
        <v>301</v>
      </c>
      <c r="U191" s="220" t="str">
        <f t="shared" ref="U191:U193" si="160">E191</f>
        <v>Dummy L</v>
      </c>
      <c r="V191" s="218">
        <v>-507320827.138125</v>
      </c>
      <c r="W191" s="233">
        <v>0</v>
      </c>
      <c r="X191" s="220">
        <v>-507320827.138125</v>
      </c>
      <c r="Y191" s="220">
        <v>0</v>
      </c>
      <c r="Z191" s="220">
        <v>-507320827.138125</v>
      </c>
      <c r="AA191" s="220">
        <v>0</v>
      </c>
      <c r="AB191" s="220">
        <v>-507320827.138125</v>
      </c>
      <c r="AC191" s="233"/>
      <c r="AD191" s="220" t="s">
        <v>302</v>
      </c>
      <c r="AE191" s="233"/>
      <c r="AH191" s="514"/>
      <c r="AI191" s="514"/>
      <c r="AJ191" s="514"/>
      <c r="AK191" s="514"/>
      <c r="AL191" s="514"/>
      <c r="AM191" s="514"/>
      <c r="AN191" s="514"/>
    </row>
    <row r="192" spans="2:41">
      <c r="B192" s="217" t="s">
        <v>640</v>
      </c>
      <c r="C192" s="217" t="s">
        <v>299</v>
      </c>
      <c r="D192" s="217" t="s">
        <v>300</v>
      </c>
      <c r="E192" s="217" t="s">
        <v>800</v>
      </c>
      <c r="F192" s="218">
        <v>387870811.64999998</v>
      </c>
      <c r="G192" s="218">
        <v>0</v>
      </c>
      <c r="H192" s="218">
        <v>387870811.64999998</v>
      </c>
      <c r="I192" s="218">
        <v>0</v>
      </c>
      <c r="J192" s="218">
        <v>387870811.64999998</v>
      </c>
      <c r="K192" s="218">
        <v>0</v>
      </c>
      <c r="L192" s="218">
        <v>387870811.64999998</v>
      </c>
      <c r="M192" s="217" t="s">
        <v>300</v>
      </c>
      <c r="O192" s="233">
        <f t="shared" si="149"/>
        <v>-223025716.69875002</v>
      </c>
      <c r="P192" s="233">
        <f t="shared" si="150"/>
        <v>-223025716.69875002</v>
      </c>
      <c r="Q192" s="233">
        <f t="shared" si="151"/>
        <v>-223025716.69875002</v>
      </c>
      <c r="R192" s="233">
        <f t="shared" si="152"/>
        <v>-223025716.69875002</v>
      </c>
      <c r="S192" s="233"/>
      <c r="T192" s="220" t="s">
        <v>301</v>
      </c>
      <c r="U192" s="220" t="str">
        <f t="shared" si="160"/>
        <v>Dummy - H</v>
      </c>
      <c r="V192" s="218">
        <v>-610896528.34875</v>
      </c>
      <c r="W192" s="233">
        <v>0</v>
      </c>
      <c r="X192" s="220">
        <v>-610896528.34875</v>
      </c>
      <c r="Y192" s="220">
        <v>0</v>
      </c>
      <c r="Z192" s="220">
        <v>-610896528.34875</v>
      </c>
      <c r="AA192" s="220">
        <v>0</v>
      </c>
      <c r="AB192" s="220">
        <v>-610896528.34875</v>
      </c>
      <c r="AC192" s="233"/>
      <c r="AD192" s="220" t="s">
        <v>302</v>
      </c>
      <c r="AE192" s="233"/>
      <c r="AH192" s="514"/>
      <c r="AI192" s="514"/>
      <c r="AJ192" s="514"/>
      <c r="AK192" s="514"/>
      <c r="AL192" s="514"/>
      <c r="AM192" s="514"/>
      <c r="AN192" s="514"/>
    </row>
    <row r="193" spans="2:41">
      <c r="B193" s="217" t="s">
        <v>640</v>
      </c>
      <c r="C193" s="217" t="s">
        <v>299</v>
      </c>
      <c r="D193" s="217" t="s">
        <v>300</v>
      </c>
      <c r="E193" s="217" t="s">
        <v>630</v>
      </c>
      <c r="F193" s="218">
        <v>-4473158908.0500002</v>
      </c>
      <c r="G193" s="218">
        <v>5233961599.6499996</v>
      </c>
      <c r="H193" s="218">
        <v>760802691.60000002</v>
      </c>
      <c r="I193" s="218">
        <v>0</v>
      </c>
      <c r="J193" s="218">
        <v>760802691.60000002</v>
      </c>
      <c r="K193" s="218">
        <v>-5233961599.6499996</v>
      </c>
      <c r="L193" s="218">
        <v>-4473158908.0500002</v>
      </c>
      <c r="M193" s="217" t="s">
        <v>300</v>
      </c>
      <c r="O193" s="233">
        <f t="shared" si="149"/>
        <v>2572066372.1287498</v>
      </c>
      <c r="P193" s="233">
        <f t="shared" si="150"/>
        <v>-437461547.669999</v>
      </c>
      <c r="Q193" s="233">
        <f t="shared" si="151"/>
        <v>-437461547.669999</v>
      </c>
      <c r="R193" s="233">
        <f t="shared" si="152"/>
        <v>-5671423147.3199997</v>
      </c>
      <c r="S193" s="233"/>
      <c r="T193" s="220" t="s">
        <v>301</v>
      </c>
      <c r="U193" s="220" t="str">
        <f t="shared" si="160"/>
        <v>CVDummy - A</v>
      </c>
      <c r="V193" s="218">
        <v>7045225280.17875</v>
      </c>
      <c r="W193" s="233">
        <v>-8243489519.4487495</v>
      </c>
      <c r="X193" s="220">
        <v>-1198264239.269999</v>
      </c>
      <c r="Y193" s="220">
        <v>0</v>
      </c>
      <c r="Z193" s="220">
        <v>-1198264239.269999</v>
      </c>
      <c r="AA193" s="220">
        <v>0</v>
      </c>
      <c r="AB193" s="220">
        <v>-1198264239.269999</v>
      </c>
      <c r="AC193" s="233"/>
      <c r="AD193" s="220" t="s">
        <v>302</v>
      </c>
      <c r="AE193" s="233"/>
      <c r="AH193" s="514"/>
      <c r="AI193" s="514"/>
      <c r="AJ193" s="514"/>
      <c r="AK193" s="514"/>
      <c r="AL193" s="514"/>
      <c r="AM193" s="514"/>
      <c r="AN193" s="514"/>
    </row>
    <row r="194" spans="2:41">
      <c r="F194" s="220"/>
      <c r="G194" s="220"/>
      <c r="H194" s="220"/>
      <c r="I194" s="220"/>
      <c r="J194" s="218">
        <f t="shared" ref="J194:J195" si="161">SUM(H194:I194)</f>
        <v>0</v>
      </c>
      <c r="O194" s="233"/>
      <c r="P194" s="233"/>
      <c r="Q194" s="233"/>
      <c r="R194" s="233"/>
      <c r="S194" s="233"/>
      <c r="T194" s="233"/>
      <c r="V194" s="233"/>
      <c r="W194" s="233"/>
      <c r="X194" s="233"/>
      <c r="Y194" s="233"/>
      <c r="Z194" s="233"/>
      <c r="AA194" s="233"/>
      <c r="AB194" s="233"/>
      <c r="AC194" s="233"/>
      <c r="AD194" s="233"/>
      <c r="AE194" s="233"/>
      <c r="AF194" s="233"/>
      <c r="AG194" s="233"/>
    </row>
    <row r="195" spans="2:41">
      <c r="E195" s="217" t="s">
        <v>278</v>
      </c>
      <c r="F195" s="220">
        <f>SUM(F189:F193,F185,F183)</f>
        <v>-3721021958.0362501</v>
      </c>
      <c r="G195" s="220"/>
      <c r="H195" s="220">
        <f>SUM(H183:H193)</f>
        <v>1354582841.61375</v>
      </c>
      <c r="I195" s="220"/>
      <c r="J195" s="218">
        <f t="shared" si="161"/>
        <v>1354582841.61375</v>
      </c>
      <c r="L195" s="218">
        <f>SUM(L183:L193)</f>
        <v>11235519665.763748</v>
      </c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</row>
    <row r="196" spans="2:41">
      <c r="D196" s="236" t="s">
        <v>285</v>
      </c>
      <c r="E196" s="217" t="s">
        <v>303</v>
      </c>
      <c r="F196" s="220">
        <v>-2362553624</v>
      </c>
      <c r="G196" s="220"/>
      <c r="H196" s="220"/>
      <c r="I196" s="220"/>
      <c r="J196" s="220"/>
      <c r="K196" s="220"/>
      <c r="L196" s="218">
        <v>11565432510</v>
      </c>
      <c r="M196" s="218">
        <f>F195+F196</f>
        <v>-6083575582.0362501</v>
      </c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  <c r="AA196" s="233"/>
      <c r="AB196" s="233"/>
      <c r="AC196" s="233"/>
      <c r="AD196" s="233"/>
      <c r="AE196" s="233"/>
      <c r="AF196" s="233"/>
      <c r="AG196" s="233"/>
    </row>
    <row r="197" spans="2:41">
      <c r="E197" s="217" t="s">
        <v>109</v>
      </c>
      <c r="F197" s="220">
        <f>F195-SUM(F196:F196)</f>
        <v>-1358468334.0362501</v>
      </c>
      <c r="G197" s="220"/>
      <c r="H197" s="220"/>
      <c r="I197" s="220"/>
      <c r="J197" s="220"/>
      <c r="K197" s="220"/>
      <c r="L197" s="220">
        <f>L195-L196</f>
        <v>-329912844.23625183</v>
      </c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</row>
    <row r="198" spans="2:41">
      <c r="B198" s="238"/>
      <c r="C198" s="238"/>
      <c r="D198" s="238"/>
      <c r="E198" s="238"/>
      <c r="F198" s="239"/>
      <c r="G198" s="239"/>
      <c r="H198" s="239"/>
      <c r="I198" s="239"/>
      <c r="J198" s="239"/>
      <c r="K198" s="239"/>
      <c r="L198" s="239"/>
      <c r="M198" s="240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  <c r="AA198" s="233"/>
      <c r="AB198" s="233"/>
      <c r="AC198" s="233"/>
      <c r="AD198" s="233"/>
      <c r="AE198" s="233"/>
      <c r="AF198" s="233"/>
      <c r="AG198" s="233"/>
    </row>
    <row r="199" spans="2:41">
      <c r="F199" s="220"/>
      <c r="G199" s="220"/>
      <c r="H199" s="220"/>
      <c r="I199" s="220"/>
      <c r="J199" s="220"/>
      <c r="K199" s="220"/>
      <c r="L199" s="220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  <c r="AA199" s="233"/>
      <c r="AB199" s="233"/>
      <c r="AC199" s="233"/>
      <c r="AD199" s="233"/>
      <c r="AE199" s="233"/>
      <c r="AF199" s="233"/>
      <c r="AG199" s="233"/>
    </row>
    <row r="200" spans="2:41">
      <c r="B200" s="217" t="s">
        <v>688</v>
      </c>
      <c r="C200" s="217" t="s">
        <v>295</v>
      </c>
      <c r="D200" s="217" t="s">
        <v>259</v>
      </c>
      <c r="E200" s="217" t="s">
        <v>465</v>
      </c>
      <c r="F200" s="218">
        <v>6871272.9749999996</v>
      </c>
      <c r="G200" s="218">
        <v>0</v>
      </c>
      <c r="H200" s="218">
        <v>6871272.9749999996</v>
      </c>
      <c r="I200" s="218">
        <v>0</v>
      </c>
      <c r="J200" s="218">
        <v>6871272.9749999996</v>
      </c>
      <c r="K200" s="218">
        <v>2197371750.5250001</v>
      </c>
      <c r="L200" s="218">
        <v>2204243023.5</v>
      </c>
      <c r="M200" s="217" t="s">
        <v>259</v>
      </c>
      <c r="O200" s="233">
        <f>F200+V200</f>
        <v>0</v>
      </c>
      <c r="P200" s="233">
        <f>H200+X200</f>
        <v>0</v>
      </c>
      <c r="Q200" s="233">
        <f>J200+Z200</f>
        <v>0</v>
      </c>
      <c r="R200" s="233">
        <f>L200+AB200</f>
        <v>-6871272.9749999046</v>
      </c>
      <c r="S200" s="233"/>
      <c r="T200" s="220" t="s">
        <v>258</v>
      </c>
      <c r="U200" s="220" t="str">
        <f>E200</f>
        <v>Dummy F</v>
      </c>
      <c r="V200" s="218">
        <v>-6871272.9749999996</v>
      </c>
      <c r="W200" s="218">
        <v>0</v>
      </c>
      <c r="X200" s="220">
        <v>-6871272.9749999996</v>
      </c>
      <c r="Y200" s="220">
        <v>0</v>
      </c>
      <c r="Z200" s="220">
        <v>-6871272.9749999996</v>
      </c>
      <c r="AA200" s="220">
        <v>-2204243023.5</v>
      </c>
      <c r="AB200" s="220">
        <v>-2211114296.4749999</v>
      </c>
      <c r="AC200" s="217"/>
      <c r="AD200" s="220" t="s">
        <v>258</v>
      </c>
      <c r="AH200" s="234">
        <f>V200*1.575</f>
        <v>-10822254.935625</v>
      </c>
      <c r="AI200" s="234">
        <f t="shared" ref="AI200:AO200" si="162">W200*1.575</f>
        <v>0</v>
      </c>
      <c r="AJ200" s="234">
        <f t="shared" si="162"/>
        <v>-10822254.935625</v>
      </c>
      <c r="AK200" s="234">
        <f t="shared" si="162"/>
        <v>0</v>
      </c>
      <c r="AL200" s="234">
        <f t="shared" si="162"/>
        <v>-10822254.935625</v>
      </c>
      <c r="AM200" s="234">
        <f t="shared" si="162"/>
        <v>-3471682762.0124998</v>
      </c>
      <c r="AN200" s="234">
        <f t="shared" si="162"/>
        <v>-3482505016.9481249</v>
      </c>
      <c r="AO200" s="234">
        <f t="shared" si="162"/>
        <v>0</v>
      </c>
    </row>
    <row r="201" spans="2:41">
      <c r="B201" s="217" t="s">
        <v>688</v>
      </c>
      <c r="C201" s="217" t="s">
        <v>295</v>
      </c>
      <c r="D201" s="217" t="s">
        <v>259</v>
      </c>
      <c r="E201" s="217" t="s">
        <v>555</v>
      </c>
      <c r="F201" s="218">
        <v>0</v>
      </c>
      <c r="G201" s="218">
        <v>0</v>
      </c>
      <c r="H201" s="218">
        <v>0</v>
      </c>
      <c r="I201" s="218">
        <v>0</v>
      </c>
      <c r="J201" s="218">
        <v>0</v>
      </c>
      <c r="K201" s="218">
        <v>14538385570.275</v>
      </c>
      <c r="L201" s="218">
        <v>14538385570.275</v>
      </c>
      <c r="M201" s="217" t="s">
        <v>259</v>
      </c>
      <c r="O201" s="233">
        <f>F201+V201</f>
        <v>0</v>
      </c>
      <c r="P201" s="233">
        <f>H201+X201</f>
        <v>0</v>
      </c>
      <c r="Q201" s="233">
        <f>J201+Z201</f>
        <v>0</v>
      </c>
      <c r="R201" s="233">
        <f>L201+AB201</f>
        <v>-8359571702.9081249</v>
      </c>
      <c r="S201" s="233"/>
      <c r="T201" s="220" t="s">
        <v>258</v>
      </c>
      <c r="U201" s="220" t="str">
        <f>E201</f>
        <v>PT Dummy - N</v>
      </c>
      <c r="V201" s="218">
        <v>0</v>
      </c>
      <c r="W201" s="218">
        <v>0</v>
      </c>
      <c r="X201" s="220">
        <v>0</v>
      </c>
      <c r="Y201" s="220">
        <v>0</v>
      </c>
      <c r="Z201" s="220">
        <v>0</v>
      </c>
      <c r="AA201" s="220">
        <v>-22897957273.183125</v>
      </c>
      <c r="AB201" s="220">
        <v>-22897957273.183125</v>
      </c>
      <c r="AC201" s="217"/>
      <c r="AD201" s="220" t="s">
        <v>258</v>
      </c>
      <c r="AH201" s="234">
        <f t="shared" ref="AH201:AH202" si="163">V201*1.575</f>
        <v>0</v>
      </c>
      <c r="AI201" s="234">
        <f t="shared" ref="AI201:AI202" si="164">W201*1.575</f>
        <v>0</v>
      </c>
      <c r="AJ201" s="234">
        <f t="shared" ref="AJ201:AJ202" si="165">X201*1.575</f>
        <v>0</v>
      </c>
      <c r="AK201" s="234">
        <f t="shared" ref="AK201:AK202" si="166">Y201*1.575</f>
        <v>0</v>
      </c>
      <c r="AL201" s="234">
        <f t="shared" ref="AL201:AL202" si="167">Z201*1.575</f>
        <v>0</v>
      </c>
      <c r="AM201" s="234">
        <f t="shared" ref="AM201:AM202" si="168">AA201*1.575</f>
        <v>-36064282705.26342</v>
      </c>
      <c r="AN201" s="234">
        <f t="shared" ref="AN201:AN202" si="169">AB201*1.575</f>
        <v>-36064282705.26342</v>
      </c>
      <c r="AO201" s="234" t="e">
        <f t="shared" ref="AO201:AO202" si="170">M201*1.575</f>
        <v>#VALUE!</v>
      </c>
    </row>
    <row r="202" spans="2:41">
      <c r="B202" s="217" t="s">
        <v>688</v>
      </c>
      <c r="C202" s="217" t="s">
        <v>295</v>
      </c>
      <c r="D202" s="217" t="s">
        <v>259</v>
      </c>
      <c r="E202" s="217" t="s">
        <v>630</v>
      </c>
      <c r="F202" s="218">
        <v>0</v>
      </c>
      <c r="G202" s="218">
        <v>0</v>
      </c>
      <c r="H202" s="218">
        <v>0</v>
      </c>
      <c r="I202" s="218">
        <v>0</v>
      </c>
      <c r="J202" s="218">
        <v>0</v>
      </c>
      <c r="K202" s="218">
        <v>0</v>
      </c>
      <c r="L202" s="218">
        <v>0</v>
      </c>
      <c r="M202" s="217" t="s">
        <v>259</v>
      </c>
      <c r="O202" s="233">
        <f>F202+V202</f>
        <v>0</v>
      </c>
      <c r="P202" s="233">
        <f>H202+X202</f>
        <v>0</v>
      </c>
      <c r="Q202" s="233">
        <f>J202+Z202</f>
        <v>0</v>
      </c>
      <c r="R202" s="233">
        <f>L202+AB202</f>
        <v>0</v>
      </c>
      <c r="S202" s="233"/>
      <c r="T202" s="220" t="s">
        <v>258</v>
      </c>
      <c r="U202" s="220" t="str">
        <f>E202</f>
        <v>CVDummy - A</v>
      </c>
      <c r="V202" s="218">
        <v>0</v>
      </c>
      <c r="W202" s="218">
        <v>0</v>
      </c>
      <c r="X202" s="220">
        <v>0</v>
      </c>
      <c r="Y202" s="220">
        <v>0</v>
      </c>
      <c r="Z202" s="220">
        <v>0</v>
      </c>
      <c r="AA202" s="220">
        <v>0</v>
      </c>
      <c r="AB202" s="220">
        <v>0</v>
      </c>
      <c r="AC202" s="217"/>
      <c r="AD202" s="220" t="s">
        <v>258</v>
      </c>
      <c r="AH202" s="234">
        <f t="shared" si="163"/>
        <v>0</v>
      </c>
      <c r="AI202" s="234">
        <f t="shared" si="164"/>
        <v>0</v>
      </c>
      <c r="AJ202" s="234">
        <f t="shared" si="165"/>
        <v>0</v>
      </c>
      <c r="AK202" s="234">
        <f t="shared" si="166"/>
        <v>0</v>
      </c>
      <c r="AL202" s="234">
        <f t="shared" si="167"/>
        <v>0</v>
      </c>
      <c r="AM202" s="234">
        <f t="shared" si="168"/>
        <v>0</v>
      </c>
      <c r="AN202" s="234">
        <f t="shared" si="169"/>
        <v>0</v>
      </c>
      <c r="AO202" s="234" t="e">
        <f t="shared" si="170"/>
        <v>#VALUE!</v>
      </c>
    </row>
    <row r="203" spans="2:41">
      <c r="M203" s="217"/>
      <c r="O203" s="233"/>
      <c r="P203" s="233"/>
      <c r="Q203" s="233"/>
      <c r="R203" s="233"/>
      <c r="S203" s="233"/>
      <c r="V203" s="218"/>
      <c r="W203" s="218"/>
      <c r="AC203" s="217"/>
      <c r="AD203" s="220"/>
    </row>
    <row r="204" spans="2:41">
      <c r="B204" s="217" t="s">
        <v>688</v>
      </c>
      <c r="C204" s="217" t="s">
        <v>296</v>
      </c>
      <c r="D204" s="217" t="s">
        <v>297</v>
      </c>
      <c r="E204" s="217" t="s">
        <v>630</v>
      </c>
      <c r="F204" s="218">
        <v>178270026.14924923</v>
      </c>
      <c r="G204" s="218">
        <v>0</v>
      </c>
      <c r="H204" s="218">
        <v>178270026.14924923</v>
      </c>
      <c r="I204" s="218">
        <v>0</v>
      </c>
      <c r="J204" s="218">
        <v>178270026.14924923</v>
      </c>
      <c r="K204" s="218">
        <v>-178270024.27500001</v>
      </c>
      <c r="L204" s="218">
        <v>1.8742492217570543</v>
      </c>
      <c r="M204" s="217" t="s">
        <v>297</v>
      </c>
      <c r="O204" s="233">
        <f t="shared" ref="O204:O206" si="171">F204+V204</f>
        <v>-154774180.10250077</v>
      </c>
      <c r="P204" s="233">
        <f t="shared" ref="P204:P206" si="172">H204+X204</f>
        <v>-154774180.10250077</v>
      </c>
      <c r="Q204" s="233">
        <f t="shared" ref="Q204:Q206" si="173">J204+Z204</f>
        <v>-154774180.10250077</v>
      </c>
      <c r="R204" s="233">
        <f t="shared" ref="R204:R206" si="174">L204+AB204</f>
        <v>1.8742492217570543</v>
      </c>
      <c r="S204" s="233"/>
      <c r="T204" s="220" t="s">
        <v>298</v>
      </c>
      <c r="U204" s="220" t="str">
        <f>E204</f>
        <v>CVDummy - A</v>
      </c>
      <c r="V204" s="218">
        <v>-333044206.25174999</v>
      </c>
      <c r="W204" s="220">
        <v>0</v>
      </c>
      <c r="X204" s="220">
        <v>-333044206.25174999</v>
      </c>
      <c r="Y204" s="220">
        <v>0</v>
      </c>
      <c r="Z204" s="220">
        <v>-333044206.25174999</v>
      </c>
      <c r="AA204" s="220">
        <v>333044206.25174999</v>
      </c>
      <c r="AB204" s="220">
        <v>0</v>
      </c>
      <c r="AD204" s="220" t="s">
        <v>298</v>
      </c>
      <c r="AH204" s="234">
        <f t="shared" ref="AH204:AH206" si="175">V204*1.575</f>
        <v>-524544624.84650624</v>
      </c>
      <c r="AI204" s="234">
        <f t="shared" ref="AI204:AI206" si="176">W204*1.575</f>
        <v>0</v>
      </c>
      <c r="AJ204" s="234">
        <f t="shared" ref="AJ204:AJ206" si="177">X204*1.575</f>
        <v>-524544624.84650624</v>
      </c>
      <c r="AK204" s="234">
        <f t="shared" ref="AK204:AK206" si="178">Y204*1.575</f>
        <v>0</v>
      </c>
      <c r="AL204" s="234">
        <f t="shared" ref="AL204:AL206" si="179">Z204*1.575</f>
        <v>-524544624.84650624</v>
      </c>
      <c r="AM204" s="234">
        <f t="shared" ref="AM204:AM206" si="180">AA204*1.575</f>
        <v>524544624.84650624</v>
      </c>
      <c r="AN204" s="234">
        <f t="shared" ref="AN204:AN206" si="181">AB204*1.575</f>
        <v>0</v>
      </c>
      <c r="AO204" s="234" t="e">
        <f t="shared" ref="AO204:AO206" si="182">M204*1.575</f>
        <v>#VALUE!</v>
      </c>
    </row>
    <row r="205" spans="2:41">
      <c r="B205" s="217" t="s">
        <v>688</v>
      </c>
      <c r="C205" s="217" t="s">
        <v>296</v>
      </c>
      <c r="D205" s="217" t="s">
        <v>297</v>
      </c>
      <c r="E205" s="217" t="s">
        <v>640</v>
      </c>
      <c r="F205" s="218">
        <v>0</v>
      </c>
      <c r="G205" s="218">
        <v>0</v>
      </c>
      <c r="H205" s="218">
        <v>0</v>
      </c>
      <c r="I205" s="218">
        <v>0</v>
      </c>
      <c r="J205" s="218">
        <v>0</v>
      </c>
      <c r="K205" s="218">
        <v>-1.575</v>
      </c>
      <c r="L205" s="218">
        <v>-1.575</v>
      </c>
      <c r="M205" s="217" t="s">
        <v>297</v>
      </c>
      <c r="O205" s="233">
        <f t="shared" si="171"/>
        <v>0</v>
      </c>
      <c r="P205" s="233">
        <f t="shared" si="172"/>
        <v>0</v>
      </c>
      <c r="Q205" s="233">
        <f t="shared" si="173"/>
        <v>0</v>
      </c>
      <c r="R205" s="233">
        <f t="shared" si="174"/>
        <v>-775151125.875</v>
      </c>
      <c r="S205" s="233"/>
      <c r="T205" s="220" t="s">
        <v>298</v>
      </c>
      <c r="U205" s="220" t="str">
        <f>E205</f>
        <v>Dummy - C</v>
      </c>
      <c r="V205" s="218">
        <v>0</v>
      </c>
      <c r="W205" s="220">
        <v>0</v>
      </c>
      <c r="X205" s="220">
        <v>0</v>
      </c>
      <c r="Y205" s="220">
        <v>0</v>
      </c>
      <c r="Z205" s="220">
        <v>0</v>
      </c>
      <c r="AA205" s="220">
        <v>-775151124.29999995</v>
      </c>
      <c r="AB205" s="220">
        <v>-775151124.29999995</v>
      </c>
      <c r="AD205" s="220" t="s">
        <v>298</v>
      </c>
      <c r="AH205" s="234">
        <f t="shared" si="175"/>
        <v>0</v>
      </c>
      <c r="AI205" s="234">
        <f t="shared" si="176"/>
        <v>0</v>
      </c>
      <c r="AJ205" s="234">
        <f t="shared" si="177"/>
        <v>0</v>
      </c>
      <c r="AK205" s="234">
        <f t="shared" si="178"/>
        <v>0</v>
      </c>
      <c r="AL205" s="234">
        <f t="shared" si="179"/>
        <v>0</v>
      </c>
      <c r="AM205" s="234">
        <f t="shared" si="180"/>
        <v>-1220863020.7724998</v>
      </c>
      <c r="AN205" s="234">
        <f t="shared" si="181"/>
        <v>-1220863020.7724998</v>
      </c>
      <c r="AO205" s="234" t="e">
        <f t="shared" si="182"/>
        <v>#VALUE!</v>
      </c>
    </row>
    <row r="206" spans="2:41">
      <c r="B206" s="217" t="s">
        <v>688</v>
      </c>
      <c r="C206" s="217" t="s">
        <v>296</v>
      </c>
      <c r="D206" s="217" t="s">
        <v>297</v>
      </c>
      <c r="E206" s="217" t="s">
        <v>288</v>
      </c>
      <c r="F206" s="218">
        <v>0</v>
      </c>
      <c r="G206" s="218">
        <v>0</v>
      </c>
      <c r="H206" s="218">
        <v>0</v>
      </c>
      <c r="I206" s="218">
        <v>0</v>
      </c>
      <c r="J206" s="218">
        <v>0</v>
      </c>
      <c r="K206" s="218">
        <v>0</v>
      </c>
      <c r="L206" s="218">
        <v>0</v>
      </c>
      <c r="M206" s="217" t="s">
        <v>297</v>
      </c>
      <c r="O206" s="233">
        <f t="shared" si="171"/>
        <v>0</v>
      </c>
      <c r="P206" s="233">
        <f t="shared" si="172"/>
        <v>0</v>
      </c>
      <c r="Q206" s="233">
        <f t="shared" si="173"/>
        <v>0</v>
      </c>
      <c r="R206" s="233">
        <f t="shared" si="174"/>
        <v>0</v>
      </c>
      <c r="S206" s="233"/>
      <c r="T206" s="220" t="s">
        <v>298</v>
      </c>
      <c r="U206" s="220" t="str">
        <f>E206</f>
        <v>Unidentified</v>
      </c>
      <c r="V206" s="218">
        <v>0</v>
      </c>
      <c r="W206" s="220">
        <v>0</v>
      </c>
      <c r="X206" s="220">
        <v>0</v>
      </c>
      <c r="Y206" s="220">
        <v>0</v>
      </c>
      <c r="Z206" s="220">
        <v>0</v>
      </c>
      <c r="AA206" s="220">
        <v>0</v>
      </c>
      <c r="AB206" s="220">
        <v>0</v>
      </c>
      <c r="AD206" s="220" t="s">
        <v>298</v>
      </c>
      <c r="AH206" s="234">
        <f t="shared" si="175"/>
        <v>0</v>
      </c>
      <c r="AI206" s="234">
        <f t="shared" si="176"/>
        <v>0</v>
      </c>
      <c r="AJ206" s="234">
        <f t="shared" si="177"/>
        <v>0</v>
      </c>
      <c r="AK206" s="234">
        <f t="shared" si="178"/>
        <v>0</v>
      </c>
      <c r="AL206" s="234">
        <f t="shared" si="179"/>
        <v>0</v>
      </c>
      <c r="AM206" s="234">
        <f t="shared" si="180"/>
        <v>0</v>
      </c>
      <c r="AN206" s="234">
        <f t="shared" si="181"/>
        <v>0</v>
      </c>
      <c r="AO206" s="234" t="e">
        <f t="shared" si="182"/>
        <v>#VALUE!</v>
      </c>
    </row>
    <row r="207" spans="2:41">
      <c r="M207" s="217"/>
      <c r="O207" s="233"/>
      <c r="P207" s="233"/>
      <c r="Q207" s="233"/>
      <c r="R207" s="233"/>
      <c r="S207" s="233"/>
      <c r="V207" s="218"/>
      <c r="AD207" s="220"/>
    </row>
    <row r="208" spans="2:41">
      <c r="B208" s="217" t="s">
        <v>688</v>
      </c>
      <c r="C208" s="217" t="s">
        <v>299</v>
      </c>
      <c r="D208" s="217" t="s">
        <v>300</v>
      </c>
      <c r="E208" s="217" t="s">
        <v>640</v>
      </c>
      <c r="F208" s="218">
        <v>3513008907.4499998</v>
      </c>
      <c r="G208" s="218">
        <v>0</v>
      </c>
      <c r="H208" s="218">
        <v>3513008907.4499998</v>
      </c>
      <c r="I208" s="218">
        <v>0</v>
      </c>
      <c r="J208" s="218">
        <v>3513008907.4499998</v>
      </c>
      <c r="K208" s="218">
        <v>-3513008907.4499998</v>
      </c>
      <c r="L208" s="218">
        <v>0</v>
      </c>
      <c r="M208" s="217" t="s">
        <v>300</v>
      </c>
      <c r="O208" s="233">
        <f t="shared" ref="O208" si="183">F208+V208</f>
        <v>3513008907.4499998</v>
      </c>
      <c r="P208" s="233">
        <f t="shared" ref="P208" si="184">H208+X208</f>
        <v>3513008907.4499998</v>
      </c>
      <c r="Q208" s="233">
        <f t="shared" ref="Q208" si="185">J208+Z208</f>
        <v>3513008907.4499998</v>
      </c>
      <c r="R208" s="233">
        <f t="shared" ref="R208" si="186">L208+AB208</f>
        <v>0</v>
      </c>
      <c r="S208" s="233"/>
      <c r="T208" s="220" t="s">
        <v>301</v>
      </c>
      <c r="U208" s="220" t="str">
        <f>E208</f>
        <v>Dummy - C</v>
      </c>
      <c r="V208" s="218">
        <v>0</v>
      </c>
      <c r="W208" s="220">
        <v>0</v>
      </c>
      <c r="X208" s="220">
        <v>0</v>
      </c>
      <c r="Y208" s="220">
        <v>0</v>
      </c>
      <c r="Z208" s="220">
        <v>0</v>
      </c>
      <c r="AA208" s="220">
        <v>0</v>
      </c>
      <c r="AB208" s="220">
        <v>0</v>
      </c>
      <c r="AD208" s="220" t="s">
        <v>302</v>
      </c>
      <c r="AH208" s="234">
        <f t="shared" ref="AH208" si="187">V208*1.575</f>
        <v>0</v>
      </c>
      <c r="AI208" s="234">
        <f t="shared" ref="AI208" si="188">W208*1.575</f>
        <v>0</v>
      </c>
      <c r="AJ208" s="234">
        <f t="shared" ref="AJ208" si="189">X208*1.575</f>
        <v>0</v>
      </c>
      <c r="AK208" s="234">
        <f t="shared" ref="AK208" si="190">Y208*1.575</f>
        <v>0</v>
      </c>
      <c r="AL208" s="234">
        <f t="shared" ref="AL208" si="191">Z208*1.575</f>
        <v>0</v>
      </c>
      <c r="AM208" s="234">
        <f t="shared" ref="AM208" si="192">AA208*1.575</f>
        <v>0</v>
      </c>
      <c r="AN208" s="234">
        <f t="shared" ref="AN208" si="193">AB208*1.575</f>
        <v>0</v>
      </c>
      <c r="AO208" s="234" t="e">
        <f t="shared" ref="AO208" si="194">M208*1.575</f>
        <v>#VALUE!</v>
      </c>
    </row>
    <row r="209" spans="2:33">
      <c r="F209" s="220"/>
      <c r="G209" s="220"/>
      <c r="H209" s="220"/>
      <c r="I209" s="220"/>
      <c r="J209" s="218">
        <f t="shared" ref="J209:J210" si="195">SUM(H209:I209)</f>
        <v>0</v>
      </c>
      <c r="O209" s="233"/>
      <c r="P209" s="233"/>
      <c r="Q209" s="233"/>
      <c r="R209" s="233"/>
      <c r="S209" s="233"/>
      <c r="T209" s="233"/>
      <c r="V209" s="233"/>
      <c r="W209" s="23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</row>
    <row r="210" spans="2:33">
      <c r="E210" s="217" t="s">
        <v>278</v>
      </c>
      <c r="F210" s="220">
        <f>SUM(F208:F208,F204,F200)</f>
        <v>3698150206.5742488</v>
      </c>
      <c r="G210" s="220"/>
      <c r="H210" s="220">
        <f>SUM(H200:H208)</f>
        <v>3698150206.5742493</v>
      </c>
      <c r="I210" s="220"/>
      <c r="J210" s="218">
        <f t="shared" si="195"/>
        <v>3698150206.5742493</v>
      </c>
      <c r="L210" s="218">
        <f>SUM(L200:L208)</f>
        <v>16742628594.074247</v>
      </c>
      <c r="O210" s="233"/>
      <c r="P210" s="233"/>
      <c r="Q210" s="233"/>
      <c r="R210" s="233">
        <f>R205-Q208</f>
        <v>-4288160033.3249998</v>
      </c>
      <c r="S210" s="233"/>
      <c r="T210" s="233"/>
      <c r="U210" s="233"/>
      <c r="V210" s="233"/>
      <c r="W210" s="233"/>
      <c r="X210" s="233"/>
      <c r="Y210" s="233"/>
      <c r="Z210" s="233"/>
      <c r="AA210" s="233"/>
      <c r="AB210" s="233"/>
      <c r="AC210" s="233"/>
      <c r="AD210" s="233"/>
      <c r="AE210" s="233"/>
      <c r="AF210" s="233"/>
      <c r="AG210" s="233"/>
    </row>
    <row r="211" spans="2:33">
      <c r="D211" s="236" t="s">
        <v>285</v>
      </c>
      <c r="E211" s="217" t="s">
        <v>303</v>
      </c>
      <c r="F211" s="220">
        <v>2348031878</v>
      </c>
      <c r="G211" s="220"/>
      <c r="H211" s="220"/>
      <c r="I211" s="220"/>
      <c r="J211" s="220"/>
      <c r="K211" s="220"/>
      <c r="L211" s="218">
        <v>9230720998</v>
      </c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</row>
    <row r="212" spans="2:33">
      <c r="E212" s="217" t="s">
        <v>109</v>
      </c>
      <c r="F212" s="220">
        <f>F210-SUM(F211:F211)</f>
        <v>1350118328.5742488</v>
      </c>
      <c r="G212" s="220"/>
      <c r="H212" s="220"/>
      <c r="I212" s="220"/>
      <c r="J212" s="220"/>
      <c r="K212" s="220"/>
      <c r="L212" s="220">
        <f>L210-L211</f>
        <v>7511907596.0742474</v>
      </c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  <c r="AA212" s="233"/>
      <c r="AB212" s="233"/>
      <c r="AC212" s="233"/>
      <c r="AD212" s="233"/>
      <c r="AE212" s="233"/>
      <c r="AF212" s="233"/>
      <c r="AG212" s="233"/>
    </row>
    <row r="213" spans="2:33">
      <c r="B213" s="238"/>
      <c r="C213" s="238"/>
      <c r="D213" s="238"/>
      <c r="E213" s="238"/>
      <c r="F213" s="239"/>
      <c r="G213" s="239"/>
      <c r="H213" s="239"/>
      <c r="I213" s="239"/>
      <c r="J213" s="239"/>
      <c r="K213" s="239"/>
      <c r="L213" s="239"/>
      <c r="M213" s="240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  <c r="AA213" s="233"/>
      <c r="AB213" s="233"/>
      <c r="AC213" s="233"/>
      <c r="AD213" s="233"/>
      <c r="AE213" s="233"/>
      <c r="AF213" s="233"/>
      <c r="AG213" s="233"/>
    </row>
    <row r="214" spans="2:33">
      <c r="F214" s="220"/>
      <c r="G214" s="220"/>
      <c r="H214" s="220"/>
      <c r="I214" s="220"/>
      <c r="J214" s="220"/>
      <c r="K214" s="220"/>
      <c r="L214" s="220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  <c r="AA214" s="233"/>
      <c r="AB214" s="233"/>
      <c r="AC214" s="233"/>
      <c r="AD214" s="233"/>
      <c r="AE214" s="233"/>
      <c r="AF214" s="233"/>
      <c r="AG214" s="233"/>
    </row>
    <row r="215" spans="2:33">
      <c r="B215" s="217" t="s">
        <v>465</v>
      </c>
      <c r="C215" s="217" t="s">
        <v>295</v>
      </c>
      <c r="D215" s="217" t="s">
        <v>259</v>
      </c>
      <c r="E215" s="217" t="s">
        <v>640</v>
      </c>
      <c r="F215" s="218">
        <v>41280890</v>
      </c>
      <c r="G215" s="218">
        <v>0</v>
      </c>
      <c r="H215" s="218">
        <f>SUM(F215:G215)</f>
        <v>41280890</v>
      </c>
      <c r="I215" s="218">
        <v>0</v>
      </c>
      <c r="J215" s="218">
        <f>SUM(H215:I215)</f>
        <v>41280890</v>
      </c>
      <c r="L215" s="218">
        <f t="shared" ref="L215:L218" si="196">SUM(J215:K215)</f>
        <v>41280890</v>
      </c>
      <c r="M215" s="217" t="s">
        <v>259</v>
      </c>
      <c r="O215" s="233">
        <f>F215+V215</f>
        <v>0</v>
      </c>
      <c r="P215" s="233">
        <f>H215+X215</f>
        <v>0</v>
      </c>
      <c r="Q215" s="233">
        <f>J215+Z215</f>
        <v>0</v>
      </c>
      <c r="R215" s="233">
        <f>L215+AB215</f>
        <v>0</v>
      </c>
      <c r="S215" s="233"/>
      <c r="T215" s="220" t="s">
        <v>258</v>
      </c>
      <c r="U215" s="220" t="str">
        <f>E215</f>
        <v>Dummy - C</v>
      </c>
      <c r="V215" s="218">
        <v>-41280890</v>
      </c>
      <c r="W215" s="218">
        <v>0</v>
      </c>
      <c r="X215" s="220">
        <f t="shared" ref="X215" si="197">SUM(V215:W215)</f>
        <v>-41280890</v>
      </c>
      <c r="Z215" s="220">
        <f>SUM(X215:Y215)</f>
        <v>-41280890</v>
      </c>
      <c r="AB215" s="220">
        <f t="shared" ref="AB215:AB217" si="198">SUM(Z215:AA215)</f>
        <v>-41280890</v>
      </c>
      <c r="AC215" s="217"/>
      <c r="AD215" s="220" t="s">
        <v>258</v>
      </c>
    </row>
    <row r="216" spans="2:33">
      <c r="B216" s="217" t="s">
        <v>465</v>
      </c>
      <c r="C216" s="217" t="s">
        <v>295</v>
      </c>
      <c r="D216" s="217" t="s">
        <v>259</v>
      </c>
      <c r="E216" s="217" t="s">
        <v>640</v>
      </c>
      <c r="K216" s="218">
        <v>17229939684</v>
      </c>
      <c r="L216" s="218">
        <f t="shared" si="196"/>
        <v>17229939684</v>
      </c>
      <c r="M216" s="217" t="s">
        <v>259</v>
      </c>
      <c r="O216" s="233">
        <f>F216+V216</f>
        <v>0</v>
      </c>
      <c r="P216" s="233">
        <f>H216+X216</f>
        <v>0</v>
      </c>
      <c r="Q216" s="233">
        <f>J216+Z216</f>
        <v>0</v>
      </c>
      <c r="R216" s="233">
        <f>L216+AB216</f>
        <v>-323936011.41500092</v>
      </c>
      <c r="S216" s="233"/>
      <c r="T216" s="220" t="s">
        <v>258</v>
      </c>
      <c r="U216" s="220" t="str">
        <f>E216</f>
        <v>Dummy - C</v>
      </c>
      <c r="V216" s="218"/>
      <c r="W216" s="218"/>
      <c r="AA216" s="220">
        <v>-17553875695.415001</v>
      </c>
      <c r="AB216" s="220">
        <f t="shared" si="198"/>
        <v>-17553875695.415001</v>
      </c>
      <c r="AC216" s="217"/>
      <c r="AD216" s="220" t="s">
        <v>258</v>
      </c>
    </row>
    <row r="217" spans="2:33">
      <c r="B217" s="217" t="s">
        <v>465</v>
      </c>
      <c r="C217" s="217" t="s">
        <v>295</v>
      </c>
      <c r="D217" s="217" t="s">
        <v>259</v>
      </c>
      <c r="E217" s="217" t="s">
        <v>688</v>
      </c>
      <c r="K217" s="218">
        <v>1360107001</v>
      </c>
      <c r="L217" s="218">
        <f t="shared" si="196"/>
        <v>1360107001</v>
      </c>
      <c r="M217" s="217" t="s">
        <v>259</v>
      </c>
      <c r="O217" s="233"/>
      <c r="P217" s="233"/>
      <c r="Q217" s="233"/>
      <c r="R217" s="233"/>
      <c r="S217" s="233"/>
      <c r="T217" s="220" t="s">
        <v>258</v>
      </c>
      <c r="U217" s="220" t="str">
        <f>E217</f>
        <v>Dummy - D</v>
      </c>
      <c r="V217" s="218"/>
      <c r="W217" s="218"/>
      <c r="AA217" s="220">
        <v>-1360107002</v>
      </c>
      <c r="AB217" s="220">
        <f t="shared" si="198"/>
        <v>-1360107002</v>
      </c>
      <c r="AC217" s="217"/>
      <c r="AD217" s="220" t="s">
        <v>258</v>
      </c>
    </row>
    <row r="218" spans="2:33">
      <c r="B218" s="217" t="s">
        <v>465</v>
      </c>
      <c r="C218" s="217" t="s">
        <v>295</v>
      </c>
      <c r="D218" s="217" t="s">
        <v>259</v>
      </c>
      <c r="E218" s="217" t="s">
        <v>555</v>
      </c>
      <c r="K218" s="218">
        <v>1503438001.6399999</v>
      </c>
      <c r="L218" s="218">
        <f t="shared" si="196"/>
        <v>1503438001.6399999</v>
      </c>
      <c r="M218" s="217" t="s">
        <v>259</v>
      </c>
      <c r="O218" s="233"/>
      <c r="P218" s="233"/>
      <c r="Q218" s="233"/>
      <c r="R218" s="233"/>
      <c r="S218" s="233"/>
      <c r="V218" s="218"/>
      <c r="W218" s="218"/>
      <c r="AC218" s="217"/>
      <c r="AD218" s="220"/>
    </row>
    <row r="219" spans="2:33">
      <c r="M219" s="217"/>
      <c r="O219" s="233"/>
      <c r="P219" s="233"/>
      <c r="Q219" s="233"/>
      <c r="R219" s="233"/>
      <c r="S219" s="233"/>
      <c r="V219" s="218"/>
      <c r="W219" s="218"/>
      <c r="AC219" s="217"/>
      <c r="AD219" s="220"/>
    </row>
    <row r="220" spans="2:33">
      <c r="B220" s="217" t="s">
        <v>465</v>
      </c>
      <c r="C220" s="217" t="s">
        <v>296</v>
      </c>
      <c r="D220" s="217" t="s">
        <v>297</v>
      </c>
      <c r="E220" s="217" t="s">
        <v>630</v>
      </c>
      <c r="F220" s="218">
        <v>256497981.79000002</v>
      </c>
      <c r="G220" s="218">
        <v>0</v>
      </c>
      <c r="H220" s="218">
        <f t="shared" ref="H220" si="199">SUM(F220:G220)</f>
        <v>256497981.79000002</v>
      </c>
      <c r="I220" s="218">
        <v>0</v>
      </c>
      <c r="J220" s="218">
        <f t="shared" ref="J220" si="200">SUM(H220:I220)</f>
        <v>256497981.79000002</v>
      </c>
      <c r="K220" s="218">
        <v>0</v>
      </c>
      <c r="L220" s="218">
        <f t="shared" ref="L220" si="201">SUM(J220:K220)</f>
        <v>256497981.79000002</v>
      </c>
      <c r="M220" s="217" t="s">
        <v>297</v>
      </c>
      <c r="O220" s="233">
        <f t="shared" ref="O220" si="202">F220+V220</f>
        <v>224140645.01000002</v>
      </c>
      <c r="P220" s="233">
        <f t="shared" ref="P220" si="203">H220+X220</f>
        <v>0</v>
      </c>
      <c r="Q220" s="233">
        <f t="shared" ref="Q220" si="204">J220+Z220</f>
        <v>0</v>
      </c>
      <c r="R220" s="233">
        <f t="shared" ref="R220" si="205">L220+AB220</f>
        <v>0</v>
      </c>
      <c r="S220" s="233"/>
      <c r="T220" s="220" t="s">
        <v>298</v>
      </c>
      <c r="U220" s="220" t="str">
        <f>E220</f>
        <v>CVDummy - A</v>
      </c>
      <c r="V220" s="218">
        <v>-32357336.780000001</v>
      </c>
      <c r="W220" s="220">
        <v>-224140645.01000002</v>
      </c>
      <c r="X220" s="220">
        <f t="shared" ref="X220" si="206">SUM(V220:W220)</f>
        <v>-256497981.79000002</v>
      </c>
      <c r="Y220" s="220">
        <v>0</v>
      </c>
      <c r="Z220" s="220">
        <f t="shared" ref="Z220" si="207">SUM(X220:Y220)</f>
        <v>-256497981.79000002</v>
      </c>
      <c r="AB220" s="220">
        <f t="shared" ref="AB220" si="208">SUM(Z220:AA220)</f>
        <v>-256497981.79000002</v>
      </c>
      <c r="AD220" s="220" t="s">
        <v>298</v>
      </c>
    </row>
    <row r="221" spans="2:33">
      <c r="M221" s="217"/>
      <c r="O221" s="233"/>
      <c r="P221" s="233"/>
      <c r="Q221" s="233"/>
      <c r="R221" s="233"/>
      <c r="S221" s="233"/>
      <c r="V221" s="218"/>
      <c r="AD221" s="220"/>
    </row>
    <row r="222" spans="2:33">
      <c r="B222" s="217" t="s">
        <v>465</v>
      </c>
      <c r="C222" s="217" t="s">
        <v>299</v>
      </c>
      <c r="D222" s="217" t="s">
        <v>300</v>
      </c>
      <c r="H222" s="218">
        <f t="shared" ref="H222" si="209">SUM(F222:G222)</f>
        <v>0</v>
      </c>
      <c r="I222" s="218">
        <v>0</v>
      </c>
      <c r="J222" s="218">
        <f t="shared" ref="J222:J224" si="210">SUM(H222:I222)</f>
        <v>0</v>
      </c>
      <c r="K222" s="218">
        <v>0</v>
      </c>
      <c r="L222" s="218">
        <f t="shared" ref="L222" si="211">SUM(J222:K222)</f>
        <v>0</v>
      </c>
      <c r="M222" s="217" t="s">
        <v>300</v>
      </c>
      <c r="O222" s="233">
        <f t="shared" ref="O222" si="212">F222+V222</f>
        <v>0</v>
      </c>
      <c r="P222" s="233">
        <f t="shared" ref="P222" si="213">H222+X222</f>
        <v>0</v>
      </c>
      <c r="Q222" s="233">
        <f t="shared" ref="Q222" si="214">J222+Z222</f>
        <v>0</v>
      </c>
      <c r="R222" s="233">
        <f t="shared" ref="R222" si="215">L222+AB222</f>
        <v>0</v>
      </c>
      <c r="S222" s="233"/>
      <c r="T222" s="220" t="s">
        <v>302</v>
      </c>
      <c r="U222" s="220">
        <f>E222</f>
        <v>0</v>
      </c>
      <c r="V222" s="218">
        <v>0</v>
      </c>
      <c r="W222" s="220">
        <v>0</v>
      </c>
      <c r="X222" s="220">
        <f t="shared" ref="X222" si="216">SUM(V222:W222)</f>
        <v>0</v>
      </c>
      <c r="Y222" s="220">
        <v>0</v>
      </c>
      <c r="Z222" s="220">
        <f t="shared" ref="Z222" si="217">SUM(X222:Y222)</f>
        <v>0</v>
      </c>
      <c r="AB222" s="220">
        <f t="shared" ref="AB222" si="218">SUM(Z222:AA222)</f>
        <v>0</v>
      </c>
      <c r="AD222" s="220" t="s">
        <v>302</v>
      </c>
    </row>
    <row r="223" spans="2:33">
      <c r="F223" s="220"/>
      <c r="G223" s="220"/>
      <c r="H223" s="220"/>
      <c r="I223" s="220"/>
      <c r="J223" s="218">
        <f t="shared" si="210"/>
        <v>0</v>
      </c>
      <c r="O223" s="233"/>
      <c r="P223" s="233"/>
      <c r="Q223" s="233"/>
      <c r="R223" s="233"/>
      <c r="S223" s="233"/>
      <c r="T223" s="233"/>
      <c r="V223" s="233"/>
      <c r="W223" s="233"/>
      <c r="X223" s="233"/>
      <c r="Y223" s="233"/>
      <c r="Z223" s="233"/>
      <c r="AA223" s="233"/>
      <c r="AB223" s="233"/>
      <c r="AC223" s="233"/>
      <c r="AD223" s="233"/>
      <c r="AE223" s="233"/>
      <c r="AF223" s="233"/>
      <c r="AG223" s="233"/>
    </row>
    <row r="224" spans="2:33">
      <c r="E224" s="217" t="s">
        <v>278</v>
      </c>
      <c r="F224" s="220">
        <f>SUM(F222:F222,F220,F215)</f>
        <v>297778871.79000002</v>
      </c>
      <c r="G224" s="220"/>
      <c r="H224" s="220">
        <f>SUM(H215:H222)</f>
        <v>297778871.79000002</v>
      </c>
      <c r="I224" s="220"/>
      <c r="J224" s="218">
        <f t="shared" si="210"/>
        <v>297778871.79000002</v>
      </c>
      <c r="L224" s="218">
        <f>SUM(L215:L222)</f>
        <v>20391263558.43</v>
      </c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  <c r="AA224" s="233"/>
      <c r="AB224" s="233"/>
      <c r="AC224" s="233"/>
      <c r="AD224" s="233"/>
      <c r="AE224" s="233"/>
      <c r="AF224" s="233"/>
      <c r="AG224" s="233"/>
    </row>
    <row r="225" spans="4:33">
      <c r="D225" s="236" t="s">
        <v>285</v>
      </c>
      <c r="E225" s="217" t="s">
        <v>303</v>
      </c>
      <c r="F225" s="220">
        <v>297778872</v>
      </c>
      <c r="G225" s="220"/>
      <c r="H225" s="220"/>
      <c r="I225" s="220"/>
      <c r="J225" s="220"/>
      <c r="K225" s="220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  <c r="AA225" s="233"/>
      <c r="AB225" s="233"/>
      <c r="AC225" s="233"/>
      <c r="AD225" s="233"/>
      <c r="AE225" s="233"/>
      <c r="AF225" s="233"/>
      <c r="AG225" s="233"/>
    </row>
    <row r="226" spans="4:33">
      <c r="E226" s="217" t="s">
        <v>109</v>
      </c>
      <c r="F226" s="220">
        <f>F224-SUM(F225:F225)</f>
        <v>-0.20999997854232788</v>
      </c>
      <c r="G226" s="220"/>
      <c r="H226" s="220"/>
      <c r="I226" s="220"/>
      <c r="J226" s="220"/>
      <c r="K226" s="220"/>
      <c r="L226" s="220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  <c r="AA226" s="233"/>
      <c r="AB226" s="233"/>
      <c r="AC226" s="233"/>
      <c r="AD226" s="233"/>
      <c r="AE226" s="233"/>
      <c r="AF226" s="233"/>
      <c r="AG226" s="23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9D87-44E3-4981-ABA4-62FF542D03E5}">
  <dimension ref="A1:L195"/>
  <sheetViews>
    <sheetView workbookViewId="0"/>
  </sheetViews>
  <sheetFormatPr defaultColWidth="14.453125" defaultRowHeight="12.5"/>
  <cols>
    <col min="1" max="1" width="4.453125" style="206" customWidth="1"/>
    <col min="2" max="2" width="26" style="206" customWidth="1"/>
    <col min="3" max="3" width="14.453125" style="206"/>
    <col min="4" max="4" width="11.81640625" style="206" customWidth="1"/>
    <col min="5" max="5" width="14.453125" style="206"/>
    <col min="6" max="6" width="16.453125" style="206" hidden="1" customWidth="1"/>
    <col min="7" max="7" width="28.26953125" style="206" hidden="1" customWidth="1"/>
    <col min="8" max="8" width="49.7265625" style="206" customWidth="1"/>
    <col min="9" max="9" width="20.26953125" style="206" customWidth="1"/>
    <col min="10" max="10" width="21.26953125" style="206" customWidth="1"/>
    <col min="11" max="11" width="16.453125" style="206" customWidth="1"/>
    <col min="12" max="12" width="19" style="206" bestFit="1" customWidth="1"/>
    <col min="13" max="16384" width="14.453125" style="206"/>
  </cols>
  <sheetData>
    <row r="1" spans="1:12" ht="15" customHeight="1"/>
    <row r="2" spans="1:12" ht="14.5">
      <c r="F2" s="208"/>
      <c r="G2" s="207" t="s">
        <v>228</v>
      </c>
      <c r="H2" s="207" t="s">
        <v>229</v>
      </c>
      <c r="I2" s="208">
        <f>SUMIFS(I5:I1010,D5:D1010,"Adjusting")</f>
        <v>0</v>
      </c>
      <c r="J2" s="208">
        <f>SUMIFS(J5:J1010,E5:E1010,"Adjusting")</f>
        <v>0</v>
      </c>
      <c r="K2" s="208"/>
      <c r="L2" s="208"/>
    </row>
    <row r="3" spans="1:12" ht="14.5">
      <c r="D3" s="209" t="s">
        <v>230</v>
      </c>
      <c r="I3" s="214"/>
      <c r="J3" s="214"/>
    </row>
    <row r="4" spans="1:12" ht="14.5">
      <c r="D4" s="209"/>
      <c r="I4" s="214">
        <f>SUM(I79:I164)</f>
        <v>32425565271.75</v>
      </c>
      <c r="J4" s="214">
        <f>SUM(J79:J164)</f>
        <v>-32425565271.75</v>
      </c>
    </row>
    <row r="5" spans="1:12" s="242" customFormat="1" ht="14.5">
      <c r="B5" s="243" t="s">
        <v>231</v>
      </c>
      <c r="C5" s="243"/>
      <c r="D5" s="243" t="s">
        <v>232</v>
      </c>
      <c r="E5" s="243" t="s">
        <v>233</v>
      </c>
      <c r="F5" s="243" t="s">
        <v>304</v>
      </c>
      <c r="G5" s="243" t="s">
        <v>4</v>
      </c>
      <c r="H5" s="243" t="s">
        <v>234</v>
      </c>
      <c r="I5" s="243" t="s">
        <v>235</v>
      </c>
      <c r="J5" s="243" t="s">
        <v>236</v>
      </c>
      <c r="K5" s="243" t="s">
        <v>305</v>
      </c>
      <c r="L5" s="243" t="s">
        <v>306</v>
      </c>
    </row>
    <row r="6" spans="1:12" ht="14.5">
      <c r="A6" s="206" t="s">
        <v>250</v>
      </c>
      <c r="B6" s="244" t="s">
        <v>673</v>
      </c>
      <c r="C6" s="244" t="s">
        <v>307</v>
      </c>
      <c r="D6" s="244" t="s">
        <v>640</v>
      </c>
      <c r="E6" s="244" t="s">
        <v>811</v>
      </c>
      <c r="F6" s="206" t="s">
        <v>308</v>
      </c>
      <c r="G6" s="206" t="s">
        <v>674</v>
      </c>
      <c r="H6" s="206" t="s">
        <v>309</v>
      </c>
      <c r="I6" s="212">
        <v>322108461.67500001</v>
      </c>
      <c r="J6" s="212" t="s">
        <v>310</v>
      </c>
    </row>
    <row r="7" spans="1:12" ht="14.5">
      <c r="A7" s="206" t="s">
        <v>250</v>
      </c>
      <c r="C7" s="244" t="s">
        <v>307</v>
      </c>
      <c r="D7" s="244" t="s">
        <v>640</v>
      </c>
      <c r="E7" s="244" t="s">
        <v>811</v>
      </c>
      <c r="F7" s="206" t="s">
        <v>308</v>
      </c>
      <c r="H7" s="206" t="s">
        <v>297</v>
      </c>
      <c r="I7" s="212" t="s">
        <v>310</v>
      </c>
      <c r="J7" s="212">
        <v>-322108461.67500001</v>
      </c>
    </row>
    <row r="8" spans="1:12" ht="14.5">
      <c r="H8" s="212"/>
      <c r="I8" s="212" t="s">
        <v>310</v>
      </c>
      <c r="J8" s="212" t="s">
        <v>310</v>
      </c>
    </row>
    <row r="9" spans="1:12" ht="14.5">
      <c r="A9" s="206" t="s">
        <v>250</v>
      </c>
      <c r="B9" s="244" t="s">
        <v>675</v>
      </c>
      <c r="C9" s="244" t="s">
        <v>307</v>
      </c>
      <c r="D9" s="244" t="s">
        <v>640</v>
      </c>
      <c r="E9" s="244" t="s">
        <v>811</v>
      </c>
      <c r="F9" s="206" t="s">
        <v>308</v>
      </c>
      <c r="G9" s="206" t="s">
        <v>674</v>
      </c>
      <c r="H9" s="212" t="s">
        <v>309</v>
      </c>
      <c r="I9" s="212">
        <v>21462349018.950001</v>
      </c>
      <c r="J9" s="212" t="s">
        <v>310</v>
      </c>
    </row>
    <row r="10" spans="1:12" ht="14.5">
      <c r="A10" s="206" t="s">
        <v>250</v>
      </c>
      <c r="C10" s="244" t="s">
        <v>307</v>
      </c>
      <c r="D10" s="244" t="s">
        <v>640</v>
      </c>
      <c r="E10" s="244" t="s">
        <v>811</v>
      </c>
      <c r="F10" s="206" t="s">
        <v>308</v>
      </c>
      <c r="H10" s="206" t="s">
        <v>297</v>
      </c>
      <c r="I10" s="212" t="s">
        <v>310</v>
      </c>
      <c r="J10" s="212">
        <v>-21462349018.950001</v>
      </c>
      <c r="L10" s="206" t="s">
        <v>312</v>
      </c>
    </row>
    <row r="11" spans="1:12" ht="14.5">
      <c r="H11" s="212"/>
      <c r="I11" s="212" t="s">
        <v>310</v>
      </c>
      <c r="J11" s="212" t="s">
        <v>310</v>
      </c>
    </row>
    <row r="12" spans="1:12" ht="14.5">
      <c r="A12" s="206" t="s">
        <v>250</v>
      </c>
      <c r="B12" s="206" t="s">
        <v>676</v>
      </c>
      <c r="C12" s="244" t="s">
        <v>307</v>
      </c>
      <c r="D12" s="244" t="s">
        <v>640</v>
      </c>
      <c r="E12" s="244" t="s">
        <v>811</v>
      </c>
      <c r="F12" s="206" t="s">
        <v>308</v>
      </c>
      <c r="G12" s="206" t="s">
        <v>674</v>
      </c>
      <c r="H12" s="212" t="s">
        <v>309</v>
      </c>
      <c r="I12" s="212">
        <v>0</v>
      </c>
      <c r="J12" s="212" t="s">
        <v>310</v>
      </c>
    </row>
    <row r="13" spans="1:12" ht="14.5">
      <c r="A13" s="206" t="s">
        <v>250</v>
      </c>
      <c r="C13" s="244" t="s">
        <v>307</v>
      </c>
      <c r="D13" s="244" t="s">
        <v>640</v>
      </c>
      <c r="E13" s="244" t="s">
        <v>811</v>
      </c>
      <c r="F13" s="206" t="s">
        <v>308</v>
      </c>
      <c r="H13" s="206" t="s">
        <v>311</v>
      </c>
      <c r="I13" s="212" t="s">
        <v>310</v>
      </c>
      <c r="J13" s="212">
        <v>0</v>
      </c>
    </row>
    <row r="14" spans="1:12" ht="14.5">
      <c r="H14" s="212"/>
      <c r="I14" s="212" t="s">
        <v>310</v>
      </c>
      <c r="J14" s="212" t="s">
        <v>310</v>
      </c>
    </row>
    <row r="15" spans="1:12" ht="14.5">
      <c r="A15" s="206" t="s">
        <v>250</v>
      </c>
      <c r="B15" s="206" t="s">
        <v>677</v>
      </c>
      <c r="C15" s="244" t="s">
        <v>307</v>
      </c>
      <c r="D15" s="244" t="s">
        <v>640</v>
      </c>
      <c r="E15" s="244" t="s">
        <v>811</v>
      </c>
      <c r="F15" s="206" t="s">
        <v>308</v>
      </c>
      <c r="G15" s="206" t="s">
        <v>674</v>
      </c>
      <c r="H15" s="212" t="s">
        <v>309</v>
      </c>
      <c r="I15" s="212">
        <v>7560000000</v>
      </c>
      <c r="J15" s="212" t="s">
        <v>310</v>
      </c>
    </row>
    <row r="16" spans="1:12" ht="14.5">
      <c r="A16" s="206" t="s">
        <v>250</v>
      </c>
      <c r="C16" s="244" t="s">
        <v>307</v>
      </c>
      <c r="D16" s="244" t="s">
        <v>640</v>
      </c>
      <c r="E16" s="244" t="s">
        <v>811</v>
      </c>
      <c r="F16" s="206" t="s">
        <v>308</v>
      </c>
      <c r="H16" s="206" t="s">
        <v>311</v>
      </c>
      <c r="I16" s="212" t="s">
        <v>310</v>
      </c>
      <c r="J16" s="212">
        <v>-7560000000</v>
      </c>
      <c r="L16" s="245"/>
    </row>
    <row r="17" spans="1:12" ht="14.5">
      <c r="H17" s="212"/>
      <c r="I17" s="212" t="s">
        <v>310</v>
      </c>
      <c r="J17" s="212" t="s">
        <v>310</v>
      </c>
    </row>
    <row r="18" spans="1:12" ht="14.5">
      <c r="A18" s="206" t="s">
        <v>250</v>
      </c>
      <c r="B18" s="206" t="s">
        <v>678</v>
      </c>
      <c r="C18" s="244" t="s">
        <v>307</v>
      </c>
      <c r="D18" s="244" t="s">
        <v>640</v>
      </c>
      <c r="E18" s="244" t="s">
        <v>630</v>
      </c>
      <c r="F18" s="206" t="s">
        <v>308</v>
      </c>
      <c r="G18" s="206" t="s">
        <v>674</v>
      </c>
      <c r="H18" s="212" t="s">
        <v>309</v>
      </c>
      <c r="I18" s="212">
        <v>3077191252.7999997</v>
      </c>
      <c r="J18" s="212" t="s">
        <v>310</v>
      </c>
      <c r="L18" s="206" t="s">
        <v>313</v>
      </c>
    </row>
    <row r="19" spans="1:12" ht="14.5">
      <c r="A19" s="206" t="s">
        <v>250</v>
      </c>
      <c r="C19" s="244" t="s">
        <v>307</v>
      </c>
      <c r="D19" s="244" t="s">
        <v>640</v>
      </c>
      <c r="E19" s="244" t="s">
        <v>630</v>
      </c>
      <c r="F19" s="206" t="s">
        <v>308</v>
      </c>
      <c r="H19" s="206" t="s">
        <v>311</v>
      </c>
      <c r="I19" s="212" t="s">
        <v>310</v>
      </c>
      <c r="J19" s="212">
        <v>-3077191252.7999997</v>
      </c>
      <c r="L19" s="245"/>
    </row>
    <row r="20" spans="1:12" ht="14.5">
      <c r="H20" s="212"/>
      <c r="I20" s="212" t="s">
        <v>310</v>
      </c>
      <c r="J20" s="212" t="s">
        <v>310</v>
      </c>
    </row>
    <row r="21" spans="1:12" ht="14.5">
      <c r="D21" s="244" t="s">
        <v>640</v>
      </c>
      <c r="E21" s="244" t="s">
        <v>630</v>
      </c>
      <c r="H21" s="212" t="s">
        <v>309</v>
      </c>
      <c r="I21" s="212">
        <v>760802691.60000002</v>
      </c>
      <c r="J21" s="212" t="s">
        <v>310</v>
      </c>
      <c r="L21" s="206" t="s">
        <v>314</v>
      </c>
    </row>
    <row r="22" spans="1:12" ht="14.5">
      <c r="D22" s="244" t="s">
        <v>640</v>
      </c>
      <c r="E22" s="244" t="s">
        <v>630</v>
      </c>
      <c r="H22" s="212" t="s">
        <v>297</v>
      </c>
      <c r="I22" s="212" t="s">
        <v>310</v>
      </c>
      <c r="J22" s="212">
        <v>-760802691.60000002</v>
      </c>
    </row>
    <row r="23" spans="1:12" ht="14.5">
      <c r="H23" s="212"/>
      <c r="I23" s="212" t="s">
        <v>310</v>
      </c>
      <c r="J23" s="212" t="s">
        <v>310</v>
      </c>
    </row>
    <row r="24" spans="1:12" ht="14.5">
      <c r="D24" s="206" t="s">
        <v>640</v>
      </c>
      <c r="E24" s="206" t="s">
        <v>630</v>
      </c>
      <c r="H24" s="212" t="s">
        <v>596</v>
      </c>
      <c r="I24" s="212">
        <v>2289691252.7999997</v>
      </c>
      <c r="J24" s="212" t="s">
        <v>310</v>
      </c>
    </row>
    <row r="25" spans="1:12" ht="14.5">
      <c r="D25" s="206" t="s">
        <v>640</v>
      </c>
      <c r="E25" s="206" t="s">
        <v>630</v>
      </c>
      <c r="H25" s="212" t="s">
        <v>597</v>
      </c>
      <c r="I25" s="212" t="s">
        <v>310</v>
      </c>
      <c r="J25" s="212">
        <v>-2289691252.7999997</v>
      </c>
    </row>
    <row r="26" spans="1:12" ht="14.5">
      <c r="H26" s="212"/>
      <c r="I26" s="212" t="s">
        <v>310</v>
      </c>
      <c r="J26" s="212" t="s">
        <v>310</v>
      </c>
    </row>
    <row r="27" spans="1:12" ht="14.5">
      <c r="D27" s="206" t="s">
        <v>640</v>
      </c>
      <c r="E27" s="206" t="s">
        <v>630</v>
      </c>
      <c r="H27" s="212" t="s">
        <v>297</v>
      </c>
      <c r="I27" s="212">
        <v>5233961599.6499996</v>
      </c>
      <c r="J27" s="212" t="s">
        <v>310</v>
      </c>
    </row>
    <row r="28" spans="1:12" ht="14.5">
      <c r="D28" s="206" t="s">
        <v>640</v>
      </c>
      <c r="E28" s="206" t="s">
        <v>630</v>
      </c>
      <c r="H28" s="212" t="s">
        <v>309</v>
      </c>
      <c r="I28" s="212" t="s">
        <v>310</v>
      </c>
      <c r="J28" s="212">
        <v>-5233961599.6499996</v>
      </c>
    </row>
    <row r="29" spans="1:12" ht="14.5">
      <c r="H29" s="212"/>
      <c r="I29" s="212" t="s">
        <v>310</v>
      </c>
      <c r="J29" s="212" t="s">
        <v>310</v>
      </c>
    </row>
    <row r="30" spans="1:12" ht="14.5">
      <c r="D30" s="206" t="s">
        <v>640</v>
      </c>
      <c r="E30" s="206" t="s">
        <v>630</v>
      </c>
      <c r="H30" s="212" t="s">
        <v>309</v>
      </c>
      <c r="I30" s="212">
        <v>5233961599.6499996</v>
      </c>
      <c r="J30" s="212" t="s">
        <v>310</v>
      </c>
    </row>
    <row r="31" spans="1:12" ht="14.5">
      <c r="D31" s="206" t="s">
        <v>640</v>
      </c>
      <c r="E31" s="206" t="s">
        <v>630</v>
      </c>
      <c r="H31" s="212" t="s">
        <v>297</v>
      </c>
      <c r="I31" s="212" t="s">
        <v>310</v>
      </c>
      <c r="J31" s="212">
        <v>-5233961599.6499996</v>
      </c>
    </row>
    <row r="32" spans="1:12" ht="14.5">
      <c r="H32" s="212"/>
      <c r="I32" s="212" t="s">
        <v>310</v>
      </c>
      <c r="J32" s="212" t="s">
        <v>310</v>
      </c>
    </row>
    <row r="33" spans="1:12" ht="14.5">
      <c r="A33" s="206" t="s">
        <v>250</v>
      </c>
      <c r="B33" s="206" t="s">
        <v>679</v>
      </c>
      <c r="C33" s="244" t="s">
        <v>307</v>
      </c>
      <c r="D33" s="244" t="s">
        <v>640</v>
      </c>
      <c r="E33" s="244" t="s">
        <v>465</v>
      </c>
      <c r="F33" s="206" t="s">
        <v>308</v>
      </c>
      <c r="G33" s="206" t="s">
        <v>674</v>
      </c>
      <c r="H33" s="212" t="s">
        <v>315</v>
      </c>
      <c r="I33" s="212">
        <v>3531586108.0499997</v>
      </c>
      <c r="J33" s="212" t="s">
        <v>310</v>
      </c>
      <c r="L33" s="206" t="s">
        <v>680</v>
      </c>
    </row>
    <row r="34" spans="1:12" ht="14.5">
      <c r="A34" s="206" t="s">
        <v>250</v>
      </c>
      <c r="C34" s="244" t="s">
        <v>307</v>
      </c>
      <c r="D34" s="244" t="s">
        <v>640</v>
      </c>
      <c r="E34" s="244" t="s">
        <v>465</v>
      </c>
      <c r="F34" s="206" t="s">
        <v>308</v>
      </c>
      <c r="H34" s="206" t="s">
        <v>258</v>
      </c>
      <c r="I34" s="212" t="s">
        <v>310</v>
      </c>
      <c r="J34" s="212">
        <v>-3531586108.0499997</v>
      </c>
      <c r="L34" s="245"/>
    </row>
    <row r="35" spans="1:12" ht="14.5">
      <c r="H35" s="212"/>
      <c r="I35" s="212" t="s">
        <v>310</v>
      </c>
      <c r="J35" s="212" t="s">
        <v>310</v>
      </c>
    </row>
    <row r="36" spans="1:12" ht="14.5">
      <c r="A36" s="206" t="s">
        <v>250</v>
      </c>
      <c r="B36" s="206" t="s">
        <v>681</v>
      </c>
      <c r="C36" s="244" t="s">
        <v>307</v>
      </c>
      <c r="D36" s="244" t="s">
        <v>640</v>
      </c>
      <c r="E36" s="244" t="s">
        <v>465</v>
      </c>
      <c r="F36" s="206" t="s">
        <v>308</v>
      </c>
      <c r="G36" s="206" t="s">
        <v>674</v>
      </c>
      <c r="H36" s="212" t="s">
        <v>315</v>
      </c>
      <c r="I36" s="212">
        <v>11242698470.324999</v>
      </c>
      <c r="J36" s="212" t="s">
        <v>310</v>
      </c>
      <c r="L36" s="206" t="s">
        <v>791</v>
      </c>
    </row>
    <row r="37" spans="1:12" ht="14.5">
      <c r="A37" s="206" t="s">
        <v>250</v>
      </c>
      <c r="C37" s="244" t="s">
        <v>307</v>
      </c>
      <c r="D37" s="244" t="s">
        <v>640</v>
      </c>
      <c r="E37" s="244" t="s">
        <v>465</v>
      </c>
      <c r="F37" s="206" t="s">
        <v>308</v>
      </c>
      <c r="H37" s="206" t="s">
        <v>316</v>
      </c>
      <c r="I37" s="212" t="s">
        <v>310</v>
      </c>
      <c r="J37" s="212">
        <v>-11242698470.324999</v>
      </c>
      <c r="L37" s="245"/>
    </row>
    <row r="38" spans="1:12" ht="14.5">
      <c r="H38" s="212"/>
      <c r="I38" s="212" t="s">
        <v>310</v>
      </c>
      <c r="J38" s="212" t="s">
        <v>310</v>
      </c>
    </row>
    <row r="39" spans="1:12" ht="14.5">
      <c r="A39" s="206" t="s">
        <v>250</v>
      </c>
      <c r="B39" s="206" t="s">
        <v>682</v>
      </c>
      <c r="C39" s="244" t="s">
        <v>307</v>
      </c>
      <c r="D39" s="244" t="s">
        <v>640</v>
      </c>
      <c r="E39" s="244" t="s">
        <v>688</v>
      </c>
      <c r="F39" s="206" t="s">
        <v>308</v>
      </c>
      <c r="G39" s="206" t="s">
        <v>674</v>
      </c>
      <c r="H39" s="212" t="s">
        <v>297</v>
      </c>
      <c r="I39" s="212">
        <v>881620045.42499995</v>
      </c>
      <c r="J39" s="212" t="s">
        <v>310</v>
      </c>
    </row>
    <row r="40" spans="1:12" ht="14.5">
      <c r="A40" s="206" t="s">
        <v>250</v>
      </c>
      <c r="C40" s="244" t="s">
        <v>307</v>
      </c>
      <c r="D40" s="244" t="s">
        <v>640</v>
      </c>
      <c r="E40" s="244" t="s">
        <v>688</v>
      </c>
      <c r="F40" s="206" t="s">
        <v>308</v>
      </c>
      <c r="H40" s="206" t="s">
        <v>1143</v>
      </c>
      <c r="I40" s="212" t="s">
        <v>310</v>
      </c>
      <c r="J40" s="212">
        <v>-881620045.42499995</v>
      </c>
      <c r="L40" s="245" t="s">
        <v>318</v>
      </c>
    </row>
    <row r="41" spans="1:12" ht="14.5">
      <c r="H41" s="212"/>
      <c r="I41" s="212" t="s">
        <v>310</v>
      </c>
      <c r="J41" s="212" t="s">
        <v>310</v>
      </c>
    </row>
    <row r="42" spans="1:12" ht="14.5">
      <c r="B42" s="206" t="s">
        <v>683</v>
      </c>
      <c r="C42" s="244" t="s">
        <v>307</v>
      </c>
      <c r="D42" s="244" t="s">
        <v>640</v>
      </c>
      <c r="E42" s="244" t="s">
        <v>688</v>
      </c>
      <c r="F42" s="206" t="s">
        <v>308</v>
      </c>
      <c r="G42" s="206" t="s">
        <v>674</v>
      </c>
      <c r="H42" s="212" t="s">
        <v>319</v>
      </c>
      <c r="I42" s="212">
        <v>424833845.67229611</v>
      </c>
      <c r="J42" s="212" t="s">
        <v>310</v>
      </c>
    </row>
    <row r="43" spans="1:12" ht="14.5">
      <c r="C43" s="244" t="s">
        <v>307</v>
      </c>
      <c r="D43" s="244" t="s">
        <v>640</v>
      </c>
      <c r="E43" s="244" t="s">
        <v>688</v>
      </c>
      <c r="F43" s="206" t="s">
        <v>308</v>
      </c>
      <c r="H43" s="212" t="s">
        <v>309</v>
      </c>
      <c r="I43" s="212" t="s">
        <v>310</v>
      </c>
      <c r="J43" s="212">
        <v>-424833845.67229611</v>
      </c>
      <c r="L43" s="245" t="s">
        <v>731</v>
      </c>
    </row>
    <row r="44" spans="1:12" ht="14.5">
      <c r="H44" s="212"/>
      <c r="I44" s="212" t="s">
        <v>310</v>
      </c>
      <c r="J44" s="212" t="s">
        <v>310</v>
      </c>
      <c r="K44" s="214"/>
    </row>
    <row r="45" spans="1:12" ht="14.5">
      <c r="A45" s="206" t="s">
        <v>250</v>
      </c>
      <c r="B45" s="244" t="s">
        <v>732</v>
      </c>
      <c r="C45" s="244" t="s">
        <v>307</v>
      </c>
      <c r="D45" s="244" t="s">
        <v>688</v>
      </c>
      <c r="E45" s="244" t="s">
        <v>609</v>
      </c>
      <c r="F45" s="206" t="s">
        <v>308</v>
      </c>
      <c r="G45" s="206" t="s">
        <v>674</v>
      </c>
      <c r="H45" s="212" t="s">
        <v>309</v>
      </c>
      <c r="I45" s="212">
        <v>15925560001.186502</v>
      </c>
      <c r="J45" s="212" t="s">
        <v>310</v>
      </c>
      <c r="L45" s="206" t="s">
        <v>733</v>
      </c>
    </row>
    <row r="46" spans="1:12" ht="14.5">
      <c r="A46" s="206" t="s">
        <v>250</v>
      </c>
      <c r="C46" s="244" t="s">
        <v>307</v>
      </c>
      <c r="D46" s="244" t="s">
        <v>688</v>
      </c>
      <c r="E46" s="244" t="s">
        <v>609</v>
      </c>
      <c r="F46" s="206" t="s">
        <v>308</v>
      </c>
      <c r="H46" s="206" t="s">
        <v>311</v>
      </c>
      <c r="I46" s="212" t="s">
        <v>310</v>
      </c>
      <c r="J46" s="212">
        <v>-15925560001.186502</v>
      </c>
      <c r="L46" s="245"/>
    </row>
    <row r="47" spans="1:12" ht="14.5">
      <c r="H47" s="212"/>
      <c r="I47" s="212" t="s">
        <v>310</v>
      </c>
      <c r="J47" s="212" t="s">
        <v>310</v>
      </c>
    </row>
    <row r="48" spans="1:12" ht="14.5">
      <c r="A48" s="206" t="s">
        <v>250</v>
      </c>
      <c r="B48" s="244" t="s">
        <v>734</v>
      </c>
      <c r="C48" s="244" t="s">
        <v>307</v>
      </c>
      <c r="D48" s="244" t="s">
        <v>688</v>
      </c>
      <c r="E48" s="244" t="s">
        <v>640</v>
      </c>
      <c r="F48" s="206" t="s">
        <v>308</v>
      </c>
      <c r="G48" s="206" t="s">
        <v>674</v>
      </c>
      <c r="H48" s="212" t="s">
        <v>320</v>
      </c>
      <c r="I48" s="212">
        <v>509198796.22499996</v>
      </c>
      <c r="J48" s="212" t="s">
        <v>310</v>
      </c>
      <c r="L48" s="206" t="s">
        <v>735</v>
      </c>
    </row>
    <row r="49" spans="1:12" ht="14.5">
      <c r="A49" s="206" t="s">
        <v>250</v>
      </c>
      <c r="C49" s="244" t="s">
        <v>307</v>
      </c>
      <c r="D49" s="244" t="s">
        <v>688</v>
      </c>
      <c r="E49" s="244" t="s">
        <v>640</v>
      </c>
      <c r="F49" s="206" t="s">
        <v>308</v>
      </c>
      <c r="H49" s="212" t="s">
        <v>321</v>
      </c>
      <c r="I49" s="212" t="s">
        <v>310</v>
      </c>
      <c r="J49" s="212">
        <v>-509198796.22499996</v>
      </c>
      <c r="L49" s="245"/>
    </row>
    <row r="50" spans="1:12" ht="14.5">
      <c r="H50" s="212"/>
      <c r="I50" s="212" t="s">
        <v>310</v>
      </c>
      <c r="J50" s="212" t="s">
        <v>310</v>
      </c>
    </row>
    <row r="51" spans="1:12" ht="14.5">
      <c r="A51" s="206" t="s">
        <v>250</v>
      </c>
      <c r="B51" s="244" t="s">
        <v>736</v>
      </c>
      <c r="C51" s="244" t="s">
        <v>307</v>
      </c>
      <c r="D51" s="244" t="s">
        <v>688</v>
      </c>
      <c r="E51" s="206" t="s">
        <v>465</v>
      </c>
      <c r="F51" s="206" t="s">
        <v>737</v>
      </c>
      <c r="G51" s="206" t="s">
        <v>674</v>
      </c>
      <c r="H51" s="214" t="s">
        <v>322</v>
      </c>
      <c r="I51" s="212">
        <v>2069728045.875</v>
      </c>
      <c r="J51" s="212" t="s">
        <v>310</v>
      </c>
      <c r="L51" s="206" t="s">
        <v>792</v>
      </c>
    </row>
    <row r="52" spans="1:12" ht="14.5">
      <c r="A52" s="206" t="s">
        <v>250</v>
      </c>
      <c r="B52" s="244"/>
      <c r="C52" s="244" t="s">
        <v>307</v>
      </c>
      <c r="D52" s="244" t="s">
        <v>688</v>
      </c>
      <c r="E52" s="206" t="s">
        <v>465</v>
      </c>
      <c r="F52" s="206" t="s">
        <v>737</v>
      </c>
      <c r="H52" s="214" t="s">
        <v>323</v>
      </c>
      <c r="I52" s="212">
        <v>72440482.274999991</v>
      </c>
      <c r="J52" s="212" t="s">
        <v>310</v>
      </c>
    </row>
    <row r="53" spans="1:12" ht="14.5">
      <c r="A53" s="206" t="s">
        <v>250</v>
      </c>
      <c r="C53" s="244" t="s">
        <v>307</v>
      </c>
      <c r="D53" s="244" t="s">
        <v>688</v>
      </c>
      <c r="E53" s="206" t="s">
        <v>465</v>
      </c>
      <c r="F53" s="206" t="s">
        <v>737</v>
      </c>
      <c r="H53" s="214" t="s">
        <v>324</v>
      </c>
      <c r="I53" s="212" t="s">
        <v>310</v>
      </c>
      <c r="J53" s="212">
        <v>-2142168528.1499999</v>
      </c>
      <c r="L53" s="245"/>
    </row>
    <row r="54" spans="1:12" ht="14.5">
      <c r="H54" s="212"/>
      <c r="I54" s="212" t="s">
        <v>310</v>
      </c>
      <c r="J54" s="212" t="s">
        <v>310</v>
      </c>
    </row>
    <row r="55" spans="1:12" ht="14.5">
      <c r="A55" s="206" t="s">
        <v>250</v>
      </c>
      <c r="B55" s="206" t="s">
        <v>738</v>
      </c>
      <c r="C55" s="244" t="s">
        <v>307</v>
      </c>
      <c r="D55" s="244" t="s">
        <v>688</v>
      </c>
      <c r="E55" s="206" t="s">
        <v>465</v>
      </c>
      <c r="F55" s="206" t="s">
        <v>737</v>
      </c>
      <c r="G55" s="206" t="s">
        <v>674</v>
      </c>
      <c r="H55" s="212" t="s">
        <v>315</v>
      </c>
      <c r="I55" s="212">
        <v>2204243023.5</v>
      </c>
      <c r="J55" s="212" t="s">
        <v>310</v>
      </c>
      <c r="L55" s="206" t="s">
        <v>792</v>
      </c>
    </row>
    <row r="56" spans="1:12" ht="14.5">
      <c r="A56" s="206" t="s">
        <v>250</v>
      </c>
      <c r="B56" s="244"/>
      <c r="C56" s="244" t="s">
        <v>307</v>
      </c>
      <c r="D56" s="244" t="s">
        <v>688</v>
      </c>
      <c r="E56" s="206" t="s">
        <v>465</v>
      </c>
      <c r="F56" s="206" t="s">
        <v>737</v>
      </c>
      <c r="H56" s="214" t="s">
        <v>325</v>
      </c>
      <c r="I56" s="212" t="s">
        <v>310</v>
      </c>
      <c r="J56" s="212">
        <v>-25691344.875</v>
      </c>
    </row>
    <row r="57" spans="1:12" ht="14.5">
      <c r="A57" s="206" t="s">
        <v>250</v>
      </c>
      <c r="C57" s="244" t="s">
        <v>307</v>
      </c>
      <c r="D57" s="244" t="s">
        <v>688</v>
      </c>
      <c r="E57" s="206" t="s">
        <v>465</v>
      </c>
      <c r="F57" s="206" t="s">
        <v>737</v>
      </c>
      <c r="H57" s="214" t="s">
        <v>326</v>
      </c>
      <c r="I57" s="212" t="s">
        <v>310</v>
      </c>
      <c r="J57" s="212">
        <v>-2178551678.625</v>
      </c>
      <c r="L57" s="245"/>
    </row>
    <row r="58" spans="1:12" ht="14.5">
      <c r="H58" s="212"/>
      <c r="I58" s="212" t="s">
        <v>310</v>
      </c>
      <c r="J58" s="212" t="s">
        <v>310</v>
      </c>
    </row>
    <row r="59" spans="1:12" ht="14.5">
      <c r="A59" s="206" t="s">
        <v>250</v>
      </c>
      <c r="B59" s="244" t="s">
        <v>805</v>
      </c>
      <c r="C59" s="244" t="s">
        <v>307</v>
      </c>
      <c r="D59" s="244" t="s">
        <v>802</v>
      </c>
      <c r="E59" s="244" t="s">
        <v>688</v>
      </c>
      <c r="F59" s="206" t="s">
        <v>308</v>
      </c>
      <c r="G59" s="206" t="s">
        <v>674</v>
      </c>
      <c r="H59" s="212" t="s">
        <v>327</v>
      </c>
      <c r="I59" s="212">
        <v>1687537889.0999999</v>
      </c>
      <c r="J59" s="212" t="s">
        <v>310</v>
      </c>
    </row>
    <row r="60" spans="1:12" ht="14.5">
      <c r="A60" s="206" t="s">
        <v>250</v>
      </c>
      <c r="C60" s="244" t="s">
        <v>307</v>
      </c>
      <c r="D60" s="244" t="s">
        <v>802</v>
      </c>
      <c r="E60" s="244" t="s">
        <v>688</v>
      </c>
      <c r="F60" s="206" t="s">
        <v>308</v>
      </c>
      <c r="H60" s="212" t="s">
        <v>311</v>
      </c>
      <c r="I60" s="212" t="s">
        <v>310</v>
      </c>
      <c r="J60" s="212">
        <v>-1687537889.0999999</v>
      </c>
    </row>
    <row r="61" spans="1:12" ht="14.5">
      <c r="H61" s="212"/>
      <c r="I61" s="212" t="s">
        <v>310</v>
      </c>
      <c r="J61" s="212" t="s">
        <v>310</v>
      </c>
    </row>
    <row r="62" spans="1:12" ht="14.5">
      <c r="A62" s="206" t="s">
        <v>250</v>
      </c>
      <c r="B62" s="244" t="s">
        <v>806</v>
      </c>
      <c r="C62" s="244" t="s">
        <v>307</v>
      </c>
      <c r="D62" s="244" t="s">
        <v>802</v>
      </c>
      <c r="E62" s="244" t="s">
        <v>688</v>
      </c>
      <c r="F62" s="206" t="s">
        <v>308</v>
      </c>
      <c r="G62" s="206" t="s">
        <v>674</v>
      </c>
      <c r="H62" s="212" t="s">
        <v>327</v>
      </c>
      <c r="I62" s="212">
        <v>17228149501.5</v>
      </c>
      <c r="J62" s="212" t="s">
        <v>310</v>
      </c>
    </row>
    <row r="63" spans="1:12">
      <c r="A63" s="206" t="s">
        <v>250</v>
      </c>
      <c r="C63" s="206" t="s">
        <v>307</v>
      </c>
      <c r="D63" s="206" t="s">
        <v>802</v>
      </c>
      <c r="E63" s="206" t="s">
        <v>688</v>
      </c>
      <c r="F63" s="206" t="s">
        <v>308</v>
      </c>
      <c r="H63" s="206" t="s">
        <v>311</v>
      </c>
      <c r="I63" s="206" t="s">
        <v>310</v>
      </c>
      <c r="J63" s="206">
        <v>-17228149501.5</v>
      </c>
    </row>
    <row r="64" spans="1:12" ht="14.5">
      <c r="B64" s="244"/>
      <c r="C64" s="244"/>
      <c r="D64" s="244"/>
      <c r="E64" s="244"/>
      <c r="H64" s="212"/>
      <c r="I64" s="212" t="s">
        <v>310</v>
      </c>
      <c r="J64" s="212" t="s">
        <v>310</v>
      </c>
    </row>
    <row r="65" spans="1:12" ht="14.5">
      <c r="A65" s="206" t="s">
        <v>250</v>
      </c>
      <c r="B65" s="244" t="s">
        <v>807</v>
      </c>
      <c r="C65" s="244" t="s">
        <v>307</v>
      </c>
      <c r="D65" s="244" t="s">
        <v>802</v>
      </c>
      <c r="E65" s="244" t="s">
        <v>640</v>
      </c>
      <c r="F65" s="206" t="s">
        <v>308</v>
      </c>
      <c r="G65" s="206" t="s">
        <v>674</v>
      </c>
      <c r="H65" s="212" t="s">
        <v>327</v>
      </c>
      <c r="I65" s="212">
        <v>13253447670.75</v>
      </c>
      <c r="J65" s="212" t="s">
        <v>310</v>
      </c>
    </row>
    <row r="66" spans="1:12" ht="14.5">
      <c r="A66" s="206" t="s">
        <v>250</v>
      </c>
      <c r="C66" s="206" t="s">
        <v>307</v>
      </c>
      <c r="D66" s="206" t="s">
        <v>802</v>
      </c>
      <c r="E66" s="244" t="s">
        <v>640</v>
      </c>
      <c r="F66" s="206" t="s">
        <v>308</v>
      </c>
      <c r="H66" s="206" t="s">
        <v>311</v>
      </c>
      <c r="I66" s="206" t="s">
        <v>310</v>
      </c>
      <c r="J66" s="214">
        <v>-13253447670.75</v>
      </c>
    </row>
    <row r="67" spans="1:12" ht="14.5">
      <c r="B67" s="244"/>
      <c r="C67" s="244"/>
      <c r="D67" s="244"/>
      <c r="E67" s="244"/>
      <c r="H67" s="212"/>
      <c r="I67" s="212" t="s">
        <v>310</v>
      </c>
      <c r="J67" s="212" t="s">
        <v>310</v>
      </c>
    </row>
    <row r="68" spans="1:12" ht="14.5">
      <c r="A68" s="206" t="s">
        <v>250</v>
      </c>
      <c r="B68" s="244" t="s">
        <v>808</v>
      </c>
      <c r="C68" s="244" t="s">
        <v>307</v>
      </c>
      <c r="D68" s="244" t="s">
        <v>802</v>
      </c>
      <c r="E68" s="244" t="s">
        <v>640</v>
      </c>
      <c r="F68" s="206" t="s">
        <v>308</v>
      </c>
      <c r="G68" s="206" t="s">
        <v>674</v>
      </c>
      <c r="H68" s="206" t="s">
        <v>311</v>
      </c>
      <c r="I68" s="212">
        <v>7397830493.5500002</v>
      </c>
      <c r="J68" s="212" t="s">
        <v>310</v>
      </c>
    </row>
    <row r="69" spans="1:12" ht="14.5">
      <c r="A69" s="206" t="s">
        <v>250</v>
      </c>
      <c r="C69" s="206" t="s">
        <v>307</v>
      </c>
      <c r="D69" s="206" t="s">
        <v>802</v>
      </c>
      <c r="E69" s="244" t="s">
        <v>640</v>
      </c>
      <c r="F69" s="206" t="s">
        <v>308</v>
      </c>
      <c r="H69" s="206" t="s">
        <v>328</v>
      </c>
      <c r="I69" s="206" t="s">
        <v>310</v>
      </c>
      <c r="J69" s="214">
        <v>-7397830493.5500002</v>
      </c>
    </row>
    <row r="70" spans="1:12" ht="14.5">
      <c r="B70" s="244"/>
      <c r="C70" s="244"/>
      <c r="D70" s="244"/>
      <c r="E70" s="244"/>
      <c r="H70" s="212"/>
      <c r="I70" s="212" t="s">
        <v>310</v>
      </c>
      <c r="J70" s="212" t="s">
        <v>310</v>
      </c>
    </row>
    <row r="71" spans="1:12" ht="14.5">
      <c r="A71" s="206" t="s">
        <v>250</v>
      </c>
      <c r="B71" s="244" t="s">
        <v>809</v>
      </c>
      <c r="C71" s="244" t="s">
        <v>307</v>
      </c>
      <c r="D71" s="244" t="s">
        <v>802</v>
      </c>
      <c r="E71" s="244" t="s">
        <v>688</v>
      </c>
      <c r="F71" s="206" t="s">
        <v>810</v>
      </c>
      <c r="G71" s="206" t="s">
        <v>674</v>
      </c>
      <c r="H71" s="212" t="s">
        <v>309</v>
      </c>
      <c r="I71" s="212">
        <v>1890000000</v>
      </c>
      <c r="J71" s="212" t="s">
        <v>310</v>
      </c>
    </row>
    <row r="72" spans="1:12" ht="14.5">
      <c r="A72" s="206" t="s">
        <v>250</v>
      </c>
      <c r="C72" s="244" t="s">
        <v>307</v>
      </c>
      <c r="D72" s="244" t="s">
        <v>802</v>
      </c>
      <c r="E72" s="244" t="s">
        <v>688</v>
      </c>
      <c r="F72" s="206" t="s">
        <v>810</v>
      </c>
      <c r="H72" s="212" t="s">
        <v>311</v>
      </c>
      <c r="I72" s="212" t="s">
        <v>310</v>
      </c>
      <c r="J72" s="212">
        <v>-1890000000</v>
      </c>
    </row>
    <row r="73" spans="1:12" ht="14.5">
      <c r="H73" s="212"/>
      <c r="I73" s="212" t="s">
        <v>310</v>
      </c>
      <c r="J73" s="212" t="s">
        <v>310</v>
      </c>
    </row>
    <row r="74" spans="1:12" ht="14.5">
      <c r="A74" s="206" t="s">
        <v>250</v>
      </c>
      <c r="B74" s="244" t="s">
        <v>760</v>
      </c>
      <c r="C74" s="244" t="s">
        <v>307</v>
      </c>
      <c r="D74" s="244" t="s">
        <v>740</v>
      </c>
      <c r="E74" s="244" t="s">
        <v>688</v>
      </c>
      <c r="F74" s="206" t="s">
        <v>308</v>
      </c>
      <c r="G74" s="206" t="s">
        <v>674</v>
      </c>
      <c r="H74" s="212" t="s">
        <v>309</v>
      </c>
      <c r="I74" s="212">
        <v>579433862.69999993</v>
      </c>
      <c r="J74" s="212" t="s">
        <v>310</v>
      </c>
    </row>
    <row r="75" spans="1:12" ht="14.5">
      <c r="A75" s="206" t="s">
        <v>250</v>
      </c>
      <c r="C75" s="244" t="s">
        <v>307</v>
      </c>
      <c r="D75" s="244" t="s">
        <v>740</v>
      </c>
      <c r="E75" s="244" t="s">
        <v>688</v>
      </c>
      <c r="F75" s="206" t="s">
        <v>308</v>
      </c>
      <c r="H75" s="212" t="s">
        <v>329</v>
      </c>
      <c r="I75" s="212" t="s">
        <v>310</v>
      </c>
      <c r="J75" s="212">
        <v>-579433862.69999993</v>
      </c>
      <c r="L75" s="245"/>
    </row>
    <row r="76" spans="1:12" ht="14.5">
      <c r="H76" s="212"/>
      <c r="I76" s="212" t="s">
        <v>310</v>
      </c>
      <c r="J76" s="212" t="s">
        <v>310</v>
      </c>
    </row>
    <row r="77" spans="1:12" ht="14.5">
      <c r="A77" s="206" t="s">
        <v>250</v>
      </c>
      <c r="B77" s="244" t="s">
        <v>634</v>
      </c>
      <c r="C77" s="244" t="s">
        <v>307</v>
      </c>
      <c r="D77" s="244" t="s">
        <v>609</v>
      </c>
      <c r="E77" s="244" t="s">
        <v>688</v>
      </c>
      <c r="F77" s="206" t="s">
        <v>308</v>
      </c>
      <c r="G77" s="206" t="s">
        <v>674</v>
      </c>
      <c r="H77" s="212" t="s">
        <v>309</v>
      </c>
      <c r="I77" s="212">
        <v>15925560001.186502</v>
      </c>
      <c r="J77" s="212" t="s">
        <v>310</v>
      </c>
      <c r="L77" s="206" t="s">
        <v>635</v>
      </c>
    </row>
    <row r="78" spans="1:12" ht="14.5">
      <c r="A78" s="206" t="s">
        <v>250</v>
      </c>
      <c r="C78" s="244" t="s">
        <v>307</v>
      </c>
      <c r="D78" s="244" t="s">
        <v>609</v>
      </c>
      <c r="E78" s="244" t="s">
        <v>688</v>
      </c>
      <c r="F78" s="206" t="s">
        <v>308</v>
      </c>
      <c r="H78" s="206" t="s">
        <v>311</v>
      </c>
      <c r="I78" s="212" t="s">
        <v>310</v>
      </c>
      <c r="J78" s="212">
        <v>-15925560001.186502</v>
      </c>
      <c r="L78" s="245"/>
    </row>
    <row r="79" spans="1:12" ht="14.5">
      <c r="H79" s="212"/>
      <c r="I79" s="212" t="s">
        <v>310</v>
      </c>
      <c r="J79" s="212" t="s">
        <v>310</v>
      </c>
    </row>
    <row r="80" spans="1:12" ht="14.5">
      <c r="A80" s="206" t="s">
        <v>250</v>
      </c>
      <c r="B80" s="244" t="s">
        <v>636</v>
      </c>
      <c r="C80" s="244" t="s">
        <v>307</v>
      </c>
      <c r="D80" s="244" t="s">
        <v>609</v>
      </c>
      <c r="E80" s="244" t="s">
        <v>461</v>
      </c>
      <c r="F80" s="206" t="s">
        <v>308</v>
      </c>
      <c r="G80" s="206" t="s">
        <v>674</v>
      </c>
      <c r="H80" s="212" t="s">
        <v>309</v>
      </c>
      <c r="I80" s="212">
        <v>86625000</v>
      </c>
      <c r="J80" s="212" t="s">
        <v>310</v>
      </c>
      <c r="L80" s="206" t="s">
        <v>635</v>
      </c>
    </row>
    <row r="81" spans="1:12" ht="14.5">
      <c r="A81" s="206" t="s">
        <v>250</v>
      </c>
      <c r="C81" s="244" t="s">
        <v>307</v>
      </c>
      <c r="D81" s="244" t="s">
        <v>609</v>
      </c>
      <c r="E81" s="244" t="s">
        <v>461</v>
      </c>
      <c r="F81" s="206" t="s">
        <v>308</v>
      </c>
      <c r="H81" s="206" t="s">
        <v>43</v>
      </c>
      <c r="I81" s="212" t="s">
        <v>310</v>
      </c>
      <c r="J81" s="212">
        <v>-86625000</v>
      </c>
      <c r="L81" s="245"/>
    </row>
    <row r="82" spans="1:12" ht="14.5">
      <c r="H82" s="212"/>
      <c r="I82" s="212" t="s">
        <v>310</v>
      </c>
      <c r="J82" s="212" t="s">
        <v>310</v>
      </c>
    </row>
    <row r="83" spans="1:12" ht="14.5">
      <c r="B83" s="244" t="s">
        <v>798</v>
      </c>
      <c r="C83" s="244" t="s">
        <v>307</v>
      </c>
      <c r="D83" s="244" t="s">
        <v>461</v>
      </c>
      <c r="E83" s="244" t="s">
        <v>609</v>
      </c>
      <c r="F83" s="206" t="s">
        <v>308</v>
      </c>
      <c r="G83" s="206" t="s">
        <v>674</v>
      </c>
      <c r="H83" s="212" t="s">
        <v>327</v>
      </c>
      <c r="I83" s="212">
        <v>86625000</v>
      </c>
      <c r="J83" s="212" t="s">
        <v>310</v>
      </c>
    </row>
    <row r="84" spans="1:12" ht="14.5">
      <c r="C84" s="244" t="s">
        <v>307</v>
      </c>
      <c r="D84" s="244" t="s">
        <v>461</v>
      </c>
      <c r="E84" s="244" t="s">
        <v>609</v>
      </c>
      <c r="F84" s="206" t="s">
        <v>308</v>
      </c>
      <c r="H84" s="212" t="s">
        <v>311</v>
      </c>
      <c r="I84" s="212" t="s">
        <v>310</v>
      </c>
      <c r="J84" s="212">
        <v>-86625000</v>
      </c>
      <c r="L84" s="245"/>
    </row>
    <row r="85" spans="1:12" ht="14.5">
      <c r="H85" s="212"/>
      <c r="I85" s="212" t="s">
        <v>310</v>
      </c>
      <c r="J85" s="212" t="s">
        <v>310</v>
      </c>
    </row>
    <row r="86" spans="1:12" ht="14.5">
      <c r="B86" s="244" t="s">
        <v>799</v>
      </c>
      <c r="C86" s="244" t="s">
        <v>307</v>
      </c>
      <c r="D86" s="244" t="s">
        <v>461</v>
      </c>
      <c r="E86" s="244" t="s">
        <v>465</v>
      </c>
      <c r="F86" s="206" t="s">
        <v>308</v>
      </c>
      <c r="G86" s="206" t="s">
        <v>674</v>
      </c>
      <c r="H86" s="212" t="s">
        <v>327</v>
      </c>
      <c r="I86" s="212">
        <v>152775000</v>
      </c>
      <c r="J86" s="212" t="s">
        <v>310</v>
      </c>
    </row>
    <row r="87" spans="1:12" ht="14.5">
      <c r="C87" s="244" t="s">
        <v>307</v>
      </c>
      <c r="D87" s="244" t="s">
        <v>461</v>
      </c>
      <c r="E87" s="244" t="s">
        <v>465</v>
      </c>
      <c r="F87" s="206" t="s">
        <v>308</v>
      </c>
      <c r="H87" s="212" t="s">
        <v>311</v>
      </c>
      <c r="I87" s="212" t="s">
        <v>310</v>
      </c>
      <c r="J87" s="212">
        <v>-152775000</v>
      </c>
      <c r="L87" s="245"/>
    </row>
    <row r="88" spans="1:12" ht="14.5">
      <c r="H88" s="212"/>
      <c r="I88" s="212" t="s">
        <v>310</v>
      </c>
      <c r="J88" s="212" t="s">
        <v>310</v>
      </c>
    </row>
    <row r="89" spans="1:12" ht="14.5">
      <c r="B89" s="244" t="s">
        <v>812</v>
      </c>
      <c r="C89" s="244" t="s">
        <v>307</v>
      </c>
      <c r="D89" s="244" t="s">
        <v>811</v>
      </c>
      <c r="E89" s="244" t="s">
        <v>640</v>
      </c>
      <c r="F89" s="206" t="s">
        <v>308</v>
      </c>
      <c r="G89" s="206" t="s">
        <v>674</v>
      </c>
      <c r="H89" s="212" t="s">
        <v>330</v>
      </c>
      <c r="I89" s="212">
        <v>21462349018.950001</v>
      </c>
      <c r="J89" s="212" t="s">
        <v>310</v>
      </c>
    </row>
    <row r="90" spans="1:12" ht="14.5">
      <c r="C90" s="244" t="s">
        <v>307</v>
      </c>
      <c r="D90" s="244" t="s">
        <v>811</v>
      </c>
      <c r="E90" s="244" t="s">
        <v>640</v>
      </c>
      <c r="F90" s="206" t="s">
        <v>308</v>
      </c>
      <c r="H90" s="206" t="s">
        <v>311</v>
      </c>
      <c r="I90" s="212" t="s">
        <v>310</v>
      </c>
      <c r="J90" s="212">
        <v>-21462349018.950001</v>
      </c>
      <c r="L90" s="206" t="s">
        <v>312</v>
      </c>
    </row>
    <row r="91" spans="1:12" ht="14.5">
      <c r="H91" s="212"/>
      <c r="I91" s="212" t="s">
        <v>310</v>
      </c>
      <c r="J91" s="212" t="s">
        <v>310</v>
      </c>
    </row>
    <row r="92" spans="1:12" ht="14.5">
      <c r="B92" s="244" t="s">
        <v>813</v>
      </c>
      <c r="C92" s="244" t="s">
        <v>307</v>
      </c>
      <c r="D92" s="244" t="s">
        <v>640</v>
      </c>
      <c r="E92" s="244" t="s">
        <v>811</v>
      </c>
      <c r="F92" s="206" t="s">
        <v>308</v>
      </c>
      <c r="G92" s="206" t="s">
        <v>674</v>
      </c>
      <c r="H92" s="212" t="s">
        <v>309</v>
      </c>
      <c r="I92" s="212">
        <v>7560000000</v>
      </c>
      <c r="J92" s="212" t="s">
        <v>310</v>
      </c>
    </row>
    <row r="93" spans="1:12" ht="14.5">
      <c r="C93" s="244" t="s">
        <v>307</v>
      </c>
      <c r="D93" s="244" t="s">
        <v>640</v>
      </c>
      <c r="E93" s="244" t="s">
        <v>811</v>
      </c>
      <c r="F93" s="206" t="s">
        <v>308</v>
      </c>
      <c r="H93" s="206" t="s">
        <v>311</v>
      </c>
      <c r="I93" s="212" t="s">
        <v>310</v>
      </c>
      <c r="J93" s="212">
        <v>-7560000000</v>
      </c>
      <c r="L93" s="245" t="s">
        <v>814</v>
      </c>
    </row>
    <row r="94" spans="1:12" ht="14.5">
      <c r="H94" s="212"/>
      <c r="I94" s="212" t="s">
        <v>310</v>
      </c>
      <c r="J94" s="212" t="s">
        <v>310</v>
      </c>
    </row>
    <row r="95" spans="1:12" ht="14.5">
      <c r="B95" s="244" t="s">
        <v>637</v>
      </c>
      <c r="C95" s="244" t="s">
        <v>307</v>
      </c>
      <c r="D95" s="244" t="s">
        <v>630</v>
      </c>
      <c r="E95" s="244" t="s">
        <v>640</v>
      </c>
      <c r="F95" s="206" t="s">
        <v>308</v>
      </c>
      <c r="G95" s="206" t="s">
        <v>674</v>
      </c>
      <c r="H95" s="212" t="s">
        <v>309</v>
      </c>
      <c r="I95" s="212">
        <v>3077191252.7999997</v>
      </c>
      <c r="J95" s="212" t="s">
        <v>310</v>
      </c>
      <c r="L95" s="206" t="s">
        <v>313</v>
      </c>
    </row>
    <row r="96" spans="1:12" ht="14.5">
      <c r="C96" s="244" t="s">
        <v>307</v>
      </c>
      <c r="D96" s="244" t="s">
        <v>630</v>
      </c>
      <c r="E96" s="244" t="s">
        <v>640</v>
      </c>
      <c r="F96" s="206" t="s">
        <v>308</v>
      </c>
      <c r="H96" s="206" t="s">
        <v>311</v>
      </c>
      <c r="I96" s="212"/>
      <c r="J96" s="212">
        <f>-I95</f>
        <v>-3077191252.7999997</v>
      </c>
      <c r="L96" s="245"/>
    </row>
    <row r="97" spans="2:10" ht="14.5">
      <c r="H97" s="212"/>
      <c r="I97" s="212"/>
      <c r="J97" s="212"/>
    </row>
    <row r="98" spans="2:10" ht="14.5">
      <c r="C98" s="244"/>
      <c r="D98" s="244"/>
      <c r="E98" s="244"/>
      <c r="H98" s="212"/>
      <c r="I98" s="212"/>
      <c r="J98" s="212"/>
    </row>
    <row r="100" spans="2:10" ht="14.5">
      <c r="B100" s="244"/>
      <c r="C100" s="244"/>
      <c r="D100" s="244"/>
      <c r="E100" s="244"/>
      <c r="H100" s="212"/>
      <c r="I100" s="212"/>
      <c r="J100" s="212"/>
    </row>
    <row r="101" spans="2:10" ht="14.5">
      <c r="C101" s="244"/>
      <c r="D101" s="244"/>
      <c r="E101" s="244"/>
      <c r="H101" s="212"/>
      <c r="I101" s="212"/>
      <c r="J101" s="212"/>
    </row>
    <row r="102" spans="2:10" ht="14.5">
      <c r="H102" s="212"/>
      <c r="I102" s="212"/>
      <c r="J102" s="212"/>
    </row>
    <row r="103" spans="2:10" ht="14.5">
      <c r="B103" s="244"/>
      <c r="C103" s="244"/>
      <c r="D103" s="244"/>
      <c r="E103" s="244"/>
      <c r="H103" s="212"/>
      <c r="I103" s="212"/>
      <c r="J103" s="212"/>
    </row>
    <row r="104" spans="2:10" ht="14.5">
      <c r="C104" s="244"/>
      <c r="D104" s="244"/>
      <c r="E104" s="244"/>
      <c r="H104" s="212"/>
      <c r="I104" s="212"/>
      <c r="J104" s="212"/>
    </row>
    <row r="105" spans="2:10" ht="14.5">
      <c r="H105" s="212"/>
      <c r="I105" s="212"/>
      <c r="J105" s="212"/>
    </row>
    <row r="106" spans="2:10" ht="14.5">
      <c r="B106" s="244"/>
      <c r="C106" s="244"/>
      <c r="D106" s="244"/>
      <c r="E106" s="244"/>
      <c r="H106" s="212"/>
      <c r="I106" s="212"/>
      <c r="J106" s="212"/>
    </row>
    <row r="107" spans="2:10" ht="14.5">
      <c r="C107" s="244"/>
      <c r="D107" s="244"/>
      <c r="E107" s="244"/>
      <c r="H107" s="212"/>
      <c r="I107" s="212"/>
      <c r="J107" s="212"/>
    </row>
    <row r="108" spans="2:10" ht="14.5">
      <c r="H108" s="212"/>
      <c r="I108" s="212"/>
      <c r="J108" s="212"/>
    </row>
    <row r="109" spans="2:10" ht="14.5">
      <c r="B109" s="244"/>
      <c r="C109" s="244"/>
      <c r="D109" s="244"/>
      <c r="E109" s="244"/>
      <c r="H109" s="212"/>
      <c r="I109" s="212"/>
      <c r="J109" s="212"/>
    </row>
    <row r="110" spans="2:10" ht="14.5">
      <c r="C110" s="244"/>
      <c r="D110" s="244"/>
      <c r="E110" s="244"/>
      <c r="H110" s="212"/>
      <c r="I110" s="212"/>
      <c r="J110" s="212"/>
    </row>
    <row r="111" spans="2:10" ht="14.5">
      <c r="H111" s="212"/>
      <c r="I111" s="212"/>
      <c r="J111" s="212"/>
    </row>
    <row r="112" spans="2:10" ht="14.5">
      <c r="B112" s="244"/>
      <c r="C112" s="244"/>
      <c r="D112" s="244"/>
      <c r="E112" s="244"/>
      <c r="H112" s="212"/>
      <c r="I112" s="212"/>
      <c r="J112" s="212"/>
    </row>
    <row r="113" spans="2:10" ht="14.5">
      <c r="C113" s="244"/>
      <c r="D113" s="244"/>
      <c r="E113" s="244"/>
      <c r="H113" s="212"/>
      <c r="I113" s="212"/>
      <c r="J113" s="212"/>
    </row>
    <row r="115" spans="2:10" ht="14.5">
      <c r="B115" s="244"/>
      <c r="C115" s="244"/>
      <c r="D115" s="244"/>
      <c r="E115" s="244"/>
      <c r="H115" s="212"/>
      <c r="I115" s="212"/>
      <c r="J115" s="212"/>
    </row>
    <row r="116" spans="2:10" ht="14.5">
      <c r="C116" s="244"/>
      <c r="D116" s="244"/>
      <c r="E116" s="244"/>
      <c r="H116" s="212"/>
      <c r="I116" s="212"/>
      <c r="J116" s="212"/>
    </row>
    <row r="118" spans="2:10" ht="14.5">
      <c r="B118" s="244"/>
      <c r="C118" s="244"/>
      <c r="D118" s="244"/>
      <c r="E118" s="244"/>
      <c r="H118" s="212"/>
      <c r="I118" s="212"/>
      <c r="J118" s="212"/>
    </row>
    <row r="119" spans="2:10" ht="14.5">
      <c r="C119" s="244"/>
      <c r="D119" s="244"/>
      <c r="E119" s="244"/>
      <c r="H119" s="212"/>
      <c r="I119" s="212"/>
      <c r="J119" s="212"/>
    </row>
    <row r="121" spans="2:10" ht="14.5">
      <c r="B121" s="244"/>
      <c r="C121" s="244"/>
      <c r="D121" s="244"/>
      <c r="E121" s="244"/>
      <c r="H121" s="212"/>
      <c r="I121" s="212"/>
      <c r="J121" s="212"/>
    </row>
    <row r="122" spans="2:10" ht="14.5">
      <c r="C122" s="244"/>
      <c r="D122" s="244"/>
      <c r="E122" s="244"/>
      <c r="H122" s="212"/>
      <c r="I122" s="212"/>
      <c r="J122" s="212"/>
    </row>
    <row r="124" spans="2:10" ht="14.5">
      <c r="B124" s="244"/>
      <c r="C124" s="244"/>
      <c r="D124" s="244"/>
      <c r="E124" s="244"/>
      <c r="H124" s="212"/>
      <c r="I124" s="212"/>
      <c r="J124" s="212"/>
    </row>
    <row r="125" spans="2:10" ht="14.5">
      <c r="C125" s="244"/>
      <c r="D125" s="244"/>
      <c r="E125" s="244"/>
      <c r="H125" s="212"/>
      <c r="I125" s="212"/>
      <c r="J125" s="212"/>
    </row>
    <row r="127" spans="2:10" ht="14.5">
      <c r="B127" s="244"/>
      <c r="C127" s="244"/>
      <c r="D127" s="244"/>
      <c r="E127" s="244"/>
      <c r="H127" s="212"/>
      <c r="I127" s="212"/>
      <c r="J127" s="212"/>
    </row>
    <row r="128" spans="2:10" ht="14.5">
      <c r="C128" s="244"/>
      <c r="D128" s="244"/>
      <c r="E128" s="244"/>
      <c r="H128" s="212"/>
      <c r="I128" s="212"/>
      <c r="J128" s="212"/>
    </row>
    <row r="129" spans="2:10" ht="14.5">
      <c r="H129" s="212"/>
      <c r="I129" s="212"/>
      <c r="J129" s="212"/>
    </row>
    <row r="130" spans="2:10" ht="14.5">
      <c r="B130" s="244"/>
      <c r="C130" s="244"/>
      <c r="D130" s="244"/>
      <c r="E130" s="244"/>
      <c r="H130" s="212"/>
      <c r="I130" s="212"/>
      <c r="J130" s="212"/>
    </row>
    <row r="131" spans="2:10" ht="14.5">
      <c r="C131" s="244"/>
      <c r="D131" s="244"/>
      <c r="E131" s="244"/>
      <c r="H131" s="212"/>
      <c r="I131" s="212"/>
      <c r="J131" s="212"/>
    </row>
    <row r="132" spans="2:10" ht="14.5">
      <c r="H132" s="212"/>
      <c r="I132" s="212"/>
      <c r="J132" s="212"/>
    </row>
    <row r="133" spans="2:10" ht="14.5">
      <c r="B133" s="244"/>
      <c r="C133" s="244"/>
      <c r="D133" s="244"/>
      <c r="E133" s="244"/>
      <c r="H133" s="212"/>
      <c r="I133" s="212"/>
      <c r="J133" s="212"/>
    </row>
    <row r="134" spans="2:10" ht="14.5">
      <c r="C134" s="244"/>
      <c r="D134" s="244"/>
      <c r="E134" s="244"/>
      <c r="H134" s="212"/>
      <c r="I134" s="212"/>
      <c r="J134" s="212"/>
    </row>
    <row r="136" spans="2:10" ht="14.5">
      <c r="B136" s="244"/>
      <c r="C136" s="244"/>
      <c r="D136" s="244"/>
      <c r="E136" s="244"/>
      <c r="H136" s="212"/>
      <c r="I136" s="212"/>
      <c r="J136" s="212"/>
    </row>
    <row r="137" spans="2:10" ht="14.5">
      <c r="C137" s="244"/>
      <c r="D137" s="244"/>
      <c r="E137" s="244"/>
      <c r="H137" s="212"/>
      <c r="I137" s="212"/>
      <c r="J137" s="212"/>
    </row>
    <row r="139" spans="2:10" ht="14.5">
      <c r="B139" s="244"/>
      <c r="C139" s="244"/>
      <c r="D139" s="244"/>
      <c r="E139" s="244"/>
      <c r="H139" s="212"/>
      <c r="I139" s="212"/>
      <c r="J139" s="212"/>
    </row>
    <row r="140" spans="2:10" ht="14.5">
      <c r="C140" s="244"/>
      <c r="D140" s="244"/>
      <c r="E140" s="244"/>
      <c r="H140" s="212"/>
      <c r="I140" s="212"/>
      <c r="J140" s="212"/>
    </row>
    <row r="142" spans="2:10" ht="14.5">
      <c r="B142" s="244"/>
      <c r="C142" s="244"/>
      <c r="D142" s="244"/>
      <c r="E142" s="244"/>
      <c r="H142" s="212"/>
      <c r="I142" s="212"/>
      <c r="J142" s="212"/>
    </row>
    <row r="143" spans="2:10" ht="14.5">
      <c r="C143" s="244"/>
      <c r="D143" s="244"/>
      <c r="E143" s="244"/>
      <c r="H143" s="212"/>
      <c r="I143" s="212"/>
      <c r="J143" s="212"/>
    </row>
    <row r="144" spans="2:10" ht="14.5">
      <c r="H144" s="212"/>
      <c r="I144" s="212"/>
      <c r="J144" s="212"/>
    </row>
    <row r="145" spans="2:10" ht="14.5">
      <c r="B145" s="244"/>
      <c r="C145" s="244"/>
      <c r="D145" s="244"/>
      <c r="E145" s="244"/>
      <c r="H145" s="212"/>
      <c r="I145" s="212"/>
      <c r="J145" s="212"/>
    </row>
    <row r="146" spans="2:10" ht="14.5">
      <c r="C146" s="244"/>
      <c r="D146" s="244"/>
      <c r="E146" s="244"/>
      <c r="H146" s="212"/>
      <c r="I146" s="212"/>
      <c r="J146" s="212"/>
    </row>
    <row r="147" spans="2:10" ht="14.5">
      <c r="H147" s="212"/>
      <c r="I147" s="212"/>
      <c r="J147" s="212"/>
    </row>
    <row r="148" spans="2:10" ht="14.5">
      <c r="B148" s="244"/>
      <c r="C148" s="244"/>
      <c r="D148" s="244"/>
      <c r="E148" s="244"/>
      <c r="H148" s="212"/>
      <c r="I148" s="212"/>
      <c r="J148" s="212"/>
    </row>
    <row r="149" spans="2:10" ht="14.5">
      <c r="C149" s="244"/>
      <c r="D149" s="244"/>
      <c r="E149" s="244"/>
      <c r="H149" s="212"/>
      <c r="I149" s="212"/>
      <c r="J149" s="212"/>
    </row>
    <row r="150" spans="2:10" ht="14.5">
      <c r="H150" s="212"/>
      <c r="I150" s="212"/>
      <c r="J150" s="212"/>
    </row>
    <row r="151" spans="2:10" ht="14.5">
      <c r="B151" s="244"/>
      <c r="C151" s="244"/>
      <c r="D151" s="244"/>
      <c r="E151" s="244"/>
      <c r="H151" s="212"/>
      <c r="I151" s="212"/>
      <c r="J151" s="212"/>
    </row>
    <row r="152" spans="2:10" ht="14.5">
      <c r="C152" s="244"/>
      <c r="D152" s="244"/>
      <c r="E152" s="244"/>
      <c r="H152" s="212"/>
      <c r="I152" s="212"/>
      <c r="J152" s="212"/>
    </row>
    <row r="153" spans="2:10" ht="14.5">
      <c r="H153" s="212"/>
      <c r="I153" s="212"/>
      <c r="J153" s="212"/>
    </row>
    <row r="154" spans="2:10" ht="14.5">
      <c r="B154" s="244"/>
      <c r="C154" s="244"/>
      <c r="D154" s="244"/>
      <c r="E154" s="244"/>
      <c r="H154" s="212"/>
      <c r="I154" s="212"/>
      <c r="J154" s="212"/>
    </row>
    <row r="155" spans="2:10" ht="14.5">
      <c r="D155" s="244"/>
      <c r="E155" s="244"/>
      <c r="H155" s="212"/>
      <c r="I155" s="212"/>
      <c r="J155" s="212"/>
    </row>
    <row r="156" spans="2:10" ht="14.5">
      <c r="H156" s="212"/>
      <c r="I156" s="212"/>
      <c r="J156" s="212"/>
    </row>
    <row r="157" spans="2:10" ht="14.5">
      <c r="B157" s="244"/>
      <c r="C157" s="244"/>
      <c r="D157" s="244"/>
      <c r="E157" s="244"/>
      <c r="H157" s="212"/>
      <c r="I157" s="212"/>
      <c r="J157" s="212"/>
    </row>
    <row r="158" spans="2:10" ht="14.5">
      <c r="D158" s="244"/>
      <c r="E158" s="244"/>
      <c r="H158" s="212"/>
      <c r="I158" s="212"/>
      <c r="J158" s="212"/>
    </row>
    <row r="159" spans="2:10" ht="14.5">
      <c r="H159" s="212"/>
      <c r="I159" s="212"/>
      <c r="J159" s="212"/>
    </row>
    <row r="160" spans="2:10" ht="14.5">
      <c r="B160" s="244"/>
      <c r="C160" s="244"/>
      <c r="D160" s="244"/>
      <c r="E160" s="244"/>
      <c r="H160" s="212"/>
      <c r="I160" s="212"/>
      <c r="J160" s="212"/>
    </row>
    <row r="161" spans="2:10" ht="14.5">
      <c r="C161" s="244"/>
      <c r="D161" s="244"/>
      <c r="E161" s="244"/>
      <c r="H161" s="212"/>
      <c r="I161" s="212"/>
      <c r="J161" s="212"/>
    </row>
    <row r="162" spans="2:10" ht="14.5">
      <c r="H162" s="212"/>
      <c r="I162" s="212"/>
      <c r="J162" s="212"/>
    </row>
    <row r="163" spans="2:10" ht="14.5">
      <c r="B163" s="244"/>
      <c r="C163" s="244"/>
      <c r="D163" s="244"/>
      <c r="E163" s="244"/>
      <c r="H163" s="212"/>
      <c r="I163" s="212"/>
      <c r="J163" s="212"/>
    </row>
    <row r="164" spans="2:10" ht="14.5">
      <c r="D164" s="244"/>
      <c r="E164" s="244"/>
      <c r="H164" s="212"/>
      <c r="I164" s="212"/>
      <c r="J164" s="212"/>
    </row>
    <row r="165" spans="2:10" ht="14.5">
      <c r="H165" s="212"/>
      <c r="I165" s="212"/>
      <c r="J165" s="212"/>
    </row>
    <row r="166" spans="2:10" ht="14.5">
      <c r="B166" s="244"/>
      <c r="C166" s="244"/>
      <c r="D166" s="244"/>
      <c r="E166" s="244"/>
      <c r="H166" s="212"/>
      <c r="I166" s="212"/>
      <c r="J166" s="212"/>
    </row>
    <row r="167" spans="2:10" ht="14.5">
      <c r="D167" s="244"/>
      <c r="E167" s="244"/>
      <c r="H167" s="212"/>
      <c r="I167" s="212"/>
      <c r="J167" s="212"/>
    </row>
    <row r="168" spans="2:10" ht="14.5">
      <c r="H168" s="212"/>
      <c r="I168" s="212"/>
      <c r="J168" s="212"/>
    </row>
    <row r="169" spans="2:10" ht="14.5">
      <c r="B169" s="244"/>
      <c r="C169" s="244"/>
      <c r="D169" s="244"/>
      <c r="E169" s="244"/>
      <c r="H169" s="212"/>
      <c r="I169" s="212"/>
      <c r="J169" s="212"/>
    </row>
    <row r="170" spans="2:10" ht="14.5">
      <c r="D170" s="244"/>
      <c r="E170" s="244"/>
      <c r="H170" s="212"/>
      <c r="I170" s="212"/>
      <c r="J170" s="212"/>
    </row>
    <row r="171" spans="2:10" ht="14.5">
      <c r="H171" s="212"/>
      <c r="I171" s="212"/>
      <c r="J171" s="212"/>
    </row>
    <row r="172" spans="2:10" ht="14.5">
      <c r="B172" s="244"/>
      <c r="C172" s="244"/>
      <c r="D172" s="244"/>
      <c r="E172" s="244"/>
      <c r="H172" s="212"/>
      <c r="I172" s="212"/>
      <c r="J172" s="212"/>
    </row>
    <row r="173" spans="2:10" ht="14.5">
      <c r="D173" s="244"/>
      <c r="E173" s="244"/>
      <c r="H173" s="212"/>
      <c r="I173" s="212"/>
      <c r="J173" s="212"/>
    </row>
    <row r="174" spans="2:10" ht="14.5">
      <c r="H174" s="212"/>
      <c r="I174" s="212"/>
      <c r="J174" s="212"/>
    </row>
    <row r="175" spans="2:10" ht="14.5">
      <c r="B175" s="244"/>
      <c r="C175" s="244"/>
      <c r="D175" s="244"/>
      <c r="E175" s="244"/>
      <c r="H175" s="212"/>
      <c r="I175" s="212"/>
      <c r="J175" s="212"/>
    </row>
    <row r="176" spans="2:10" ht="14.5">
      <c r="D176" s="244"/>
      <c r="E176" s="244"/>
      <c r="H176" s="212"/>
      <c r="I176" s="212"/>
      <c r="J176" s="212"/>
    </row>
    <row r="177" spans="2:10" ht="14.5">
      <c r="H177" s="212"/>
      <c r="I177" s="212"/>
      <c r="J177" s="212"/>
    </row>
    <row r="178" spans="2:10" ht="14.5">
      <c r="B178" s="244"/>
      <c r="C178" s="244"/>
      <c r="D178" s="244"/>
      <c r="E178" s="244"/>
      <c r="H178" s="212"/>
      <c r="I178" s="212"/>
      <c r="J178" s="212"/>
    </row>
    <row r="179" spans="2:10" ht="14.5">
      <c r="D179" s="244"/>
      <c r="E179" s="244"/>
      <c r="H179" s="212"/>
      <c r="I179" s="212"/>
      <c r="J179" s="212"/>
    </row>
    <row r="180" spans="2:10" ht="14.5">
      <c r="H180" s="212"/>
      <c r="I180" s="212"/>
      <c r="J180" s="212"/>
    </row>
    <row r="181" spans="2:10" ht="14.5">
      <c r="B181" s="244"/>
      <c r="C181" s="244"/>
      <c r="D181" s="244"/>
      <c r="E181" s="244"/>
      <c r="H181" s="212"/>
      <c r="I181" s="212"/>
      <c r="J181" s="212"/>
    </row>
    <row r="182" spans="2:10" ht="14.5">
      <c r="D182" s="244"/>
      <c r="E182" s="244"/>
      <c r="H182" s="212"/>
      <c r="I182" s="212"/>
      <c r="J182" s="212"/>
    </row>
    <row r="183" spans="2:10" ht="14.5">
      <c r="H183" s="212"/>
      <c r="I183" s="212"/>
      <c r="J183" s="212"/>
    </row>
    <row r="184" spans="2:10" ht="14.5">
      <c r="B184" s="244"/>
      <c r="C184" s="244"/>
      <c r="D184" s="244"/>
      <c r="E184" s="244"/>
      <c r="H184" s="212"/>
      <c r="I184" s="212"/>
      <c r="J184" s="212"/>
    </row>
    <row r="185" spans="2:10" ht="14.5">
      <c r="D185" s="244"/>
      <c r="E185" s="244"/>
      <c r="H185" s="212"/>
      <c r="I185" s="212"/>
      <c r="J185" s="212"/>
    </row>
    <row r="186" spans="2:10" ht="14.5">
      <c r="H186" s="212"/>
      <c r="I186" s="212"/>
      <c r="J186" s="212"/>
    </row>
    <row r="187" spans="2:10" ht="14.5">
      <c r="B187" s="244"/>
      <c r="C187" s="244"/>
      <c r="D187" s="244"/>
      <c r="E187" s="244"/>
      <c r="H187" s="212"/>
      <c r="I187" s="212"/>
      <c r="J187" s="212"/>
    </row>
    <row r="188" spans="2:10" ht="14.5">
      <c r="D188" s="244"/>
      <c r="E188" s="244"/>
      <c r="H188" s="212"/>
      <c r="I188" s="212"/>
      <c r="J188" s="212"/>
    </row>
    <row r="189" spans="2:10" ht="14.5">
      <c r="H189" s="212"/>
      <c r="I189" s="212"/>
      <c r="J189" s="212"/>
    </row>
    <row r="190" spans="2:10" ht="14.5">
      <c r="B190" s="244"/>
      <c r="C190" s="244"/>
      <c r="D190" s="244"/>
      <c r="E190" s="244"/>
      <c r="H190" s="212"/>
      <c r="I190" s="212"/>
      <c r="J190" s="212"/>
    </row>
    <row r="191" spans="2:10" ht="14.5">
      <c r="D191" s="244"/>
      <c r="E191" s="244"/>
      <c r="H191" s="212"/>
      <c r="I191" s="212"/>
      <c r="J191" s="212"/>
    </row>
    <row r="192" spans="2:10" ht="14.5">
      <c r="H192" s="212"/>
      <c r="I192" s="212"/>
      <c r="J192" s="212"/>
    </row>
    <row r="193" spans="2:10" ht="14.5">
      <c r="B193" s="244"/>
      <c r="C193" s="244"/>
      <c r="D193" s="244"/>
      <c r="E193" s="244"/>
      <c r="H193" s="212"/>
      <c r="I193" s="212"/>
      <c r="J193" s="212"/>
    </row>
    <row r="194" spans="2:10" ht="14.5">
      <c r="D194" s="244"/>
      <c r="E194" s="244"/>
      <c r="H194" s="212"/>
      <c r="I194" s="212"/>
      <c r="J194" s="212"/>
    </row>
    <row r="195" spans="2:10" ht="14.5">
      <c r="H195" s="212"/>
      <c r="I195" s="212"/>
      <c r="J195" s="21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5456-BF7E-4D59-8B3A-7B7C02001AE8}">
  <dimension ref="A1:U50"/>
  <sheetViews>
    <sheetView workbookViewId="0"/>
  </sheetViews>
  <sheetFormatPr defaultColWidth="8.453125" defaultRowHeight="13" outlineLevelCol="1"/>
  <cols>
    <col min="1" max="1" width="44.54296875" style="246" customWidth="1"/>
    <col min="2" max="2" width="9" style="247" customWidth="1"/>
    <col min="3" max="4" width="19.453125" style="246" customWidth="1" outlineLevel="1"/>
    <col min="5" max="5" width="19.453125" style="246" customWidth="1"/>
    <col min="6" max="7" width="19.453125" style="246" customWidth="1" outlineLevel="1"/>
    <col min="8" max="20" width="19.453125" style="246" customWidth="1"/>
    <col min="21" max="21" width="3.453125" style="246" customWidth="1"/>
    <col min="22" max="22" width="18" style="246" bestFit="1" customWidth="1"/>
    <col min="23" max="23" width="14.453125" style="246" bestFit="1" customWidth="1"/>
    <col min="24" max="16384" width="8.453125" style="246"/>
  </cols>
  <sheetData>
    <row r="1" spans="1:20">
      <c r="C1" s="248">
        <v>3.3000000000000002E-2</v>
      </c>
      <c r="D1" s="248">
        <v>3.3000000000000002E-2</v>
      </c>
      <c r="E1" s="248">
        <v>3.3000000000000002E-2</v>
      </c>
      <c r="F1" s="248">
        <v>0.5</v>
      </c>
      <c r="G1" s="248">
        <v>0.5</v>
      </c>
      <c r="H1" s="248">
        <v>0.5</v>
      </c>
      <c r="I1" s="248">
        <v>0.51</v>
      </c>
      <c r="J1" s="248">
        <v>0.51</v>
      </c>
      <c r="K1" s="248">
        <v>0.51</v>
      </c>
      <c r="L1" s="248">
        <v>0.51</v>
      </c>
      <c r="M1" s="248">
        <v>0.51</v>
      </c>
      <c r="N1" s="248">
        <v>0.51</v>
      </c>
      <c r="O1" s="248">
        <v>0.51</v>
      </c>
      <c r="P1" s="248">
        <f>O1</f>
        <v>0.51</v>
      </c>
      <c r="Q1" s="248">
        <f>P1</f>
        <v>0.51</v>
      </c>
      <c r="R1" s="248">
        <v>1</v>
      </c>
      <c r="S1" s="248">
        <v>1</v>
      </c>
      <c r="T1" s="248">
        <v>1</v>
      </c>
    </row>
    <row r="2" spans="1:20">
      <c r="A2" s="246" t="s">
        <v>331</v>
      </c>
      <c r="C2" s="248">
        <f>100%-C1</f>
        <v>0.96699999999999997</v>
      </c>
      <c r="D2" s="248">
        <f t="shared" ref="D2:E2" si="0">100%-D1</f>
        <v>0.96699999999999997</v>
      </c>
      <c r="E2" s="248">
        <f t="shared" si="0"/>
        <v>0.96699999999999997</v>
      </c>
      <c r="F2" s="248">
        <f>100%-F1</f>
        <v>0.5</v>
      </c>
      <c r="G2" s="248">
        <f>100%-G1</f>
        <v>0.5</v>
      </c>
      <c r="H2" s="248">
        <f>100%-H1</f>
        <v>0.5</v>
      </c>
      <c r="I2" s="248">
        <f t="shared" ref="I2:K2" si="1">100%-I1</f>
        <v>0.49</v>
      </c>
      <c r="J2" s="248">
        <f t="shared" si="1"/>
        <v>0.49</v>
      </c>
      <c r="K2" s="248">
        <f t="shared" si="1"/>
        <v>0.49</v>
      </c>
      <c r="L2" s="248">
        <f>100%-L1</f>
        <v>0.49</v>
      </c>
      <c r="M2" s="248">
        <f t="shared" ref="M2:T2" si="2">100%-M1</f>
        <v>0.49</v>
      </c>
      <c r="N2" s="248">
        <f t="shared" si="2"/>
        <v>0.49</v>
      </c>
      <c r="O2" s="248">
        <f t="shared" si="2"/>
        <v>0.49</v>
      </c>
      <c r="P2" s="248">
        <f t="shared" si="2"/>
        <v>0.49</v>
      </c>
      <c r="Q2" s="248">
        <f t="shared" si="2"/>
        <v>0.49</v>
      </c>
      <c r="R2" s="248">
        <f t="shared" si="2"/>
        <v>0</v>
      </c>
      <c r="S2" s="248">
        <f t="shared" si="2"/>
        <v>0</v>
      </c>
      <c r="T2" s="248">
        <f t="shared" si="2"/>
        <v>0</v>
      </c>
    </row>
    <row r="3" spans="1:20">
      <c r="C3" s="39"/>
      <c r="D3" s="249"/>
      <c r="E3" s="250" t="s">
        <v>688</v>
      </c>
      <c r="F3" s="39"/>
      <c r="G3" s="249"/>
      <c r="H3" s="250" t="s">
        <v>740</v>
      </c>
      <c r="I3" s="39"/>
      <c r="J3" s="249"/>
      <c r="K3" s="250" t="s">
        <v>465</v>
      </c>
      <c r="L3" s="251"/>
      <c r="M3" s="252"/>
      <c r="N3" s="253" t="s">
        <v>609</v>
      </c>
      <c r="O3" s="251"/>
      <c r="P3" s="252"/>
      <c r="Q3" s="253" t="s">
        <v>461</v>
      </c>
    </row>
    <row r="4" spans="1:20"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S4" s="254"/>
    </row>
    <row r="5" spans="1:20" s="255" customFormat="1">
      <c r="B5" s="247"/>
      <c r="C5" s="103">
        <v>45107</v>
      </c>
      <c r="D5" s="103">
        <v>45291</v>
      </c>
      <c r="E5" s="103" t="s">
        <v>332</v>
      </c>
      <c r="F5" s="103">
        <v>45107</v>
      </c>
      <c r="G5" s="103">
        <v>45291</v>
      </c>
      <c r="H5" s="103" t="s">
        <v>332</v>
      </c>
      <c r="I5" s="103">
        <v>45107</v>
      </c>
      <c r="J5" s="103">
        <v>45291</v>
      </c>
      <c r="K5" s="103" t="s">
        <v>332</v>
      </c>
      <c r="L5" s="256">
        <v>45229</v>
      </c>
      <c r="M5" s="256">
        <v>45291</v>
      </c>
      <c r="N5" s="256" t="s">
        <v>332</v>
      </c>
      <c r="O5" s="256">
        <v>45260</v>
      </c>
      <c r="P5" s="256">
        <v>45291</v>
      </c>
      <c r="Q5" s="256" t="s">
        <v>332</v>
      </c>
    </row>
    <row r="6" spans="1:20" s="255" customFormat="1">
      <c r="B6" s="247"/>
      <c r="C6" s="257" t="s">
        <v>333</v>
      </c>
      <c r="D6" s="257" t="s">
        <v>333</v>
      </c>
      <c r="E6" s="257" t="s">
        <v>334</v>
      </c>
      <c r="F6" s="257" t="s">
        <v>333</v>
      </c>
      <c r="G6" s="257" t="s">
        <v>333</v>
      </c>
      <c r="H6" s="257" t="s">
        <v>334</v>
      </c>
      <c r="I6" s="257" t="s">
        <v>333</v>
      </c>
      <c r="J6" s="257" t="s">
        <v>333</v>
      </c>
      <c r="K6" s="257" t="s">
        <v>334</v>
      </c>
      <c r="L6" s="258" t="s">
        <v>333</v>
      </c>
      <c r="M6" s="258" t="s">
        <v>333</v>
      </c>
      <c r="N6" s="258" t="s">
        <v>334</v>
      </c>
      <c r="O6" s="258" t="s">
        <v>333</v>
      </c>
      <c r="P6" s="258" t="s">
        <v>333</v>
      </c>
      <c r="Q6" s="258" t="s">
        <v>334</v>
      </c>
    </row>
    <row r="7" spans="1:20">
      <c r="A7" s="246" t="s">
        <v>335</v>
      </c>
      <c r="C7" s="254">
        <f>-'Consol SoFP 24'!I101</f>
        <v>-1130546950515.0767</v>
      </c>
      <c r="D7" s="254">
        <f>C7</f>
        <v>-1130546950515.0767</v>
      </c>
      <c r="E7" s="254">
        <f>D7</f>
        <v>-1130546950515.0767</v>
      </c>
      <c r="F7" s="254">
        <f>-'WP Investment'!AM16</f>
        <v>-2395153721.5749998</v>
      </c>
      <c r="G7" s="254">
        <f>-'Consol SoFP 24'!O101</f>
        <v>2395153721.5749998</v>
      </c>
      <c r="H7" s="254">
        <f>G7</f>
        <v>2395153721.5749998</v>
      </c>
      <c r="I7" s="254">
        <f>-'Consol SoFP 24'!S101</f>
        <v>11771490539.875502</v>
      </c>
      <c r="J7" s="254">
        <f>-'Consol SoFP 24'!S101</f>
        <v>11771490539.875502</v>
      </c>
      <c r="K7" s="254">
        <f>J7</f>
        <v>11771490539.875502</v>
      </c>
      <c r="L7" s="254">
        <f>-'Consol SoFP 24'!V101</f>
        <v>-98357763125</v>
      </c>
      <c r="M7" s="254">
        <f>-'Consol SoFP 24'!V101</f>
        <v>-98357763125</v>
      </c>
      <c r="N7" s="254">
        <f>M7</f>
        <v>-98357763125</v>
      </c>
      <c r="O7" s="254">
        <f>-'Consol SoFP 24'!Y101</f>
        <v>0</v>
      </c>
      <c r="P7" s="254">
        <f>-'Consol SoFP 24'!Y101</f>
        <v>0</v>
      </c>
      <c r="Q7" s="254">
        <f>P7</f>
        <v>0</v>
      </c>
      <c r="S7" s="259"/>
    </row>
    <row r="8" spans="1:20">
      <c r="A8" s="246" t="s">
        <v>221</v>
      </c>
      <c r="C8" s="254">
        <f>'WP Investment'!J17</f>
        <v>-88202213194.459991</v>
      </c>
      <c r="D8" s="254">
        <f>-'Consol SoPL-OCI 24'!M87</f>
        <v>-243676524429.64999</v>
      </c>
      <c r="E8" s="254">
        <f>D8-C8</f>
        <v>-155474311235.19</v>
      </c>
      <c r="F8" s="254">
        <f>'WP Investment'!AM17</f>
        <v>-3103597766.4100003</v>
      </c>
      <c r="G8" s="254">
        <f>-'Consol SoFP 24'!O102</f>
        <v>-10891649906</v>
      </c>
      <c r="H8" s="254">
        <f>G8-F8</f>
        <v>-7788052139.5900002</v>
      </c>
      <c r="I8" s="254">
        <f>'WP Investment'!Z17</f>
        <v>-18300707195.779999</v>
      </c>
      <c r="J8" s="254">
        <f>-'Consol SoFP 24'!S102</f>
        <v>-36098801827</v>
      </c>
      <c r="K8" s="254">
        <f>J8-I8</f>
        <v>-17798094631.220001</v>
      </c>
      <c r="L8" s="254">
        <f>'WP Investment'!BG17</f>
        <v>15256134970</v>
      </c>
      <c r="M8" s="254">
        <f>-'Consol SoFP 24'!V102</f>
        <v>-9124405937.9247017</v>
      </c>
      <c r="N8" s="254">
        <f>M8-L8</f>
        <v>-24380540907.924702</v>
      </c>
      <c r="O8" s="254">
        <v>269062027</v>
      </c>
      <c r="P8" s="254">
        <f>-'Consol SoFP 24'!Y102</f>
        <v>897156804.60000002</v>
      </c>
      <c r="Q8" s="254">
        <f>P8-O8</f>
        <v>628094777.60000002</v>
      </c>
    </row>
    <row r="9" spans="1:20">
      <c r="A9" s="246" t="s">
        <v>336</v>
      </c>
      <c r="C9" s="254">
        <f>-'Consol SoFP 24'!L104</f>
        <v>2578465447.4250002</v>
      </c>
      <c r="D9" s="254"/>
      <c r="E9" s="254">
        <f t="shared" ref="E9:E12" si="3">SUM(C9:D9)</f>
        <v>2578465447.4250002</v>
      </c>
      <c r="F9" s="254"/>
      <c r="G9" s="254"/>
      <c r="H9" s="254">
        <f t="shared" ref="H9:H12" si="4">SUM(F9:G9)</f>
        <v>0</v>
      </c>
      <c r="I9" s="254"/>
      <c r="J9" s="254"/>
      <c r="K9" s="254">
        <f t="shared" ref="K9:K12" si="5">SUM(I9:J9)</f>
        <v>0</v>
      </c>
      <c r="L9" s="254"/>
      <c r="M9" s="254"/>
      <c r="N9" s="254">
        <f t="shared" ref="N9:N12" si="6">SUM(L9:M9)</f>
        <v>0</v>
      </c>
      <c r="O9" s="254"/>
      <c r="P9" s="254"/>
      <c r="Q9" s="254">
        <f t="shared" ref="Q9:Q12" si="7">SUM(O9:P9)</f>
        <v>0</v>
      </c>
    </row>
    <row r="10" spans="1:20">
      <c r="A10" s="246" t="s">
        <v>337</v>
      </c>
      <c r="C10" s="254"/>
      <c r="D10" s="254"/>
      <c r="E10" s="254">
        <f t="shared" si="3"/>
        <v>0</v>
      </c>
      <c r="F10" s="254"/>
      <c r="G10" s="254"/>
      <c r="H10" s="254">
        <f t="shared" si="4"/>
        <v>0</v>
      </c>
      <c r="I10" s="254"/>
      <c r="J10" s="254"/>
      <c r="K10" s="254">
        <f t="shared" si="5"/>
        <v>0</v>
      </c>
      <c r="L10" s="254"/>
      <c r="M10" s="254"/>
      <c r="N10" s="254">
        <f t="shared" si="6"/>
        <v>0</v>
      </c>
      <c r="O10" s="254"/>
      <c r="P10" s="254"/>
      <c r="Q10" s="254">
        <f t="shared" si="7"/>
        <v>0</v>
      </c>
    </row>
    <row r="11" spans="1:20">
      <c r="A11" s="246" t="s">
        <v>338</v>
      </c>
      <c r="C11" s="254">
        <f>-'Consol SoFP 24'!L98</f>
        <v>11551896192.375</v>
      </c>
      <c r="D11" s="254"/>
      <c r="E11" s="254">
        <f t="shared" si="3"/>
        <v>11551896192.375</v>
      </c>
      <c r="F11" s="254"/>
      <c r="G11" s="254"/>
      <c r="H11" s="254">
        <f t="shared" si="4"/>
        <v>0</v>
      </c>
      <c r="I11" s="254"/>
      <c r="J11" s="254"/>
      <c r="K11" s="254">
        <f t="shared" si="5"/>
        <v>0</v>
      </c>
      <c r="L11" s="254"/>
      <c r="M11" s="254"/>
      <c r="N11" s="254">
        <f t="shared" si="6"/>
        <v>0</v>
      </c>
      <c r="O11" s="254"/>
      <c r="P11" s="254"/>
      <c r="Q11" s="254">
        <f t="shared" si="7"/>
        <v>0</v>
      </c>
    </row>
    <row r="12" spans="1:20">
      <c r="A12" s="246" t="s">
        <v>339</v>
      </c>
      <c r="C12" s="254"/>
      <c r="D12" s="254"/>
      <c r="E12" s="254">
        <f t="shared" si="3"/>
        <v>0</v>
      </c>
      <c r="F12" s="254"/>
      <c r="G12" s="254"/>
      <c r="H12" s="254">
        <f t="shared" si="4"/>
        <v>0</v>
      </c>
      <c r="I12" s="254"/>
      <c r="J12" s="254"/>
      <c r="K12" s="254">
        <f t="shared" si="5"/>
        <v>0</v>
      </c>
      <c r="L12" s="254"/>
      <c r="M12" s="254"/>
      <c r="N12" s="254">
        <f t="shared" si="6"/>
        <v>0</v>
      </c>
      <c r="O12" s="254"/>
      <c r="P12" s="254"/>
      <c r="Q12" s="254">
        <f t="shared" si="7"/>
        <v>0</v>
      </c>
    </row>
    <row r="13" spans="1:20" ht="13.5" thickBot="1"/>
    <row r="14" spans="1:20">
      <c r="A14" s="260" t="s">
        <v>340</v>
      </c>
      <c r="B14" s="261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3"/>
    </row>
    <row r="15" spans="1:20">
      <c r="A15" s="264" t="s">
        <v>335</v>
      </c>
      <c r="B15" s="265"/>
      <c r="C15" s="266">
        <f t="shared" ref="C15:E16" si="8">C7*C$1</f>
        <v>-37308049366.997528</v>
      </c>
      <c r="D15" s="266">
        <f t="shared" si="8"/>
        <v>-37308049366.997528</v>
      </c>
      <c r="E15" s="266">
        <f>E7*E$1*0</f>
        <v>0</v>
      </c>
      <c r="F15" s="266">
        <f>F7*I$1</f>
        <v>-1221528398.0032499</v>
      </c>
      <c r="G15" s="266">
        <f>G7*J$1</f>
        <v>1221528398.0032499</v>
      </c>
      <c r="H15" s="266">
        <f>H7*K$1*0</f>
        <v>0</v>
      </c>
      <c r="I15" s="266">
        <f>I7*L$1</f>
        <v>6003460175.3365059</v>
      </c>
      <c r="J15" s="266">
        <f>J7*M$1</f>
        <v>6003460175.3365059</v>
      </c>
      <c r="K15" s="266">
        <f>K7*N$1*0</f>
        <v>0</v>
      </c>
      <c r="L15" s="266">
        <f>L7*O$1</f>
        <v>-50162459193.75</v>
      </c>
      <c r="M15" s="266">
        <f>M7*P$1</f>
        <v>-50162459193.75</v>
      </c>
      <c r="N15" s="266">
        <f>N7*Q$1*0</f>
        <v>0</v>
      </c>
      <c r="O15" s="266">
        <f>O7*R$1</f>
        <v>0</v>
      </c>
      <c r="P15" s="266">
        <f>P7*S$1</f>
        <v>0</v>
      </c>
      <c r="Q15" s="266">
        <f>Q7*T$1*0</f>
        <v>0</v>
      </c>
      <c r="R15" s="267"/>
    </row>
    <row r="16" spans="1:20">
      <c r="A16" s="264" t="s">
        <v>221</v>
      </c>
      <c r="B16" s="265"/>
      <c r="C16" s="266">
        <f t="shared" si="8"/>
        <v>-2910673035.4171801</v>
      </c>
      <c r="D16" s="266">
        <f t="shared" si="8"/>
        <v>-8041325306.1784506</v>
      </c>
      <c r="E16" s="266">
        <f t="shared" si="8"/>
        <v>-5130652270.7612705</v>
      </c>
      <c r="F16" s="266">
        <f>F8*I$1</f>
        <v>-1582834860.8691001</v>
      </c>
      <c r="G16" s="266">
        <f>G8*J$1</f>
        <v>-5554741452.0600004</v>
      </c>
      <c r="H16" s="266">
        <f>H8*K$1</f>
        <v>-3971906591.1909003</v>
      </c>
      <c r="I16" s="266">
        <f>I8*L$1</f>
        <v>-9333360669.8477993</v>
      </c>
      <c r="J16" s="266">
        <f>J8*M$1</f>
        <v>-18410388931.77</v>
      </c>
      <c r="K16" s="266">
        <f>K8*N$1</f>
        <v>-9077028261.9222012</v>
      </c>
      <c r="L16" s="266">
        <f>L8*O$1</f>
        <v>7780628834.6999998</v>
      </c>
      <c r="M16" s="266">
        <f>M8*P$1</f>
        <v>-4653447028.3415976</v>
      </c>
      <c r="N16" s="266">
        <f>N8*Q$1</f>
        <v>-12434075863.041597</v>
      </c>
      <c r="O16" s="266">
        <f>O8*R$1</f>
        <v>269062027</v>
      </c>
      <c r="P16" s="266">
        <f>P8*S$1</f>
        <v>897156804.60000002</v>
      </c>
      <c r="Q16" s="266">
        <f>Q8*T$1</f>
        <v>628094777.60000002</v>
      </c>
      <c r="R16" s="267"/>
    </row>
    <row r="17" spans="1:18">
      <c r="A17" s="264" t="s">
        <v>336</v>
      </c>
      <c r="B17" s="265"/>
      <c r="C17" s="266">
        <f>C9*C$1</f>
        <v>85089359.765025005</v>
      </c>
      <c r="D17" s="266">
        <f>C17</f>
        <v>85089359.765025005</v>
      </c>
      <c r="E17" s="266">
        <f>E9*E$1*0</f>
        <v>0</v>
      </c>
      <c r="F17" s="266">
        <f t="shared" ref="F17:G20" si="9">F11*$C$1</f>
        <v>0</v>
      </c>
      <c r="G17" s="266">
        <f t="shared" si="9"/>
        <v>0</v>
      </c>
      <c r="H17" s="266">
        <f t="shared" ref="H17:H20" si="10">SUM(F17:G17)</f>
        <v>0</v>
      </c>
      <c r="I17" s="266">
        <f t="shared" ref="I17:J20" si="11">I11*$C$1</f>
        <v>0</v>
      </c>
      <c r="J17" s="266">
        <f t="shared" si="11"/>
        <v>0</v>
      </c>
      <c r="K17" s="266">
        <f t="shared" ref="K17:K20" si="12">SUM(I17:J17)</f>
        <v>0</v>
      </c>
      <c r="L17" s="266">
        <f t="shared" ref="L17:M20" si="13">L11*$C$1</f>
        <v>0</v>
      </c>
      <c r="M17" s="266">
        <f t="shared" si="13"/>
        <v>0</v>
      </c>
      <c r="N17" s="266">
        <f t="shared" ref="N17:N20" si="14">SUM(L17:M17)</f>
        <v>0</v>
      </c>
      <c r="O17" s="266">
        <f t="shared" ref="O17:P20" si="15">O11*$C$1</f>
        <v>0</v>
      </c>
      <c r="P17" s="266">
        <f t="shared" si="15"/>
        <v>0</v>
      </c>
      <c r="Q17" s="266">
        <f t="shared" ref="Q17:Q20" si="16">SUM(O17:P17)</f>
        <v>0</v>
      </c>
      <c r="R17" s="267"/>
    </row>
    <row r="18" spans="1:18">
      <c r="A18" s="264" t="s">
        <v>337</v>
      </c>
      <c r="B18" s="265"/>
      <c r="C18" s="266">
        <f>C10*C$1</f>
        <v>0</v>
      </c>
      <c r="D18" s="266">
        <f>'Consol SoFP 24'!L105</f>
        <v>0</v>
      </c>
      <c r="E18" s="266">
        <f t="shared" ref="E18:E20" si="17">E10*E$1</f>
        <v>0</v>
      </c>
      <c r="F18" s="266">
        <f t="shared" si="9"/>
        <v>0</v>
      </c>
      <c r="G18" s="266">
        <f t="shared" si="9"/>
        <v>0</v>
      </c>
      <c r="H18" s="266">
        <f t="shared" si="10"/>
        <v>0</v>
      </c>
      <c r="I18" s="266">
        <f t="shared" si="11"/>
        <v>0</v>
      </c>
      <c r="J18" s="266">
        <f t="shared" si="11"/>
        <v>0</v>
      </c>
      <c r="K18" s="266">
        <f t="shared" si="12"/>
        <v>0</v>
      </c>
      <c r="L18" s="266">
        <f t="shared" si="13"/>
        <v>0</v>
      </c>
      <c r="M18" s="266">
        <f t="shared" si="13"/>
        <v>0</v>
      </c>
      <c r="N18" s="266">
        <f t="shared" si="14"/>
        <v>0</v>
      </c>
      <c r="O18" s="266">
        <f t="shared" si="15"/>
        <v>0</v>
      </c>
      <c r="P18" s="266">
        <f t="shared" si="15"/>
        <v>0</v>
      </c>
      <c r="Q18" s="266">
        <f t="shared" si="16"/>
        <v>0</v>
      </c>
      <c r="R18" s="267"/>
    </row>
    <row r="19" spans="1:18">
      <c r="A19" s="264" t="s">
        <v>338</v>
      </c>
      <c r="B19" s="265"/>
      <c r="C19" s="266">
        <f>C11*C$1</f>
        <v>381212574.34837502</v>
      </c>
      <c r="D19" s="266">
        <f>C19</f>
        <v>381212574.34837502</v>
      </c>
      <c r="E19" s="266">
        <f>E11*E$1*0</f>
        <v>0</v>
      </c>
      <c r="F19" s="266">
        <f t="shared" si="9"/>
        <v>0</v>
      </c>
      <c r="G19" s="266">
        <f t="shared" si="9"/>
        <v>0</v>
      </c>
      <c r="H19" s="266">
        <f t="shared" si="10"/>
        <v>0</v>
      </c>
      <c r="I19" s="266">
        <f t="shared" si="11"/>
        <v>0</v>
      </c>
      <c r="J19" s="266">
        <f t="shared" si="11"/>
        <v>0</v>
      </c>
      <c r="K19" s="266">
        <f t="shared" si="12"/>
        <v>0</v>
      </c>
      <c r="L19" s="266">
        <f t="shared" si="13"/>
        <v>0</v>
      </c>
      <c r="M19" s="266">
        <f t="shared" si="13"/>
        <v>0</v>
      </c>
      <c r="N19" s="266">
        <f t="shared" si="14"/>
        <v>0</v>
      </c>
      <c r="O19" s="266">
        <f t="shared" si="15"/>
        <v>0</v>
      </c>
      <c r="P19" s="266">
        <f t="shared" si="15"/>
        <v>0</v>
      </c>
      <c r="Q19" s="266">
        <f t="shared" si="16"/>
        <v>0</v>
      </c>
      <c r="R19" s="267"/>
    </row>
    <row r="20" spans="1:18">
      <c r="A20" s="264" t="s">
        <v>339</v>
      </c>
      <c r="B20" s="265"/>
      <c r="C20" s="266">
        <f>C12*C$1</f>
        <v>0</v>
      </c>
      <c r="D20" s="266">
        <f>'Consol SoFP 24'!L99</f>
        <v>0</v>
      </c>
      <c r="E20" s="266">
        <f t="shared" si="17"/>
        <v>0</v>
      </c>
      <c r="F20" s="266">
        <f t="shared" si="9"/>
        <v>0</v>
      </c>
      <c r="G20" s="266">
        <f t="shared" si="9"/>
        <v>0</v>
      </c>
      <c r="H20" s="266">
        <f t="shared" si="10"/>
        <v>0</v>
      </c>
      <c r="I20" s="266">
        <f t="shared" si="11"/>
        <v>0</v>
      </c>
      <c r="J20" s="266">
        <f t="shared" si="11"/>
        <v>0</v>
      </c>
      <c r="K20" s="266">
        <f t="shared" si="12"/>
        <v>0</v>
      </c>
      <c r="L20" s="266">
        <f t="shared" si="13"/>
        <v>0</v>
      </c>
      <c r="M20" s="266">
        <f t="shared" si="13"/>
        <v>0</v>
      </c>
      <c r="N20" s="266">
        <f t="shared" si="14"/>
        <v>0</v>
      </c>
      <c r="O20" s="266">
        <f t="shared" si="15"/>
        <v>0</v>
      </c>
      <c r="P20" s="266">
        <f t="shared" si="15"/>
        <v>0</v>
      </c>
      <c r="Q20" s="266">
        <f t="shared" si="16"/>
        <v>0</v>
      </c>
      <c r="R20" s="267"/>
    </row>
    <row r="21" spans="1:18">
      <c r="A21" s="268"/>
      <c r="C21" s="269"/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  <c r="P21" s="269"/>
      <c r="Q21" s="269"/>
      <c r="R21" s="267"/>
    </row>
    <row r="22" spans="1:18">
      <c r="A22" s="270" t="s">
        <v>341</v>
      </c>
      <c r="B22" s="271"/>
      <c r="C22" s="272">
        <f>-'BS RP Disclosure 2024'!I297</f>
        <v>21504957075</v>
      </c>
      <c r="D22" s="272">
        <f>C22</f>
        <v>21504957075</v>
      </c>
      <c r="E22" s="272">
        <f>D22</f>
        <v>21504957075</v>
      </c>
      <c r="F22" s="272">
        <v>7500000</v>
      </c>
      <c r="G22" s="272">
        <v>7500000</v>
      </c>
      <c r="H22" s="272">
        <v>7500000</v>
      </c>
      <c r="I22" s="272"/>
      <c r="J22" s="272"/>
      <c r="K22" s="272">
        <f t="shared" ref="K22" si="18">SUM(I22:J22)</f>
        <v>0</v>
      </c>
      <c r="L22" s="272"/>
      <c r="M22" s="272"/>
      <c r="N22" s="272">
        <f t="shared" ref="N22" si="19">SUM(L22:M22)</f>
        <v>0</v>
      </c>
      <c r="O22" s="272"/>
      <c r="P22" s="272"/>
      <c r="Q22" s="272">
        <f t="shared" ref="Q22" si="20">SUM(O22:P22)</f>
        <v>0</v>
      </c>
      <c r="R22" s="267"/>
    </row>
    <row r="23" spans="1:18">
      <c r="A23" s="268"/>
      <c r="R23" s="267"/>
    </row>
    <row r="24" spans="1:18">
      <c r="A24" s="273" t="s">
        <v>342</v>
      </c>
      <c r="C24" s="274">
        <f>SUM(C15:C22)</f>
        <v>-18247463393.301315</v>
      </c>
      <c r="D24" s="274"/>
      <c r="E24" s="274">
        <f>SUM(E15:E22)</f>
        <v>16374304804.238729</v>
      </c>
      <c r="F24" s="274">
        <f>SUM(F15:F18)+F22</f>
        <v>-2796863258.8723497</v>
      </c>
      <c r="G24" s="274">
        <f>SUM(G15:G22)</f>
        <v>-4325713054.0567503</v>
      </c>
      <c r="H24" s="274">
        <f>SUM(H15:H18)+H22</f>
        <v>-3964406591.1909003</v>
      </c>
      <c r="I24" s="274">
        <f>SUM(I15:I18)+I22</f>
        <v>-3329900494.5112934</v>
      </c>
      <c r="J24" s="274">
        <f>SUM(J15:J22)</f>
        <v>-12406928756.433495</v>
      </c>
      <c r="K24" s="274">
        <f>SUM(K15:K18)+K22</f>
        <v>-9077028261.9222012</v>
      </c>
      <c r="L24" s="274">
        <f>SUM(L15:L18)+L22</f>
        <v>-42381830359.050003</v>
      </c>
      <c r="M24" s="274">
        <f>SUM(M15:M22)</f>
        <v>-54815906222.091599</v>
      </c>
      <c r="N24" s="274">
        <f>SUM(N15:N18)+N22</f>
        <v>-12434075863.041597</v>
      </c>
      <c r="O24" s="274">
        <f>SUM(O15:O18)+O22</f>
        <v>269062027</v>
      </c>
      <c r="P24" s="274">
        <f>SUM(P15:P22)</f>
        <v>897156804.60000002</v>
      </c>
      <c r="Q24" s="274">
        <f>SUM(Q15:Q18)+Q22</f>
        <v>628094777.60000002</v>
      </c>
      <c r="R24" s="267"/>
    </row>
    <row r="25" spans="1:18" ht="13.5" thickBot="1">
      <c r="A25" s="275"/>
      <c r="B25" s="276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8"/>
    </row>
    <row r="27" spans="1:18" ht="13.5" thickBot="1"/>
    <row r="28" spans="1:18" ht="13.5" thickBot="1">
      <c r="A28" s="279" t="s">
        <v>340</v>
      </c>
      <c r="C28" s="280" t="s">
        <v>335</v>
      </c>
      <c r="D28" s="280" t="s">
        <v>221</v>
      </c>
      <c r="E28" s="280" t="s">
        <v>336</v>
      </c>
      <c r="F28" s="280" t="s">
        <v>337</v>
      </c>
      <c r="G28" s="280" t="s">
        <v>338</v>
      </c>
      <c r="H28" s="280" t="s">
        <v>339</v>
      </c>
    </row>
    <row r="29" spans="1:18">
      <c r="A29" s="246" t="s">
        <v>546</v>
      </c>
      <c r="C29" s="281">
        <f>E15</f>
        <v>0</v>
      </c>
      <c r="D29" s="281">
        <f>E16</f>
        <v>-5130652270.7612705</v>
      </c>
      <c r="E29" s="281">
        <f>E17</f>
        <v>0</v>
      </c>
      <c r="F29" s="281">
        <f>E18</f>
        <v>0</v>
      </c>
      <c r="G29" s="281">
        <v>0</v>
      </c>
      <c r="H29" s="281">
        <f>E20</f>
        <v>0</v>
      </c>
    </row>
    <row r="30" spans="1:18">
      <c r="A30" s="246" t="s">
        <v>547</v>
      </c>
      <c r="C30" s="281">
        <v>0</v>
      </c>
      <c r="D30" s="281">
        <f>H16</f>
        <v>-3971906591.1909003</v>
      </c>
    </row>
    <row r="31" spans="1:18">
      <c r="A31" s="246" t="s">
        <v>548</v>
      </c>
      <c r="C31" s="281">
        <f>K15</f>
        <v>0</v>
      </c>
      <c r="D31" s="281">
        <f>K16</f>
        <v>-9077028261.9222012</v>
      </c>
    </row>
    <row r="32" spans="1:18">
      <c r="A32" s="246" t="s">
        <v>544</v>
      </c>
      <c r="C32" s="281"/>
      <c r="D32" s="281">
        <f>N16</f>
        <v>-12434075863.041597</v>
      </c>
    </row>
    <row r="34" spans="1:21">
      <c r="A34" s="246" t="s">
        <v>225</v>
      </c>
      <c r="C34" s="281">
        <f>SUM(C29:C31)</f>
        <v>0</v>
      </c>
      <c r="D34" s="281">
        <f>SUM(D29:D32)</f>
        <v>-30613662986.91597</v>
      </c>
      <c r="E34" s="281">
        <f>SUM(E29:E31)</f>
        <v>0</v>
      </c>
      <c r="F34" s="281">
        <f>SUM(F29:F31)</f>
        <v>0</v>
      </c>
      <c r="G34" s="281">
        <f>SUM(G29:G31)</f>
        <v>0</v>
      </c>
      <c r="H34" s="281">
        <f>SUM(H29:H31)</f>
        <v>0</v>
      </c>
    </row>
    <row r="35" spans="1:21" ht="13.5" thickBot="1"/>
    <row r="36" spans="1:21" ht="13.5" thickBot="1">
      <c r="A36" s="279" t="s">
        <v>343</v>
      </c>
      <c r="C36" s="280" t="s">
        <v>335</v>
      </c>
      <c r="D36" s="280" t="s">
        <v>221</v>
      </c>
      <c r="E36" s="280" t="s">
        <v>336</v>
      </c>
      <c r="F36" s="280" t="s">
        <v>337</v>
      </c>
      <c r="G36" s="280" t="s">
        <v>338</v>
      </c>
      <c r="H36" s="280" t="s">
        <v>339</v>
      </c>
    </row>
    <row r="37" spans="1:21">
      <c r="A37" s="246" t="s">
        <v>544</v>
      </c>
      <c r="C37" s="281">
        <f>SUM(L15:L16)*51%*0</f>
        <v>0</v>
      </c>
      <c r="D37" s="281">
        <f>N16*51%*0</f>
        <v>0</v>
      </c>
    </row>
    <row r="38" spans="1:21">
      <c r="A38" s="246" t="s">
        <v>549</v>
      </c>
      <c r="C38" s="281">
        <f>O16*51%*0</f>
        <v>0</v>
      </c>
      <c r="D38" s="281">
        <f>Q16*51%*0</f>
        <v>0</v>
      </c>
    </row>
    <row r="39" spans="1:21">
      <c r="A39" s="246" t="s">
        <v>547</v>
      </c>
      <c r="C39" s="282">
        <v>0</v>
      </c>
      <c r="D39" s="283">
        <f>H8*50%*C1*0</f>
        <v>0</v>
      </c>
    </row>
    <row r="41" spans="1:21" ht="13.5" thickBot="1">
      <c r="A41" s="275"/>
      <c r="B41" s="276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8"/>
    </row>
    <row r="42" spans="1:21" ht="13.5" thickBot="1"/>
    <row r="43" spans="1:21" ht="13.5" thickBot="1">
      <c r="A43" s="279" t="s">
        <v>344</v>
      </c>
      <c r="C43" s="280" t="s">
        <v>335</v>
      </c>
      <c r="D43" s="280" t="s">
        <v>32</v>
      </c>
      <c r="E43" s="280" t="s">
        <v>345</v>
      </c>
      <c r="F43" s="280" t="s">
        <v>27</v>
      </c>
    </row>
    <row r="44" spans="1:21">
      <c r="A44" s="246" t="s">
        <v>546</v>
      </c>
      <c r="B44" s="247" t="s">
        <v>640</v>
      </c>
      <c r="C44" s="281">
        <f>-D44</f>
        <v>9424909501.5143566</v>
      </c>
      <c r="D44" s="281">
        <v>-9424909501.5143566</v>
      </c>
      <c r="E44" s="281">
        <f>O24*51%*0</f>
        <v>0</v>
      </c>
    </row>
    <row r="45" spans="1:21">
      <c r="A45" s="246" t="s">
        <v>552</v>
      </c>
      <c r="B45" s="247" t="s">
        <v>640</v>
      </c>
      <c r="C45" s="281">
        <f t="shared" ref="C45:C47" si="21">-D45</f>
        <v>364635958.9053424</v>
      </c>
      <c r="D45" s="281">
        <v>-364635958.9053424</v>
      </c>
      <c r="E45" s="281">
        <f>R24*51%*0</f>
        <v>0</v>
      </c>
    </row>
    <row r="46" spans="1:21">
      <c r="A46" s="246" t="s">
        <v>547</v>
      </c>
      <c r="B46" s="247" t="s">
        <v>640</v>
      </c>
      <c r="C46" s="281">
        <f t="shared" si="21"/>
        <v>156080432.75452057</v>
      </c>
      <c r="D46" s="281">
        <v>-156080432.75452057</v>
      </c>
      <c r="E46" s="281">
        <f>F16*50%*D9*0</f>
        <v>0</v>
      </c>
    </row>
    <row r="47" spans="1:21">
      <c r="A47" s="246" t="s">
        <v>548</v>
      </c>
      <c r="B47" s="247" t="s">
        <v>640</v>
      </c>
      <c r="C47" s="281">
        <f t="shared" si="21"/>
        <v>1051278716.1772877</v>
      </c>
      <c r="D47" s="281">
        <v>-1051278716.1772877</v>
      </c>
      <c r="E47" s="281">
        <f>I16*50%*D9*0</f>
        <v>0</v>
      </c>
    </row>
    <row r="48" spans="1:21">
      <c r="A48" s="246" t="s">
        <v>544</v>
      </c>
      <c r="C48" s="281">
        <v>-624569075</v>
      </c>
      <c r="D48" s="281"/>
      <c r="E48" s="281">
        <f>-C48</f>
        <v>624569075</v>
      </c>
    </row>
    <row r="49" spans="1:6">
      <c r="A49" s="246" t="s">
        <v>546</v>
      </c>
      <c r="B49" s="247" t="s">
        <v>688</v>
      </c>
      <c r="C49" s="281">
        <v>1045349619.54724</v>
      </c>
      <c r="D49" s="281">
        <f>-C49</f>
        <v>-1045349619.54724</v>
      </c>
    </row>
    <row r="50" spans="1:6">
      <c r="A50" s="246" t="s">
        <v>543</v>
      </c>
      <c r="C50" s="281"/>
      <c r="D50" s="281"/>
      <c r="F50" s="281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2F61-08F1-4ACA-A394-EB0F3D7D2C34}">
  <sheetPr>
    <tabColor rgb="FF002060"/>
  </sheetPr>
  <dimension ref="B1:BM51"/>
  <sheetViews>
    <sheetView topLeftCell="D18" workbookViewId="0"/>
  </sheetViews>
  <sheetFormatPr defaultColWidth="9.26953125" defaultRowHeight="14"/>
  <cols>
    <col min="1" max="1" width="3.1796875" style="356" customWidth="1"/>
    <col min="2" max="2" width="1.81640625" style="356" customWidth="1"/>
    <col min="3" max="3" width="54.7265625" style="356" customWidth="1"/>
    <col min="4" max="4" width="3.54296875" style="356" customWidth="1"/>
    <col min="5" max="5" width="26.54296875" style="356" customWidth="1"/>
    <col min="6" max="6" width="3.54296875" style="356" customWidth="1"/>
    <col min="7" max="7" width="26.54296875" style="356" customWidth="1"/>
    <col min="8" max="9" width="3.54296875" style="356" customWidth="1"/>
    <col min="10" max="10" width="26.54296875" style="356" customWidth="1"/>
    <col min="11" max="11" width="3.54296875" style="356" customWidth="1"/>
    <col min="12" max="12" width="26.54296875" style="356" customWidth="1"/>
    <col min="13" max="13" width="3.54296875" style="356" customWidth="1"/>
    <col min="14" max="14" width="26.54296875" style="356" customWidth="1"/>
    <col min="15" max="15" width="20" style="356" bestFit="1" customWidth="1"/>
    <col min="16" max="16" width="1.453125" style="356" customWidth="1"/>
    <col min="17" max="17" width="3.54296875" style="356" customWidth="1"/>
    <col min="18" max="18" width="33.1796875" style="356" customWidth="1"/>
    <col min="19" max="19" width="3.54296875" style="356" customWidth="1"/>
    <col min="20" max="20" width="17.26953125" style="356" customWidth="1"/>
    <col min="21" max="21" width="3.54296875" style="356" customWidth="1"/>
    <col min="22" max="22" width="17.26953125" style="356" customWidth="1"/>
    <col min="23" max="23" width="3.54296875" style="356" customWidth="1"/>
    <col min="24" max="24" width="17.26953125" style="356" customWidth="1"/>
    <col min="25" max="25" width="3.54296875" style="356" customWidth="1"/>
    <col min="26" max="26" width="17.26953125" style="356" customWidth="1"/>
    <col min="27" max="27" width="3.54296875" style="356" customWidth="1"/>
    <col min="28" max="28" width="17.26953125" style="356" customWidth="1"/>
    <col min="29" max="29" width="3.54296875" style="356" customWidth="1"/>
    <col min="30" max="30" width="17.26953125" style="356" customWidth="1"/>
    <col min="31" max="31" width="2.1796875" style="356" customWidth="1"/>
    <col min="32" max="33" width="1.453125" style="356" customWidth="1"/>
    <col min="34" max="34" width="3.7265625" style="356" customWidth="1"/>
    <col min="35" max="35" width="33.1796875" style="356" customWidth="1"/>
    <col min="36" max="36" width="3.54296875" style="356" customWidth="1"/>
    <col min="37" max="37" width="17.26953125" style="356" customWidth="1"/>
    <col min="38" max="38" width="3.54296875" style="356" customWidth="1"/>
    <col min="39" max="39" width="17.26953125" style="356" customWidth="1"/>
    <col min="40" max="40" width="3.54296875" style="356" customWidth="1"/>
    <col min="41" max="41" width="17.26953125" style="356" customWidth="1"/>
    <col min="42" max="42" width="3.54296875" style="356" customWidth="1"/>
    <col min="43" max="43" width="17.26953125" style="356" customWidth="1"/>
    <col min="44" max="44" width="3.54296875" style="356" customWidth="1"/>
    <col min="45" max="45" width="17.26953125" style="356" customWidth="1"/>
    <col min="46" max="46" width="3.54296875" style="356" customWidth="1"/>
    <col min="47" max="47" width="17.26953125" style="356" customWidth="1"/>
    <col min="48" max="48" width="3.7265625" style="356" customWidth="1"/>
    <col min="49" max="49" width="1.453125" style="356" customWidth="1"/>
    <col min="50" max="50" width="3.7265625" style="356" customWidth="1"/>
    <col min="51" max="51" width="33.1796875" style="356" customWidth="1"/>
    <col min="52" max="52" width="3.54296875" style="356" customWidth="1"/>
    <col min="53" max="53" width="17.26953125" style="356" customWidth="1"/>
    <col min="54" max="54" width="3.54296875" style="356" customWidth="1"/>
    <col min="55" max="55" width="17.26953125" style="356" customWidth="1"/>
    <col min="56" max="56" width="3.54296875" style="356" customWidth="1"/>
    <col min="57" max="57" width="17.26953125" style="356" customWidth="1"/>
    <col min="58" max="58" width="3.54296875" style="356" customWidth="1"/>
    <col min="59" max="59" width="17.26953125" style="356" customWidth="1"/>
    <col min="60" max="60" width="3.54296875" style="356" customWidth="1"/>
    <col min="61" max="61" width="17.26953125" style="356" customWidth="1"/>
    <col min="62" max="62" width="3.54296875" style="356" customWidth="1"/>
    <col min="63" max="63" width="17.26953125" style="356" customWidth="1"/>
    <col min="64" max="64" width="3.7265625" style="356" customWidth="1"/>
    <col min="65" max="65" width="1.453125" style="356" customWidth="1"/>
    <col min="66" max="16384" width="9.26953125" style="356"/>
  </cols>
  <sheetData>
    <row r="1" spans="2:65">
      <c r="B1" s="352"/>
      <c r="C1" s="352"/>
      <c r="D1" s="353"/>
      <c r="E1" s="354"/>
      <c r="F1" s="353"/>
      <c r="G1" s="354"/>
      <c r="H1" s="353"/>
      <c r="I1" s="353"/>
      <c r="J1" s="354"/>
      <c r="K1" s="353"/>
      <c r="L1" s="354"/>
      <c r="M1" s="353"/>
      <c r="N1" s="354"/>
      <c r="O1" s="353"/>
      <c r="P1" s="355"/>
      <c r="Q1" s="352"/>
      <c r="R1" s="352"/>
      <c r="S1" s="353"/>
      <c r="T1" s="354"/>
      <c r="U1" s="353"/>
      <c r="V1" s="354"/>
      <c r="W1" s="353"/>
      <c r="X1" s="354"/>
      <c r="Y1" s="353"/>
      <c r="Z1" s="354"/>
      <c r="AA1" s="353"/>
      <c r="AB1" s="354"/>
      <c r="AC1" s="353"/>
      <c r="AD1" s="354"/>
      <c r="AE1" s="353"/>
      <c r="AF1" s="355"/>
      <c r="AG1" s="355"/>
      <c r="AH1" s="352"/>
      <c r="AI1" s="352"/>
      <c r="AJ1" s="353"/>
      <c r="AK1" s="354"/>
      <c r="AL1" s="353"/>
      <c r="AM1" s="354"/>
      <c r="AN1" s="353"/>
      <c r="AO1" s="354"/>
      <c r="AP1" s="353"/>
      <c r="AQ1" s="354"/>
      <c r="AR1" s="353"/>
      <c r="AS1" s="354"/>
      <c r="AT1" s="353"/>
      <c r="AU1" s="354"/>
      <c r="AV1" s="353"/>
      <c r="AW1" s="355"/>
      <c r="AX1" s="352"/>
      <c r="AY1" s="352"/>
      <c r="AZ1" s="353"/>
      <c r="BA1" s="354"/>
      <c r="BB1" s="353"/>
      <c r="BC1" s="354"/>
      <c r="BD1" s="353"/>
      <c r="BE1" s="354"/>
      <c r="BF1" s="353"/>
      <c r="BG1" s="354"/>
      <c r="BH1" s="353"/>
      <c r="BI1" s="354"/>
      <c r="BJ1" s="353"/>
      <c r="BK1" s="354"/>
      <c r="BL1" s="353"/>
      <c r="BM1" s="355"/>
    </row>
    <row r="2" spans="2:65">
      <c r="B2" s="352"/>
      <c r="C2" s="352" t="s">
        <v>373</v>
      </c>
      <c r="D2" s="353"/>
      <c r="E2" s="357">
        <v>651665345625</v>
      </c>
      <c r="F2" s="353"/>
      <c r="G2" s="354"/>
      <c r="H2" s="353"/>
      <c r="I2" s="353"/>
      <c r="M2" s="353"/>
      <c r="N2" s="354"/>
      <c r="O2" s="353"/>
      <c r="P2" s="355"/>
      <c r="Q2" s="352"/>
      <c r="R2" s="352" t="s">
        <v>373</v>
      </c>
      <c r="S2" s="353"/>
      <c r="T2" s="357">
        <v>4921875000</v>
      </c>
      <c r="U2" s="353"/>
      <c r="V2" s="354">
        <f>T2*1.575</f>
        <v>7751953125</v>
      </c>
      <c r="W2" s="353"/>
      <c r="X2" s="354"/>
      <c r="Y2" s="353"/>
      <c r="Z2" s="354"/>
      <c r="AA2" s="353"/>
      <c r="AB2" s="354"/>
      <c r="AC2" s="353"/>
      <c r="AD2" s="354"/>
      <c r="AE2" s="353"/>
      <c r="AF2" s="355"/>
      <c r="AG2" s="355"/>
      <c r="AH2" s="352"/>
      <c r="AI2" s="352" t="s">
        <v>373</v>
      </c>
      <c r="AJ2" s="353"/>
      <c r="AK2" s="357">
        <v>23625000</v>
      </c>
      <c r="AL2" s="353"/>
      <c r="AM2" s="354"/>
      <c r="AN2" s="353"/>
      <c r="AO2" s="354"/>
      <c r="AP2" s="353"/>
      <c r="AQ2" s="354"/>
      <c r="AR2" s="353"/>
      <c r="AS2" s="354"/>
      <c r="AT2" s="353"/>
      <c r="AU2" s="354"/>
      <c r="AV2" s="353"/>
      <c r="AW2" s="355"/>
      <c r="AX2" s="352"/>
      <c r="AY2" s="352" t="s">
        <v>373</v>
      </c>
      <c r="AZ2" s="353"/>
      <c r="BA2" s="357">
        <v>472500000</v>
      </c>
      <c r="BB2" s="353"/>
      <c r="BC2" s="354"/>
      <c r="BD2" s="353"/>
      <c r="BE2" s="354"/>
      <c r="BF2" s="353"/>
      <c r="BG2" s="354"/>
      <c r="BH2" s="353"/>
      <c r="BI2" s="354"/>
      <c r="BJ2" s="353"/>
      <c r="BK2" s="354"/>
      <c r="BL2" s="353"/>
      <c r="BM2" s="355"/>
    </row>
    <row r="3" spans="2:65">
      <c r="B3" s="352"/>
      <c r="C3" s="352" t="s">
        <v>374</v>
      </c>
      <c r="D3" s="353"/>
      <c r="E3" s="358">
        <v>651665345625</v>
      </c>
      <c r="F3" s="353"/>
      <c r="G3" s="359" t="s">
        <v>375</v>
      </c>
      <c r="H3" s="353"/>
      <c r="I3" s="353"/>
      <c r="M3" s="353"/>
      <c r="N3" s="354"/>
      <c r="O3" s="353"/>
      <c r="P3" s="355"/>
      <c r="Q3" s="352"/>
      <c r="R3" s="352" t="s">
        <v>374</v>
      </c>
      <c r="S3" s="353"/>
      <c r="T3" s="358">
        <v>4921875000</v>
      </c>
      <c r="U3" s="353"/>
      <c r="V3" s="359"/>
      <c r="W3" s="353"/>
      <c r="X3" s="359"/>
      <c r="Y3" s="353"/>
      <c r="Z3" s="359"/>
      <c r="AA3" s="353"/>
      <c r="AB3" s="354"/>
      <c r="AC3" s="353"/>
      <c r="AD3" s="354"/>
      <c r="AE3" s="353"/>
      <c r="AF3" s="355"/>
      <c r="AG3" s="355"/>
      <c r="AH3" s="352"/>
      <c r="AI3" s="352" t="s">
        <v>374</v>
      </c>
      <c r="AJ3" s="353"/>
      <c r="AK3" s="358">
        <v>23625000</v>
      </c>
      <c r="AL3" s="353"/>
      <c r="AM3" s="359"/>
      <c r="AN3" s="353"/>
      <c r="AO3" s="359"/>
      <c r="AP3" s="353"/>
      <c r="AQ3" s="359"/>
      <c r="AR3" s="353"/>
      <c r="AS3" s="354"/>
      <c r="AT3" s="353"/>
      <c r="AU3" s="354"/>
      <c r="AV3" s="353"/>
      <c r="AW3" s="355"/>
      <c r="AX3" s="352"/>
      <c r="AY3" s="352" t="s">
        <v>374</v>
      </c>
      <c r="AZ3" s="353"/>
      <c r="BA3" s="358">
        <v>472500000</v>
      </c>
      <c r="BB3" s="353"/>
      <c r="BC3" s="354"/>
      <c r="BD3" s="353"/>
      <c r="BE3" s="359"/>
      <c r="BF3" s="353"/>
      <c r="BG3" s="359"/>
      <c r="BH3" s="353"/>
      <c r="BI3" s="354"/>
      <c r="BJ3" s="353"/>
      <c r="BK3" s="354"/>
      <c r="BL3" s="353"/>
      <c r="BM3" s="355"/>
    </row>
    <row r="4" spans="2:65">
      <c r="B4" s="360"/>
      <c r="C4" s="361"/>
      <c r="D4" s="362" t="s">
        <v>109</v>
      </c>
      <c r="E4" s="363">
        <f>E2-E3</f>
        <v>0</v>
      </c>
      <c r="G4" s="354"/>
      <c r="H4" s="354"/>
      <c r="I4" s="354"/>
      <c r="P4" s="355"/>
      <c r="Q4" s="360"/>
      <c r="R4" s="361"/>
      <c r="S4" s="362" t="s">
        <v>109</v>
      </c>
      <c r="T4" s="363">
        <f>T2-T3</f>
        <v>0</v>
      </c>
      <c r="AF4" s="355"/>
      <c r="AG4" s="355"/>
      <c r="AH4" s="360"/>
      <c r="AI4" s="361"/>
      <c r="AJ4" s="362" t="s">
        <v>109</v>
      </c>
      <c r="AK4" s="363">
        <f>AK2-AK3</f>
        <v>0</v>
      </c>
      <c r="AW4" s="355"/>
      <c r="AX4" s="360"/>
      <c r="AY4" s="361"/>
      <c r="AZ4" s="362" t="s">
        <v>109</v>
      </c>
      <c r="BA4" s="363">
        <f>BA2-BA3</f>
        <v>0</v>
      </c>
      <c r="BM4" s="355"/>
    </row>
    <row r="5" spans="2:65" ht="14.5" thickBot="1">
      <c r="B5" s="360"/>
      <c r="C5" s="361"/>
      <c r="P5" s="355"/>
      <c r="Q5" s="360"/>
      <c r="R5" s="361"/>
      <c r="AF5" s="355"/>
      <c r="AG5" s="355"/>
      <c r="AH5" s="360"/>
      <c r="AI5" s="361"/>
      <c r="AW5" s="355"/>
      <c r="AX5" s="360"/>
      <c r="AY5" s="361"/>
      <c r="BM5" s="355"/>
    </row>
    <row r="6" spans="2:65">
      <c r="B6" s="364"/>
      <c r="C6" s="365" t="s">
        <v>1144</v>
      </c>
      <c r="D6" s="366"/>
      <c r="E6" s="367" t="s">
        <v>376</v>
      </c>
      <c r="F6" s="366"/>
      <c r="G6" s="367"/>
      <c r="H6" s="366"/>
      <c r="I6" s="366"/>
      <c r="J6" s="367" t="s">
        <v>376</v>
      </c>
      <c r="K6" s="366"/>
      <c r="L6" s="367"/>
      <c r="M6" s="366"/>
      <c r="N6" s="366"/>
      <c r="O6" s="368"/>
      <c r="P6" s="355"/>
      <c r="Q6" s="364"/>
      <c r="R6" s="365" t="s">
        <v>793</v>
      </c>
      <c r="S6" s="366"/>
      <c r="T6" s="367" t="s">
        <v>376</v>
      </c>
      <c r="U6" s="366"/>
      <c r="V6" s="367" t="s">
        <v>376</v>
      </c>
      <c r="W6" s="366"/>
      <c r="X6" s="367" t="s">
        <v>376</v>
      </c>
      <c r="Y6" s="366"/>
      <c r="Z6" s="367" t="s">
        <v>376</v>
      </c>
      <c r="AA6" s="366"/>
      <c r="AB6" s="366"/>
      <c r="AC6" s="366"/>
      <c r="AD6" s="366"/>
      <c r="AE6" s="368"/>
      <c r="AF6" s="355"/>
      <c r="AG6" s="355"/>
      <c r="AH6" s="364"/>
      <c r="AI6" s="365" t="s">
        <v>761</v>
      </c>
      <c r="AJ6" s="366"/>
      <c r="AK6" s="367" t="s">
        <v>377</v>
      </c>
      <c r="AL6" s="366"/>
      <c r="AM6" s="367" t="s">
        <v>377</v>
      </c>
      <c r="AN6" s="366"/>
      <c r="AO6" s="367" t="s">
        <v>377</v>
      </c>
      <c r="AP6" s="366"/>
      <c r="AQ6" s="367" t="s">
        <v>377</v>
      </c>
      <c r="AR6" s="366"/>
      <c r="AS6" s="366"/>
      <c r="AT6" s="366"/>
      <c r="AU6" s="366"/>
      <c r="AV6" s="368"/>
      <c r="AW6" s="355"/>
      <c r="AX6" s="364"/>
      <c r="AY6" s="365" t="s">
        <v>638</v>
      </c>
      <c r="AZ6" s="366"/>
      <c r="BA6" s="367" t="s">
        <v>378</v>
      </c>
      <c r="BB6" s="366"/>
      <c r="BC6" s="367" t="s">
        <v>378</v>
      </c>
      <c r="BD6" s="366"/>
      <c r="BE6" s="367" t="s">
        <v>378</v>
      </c>
      <c r="BF6" s="366"/>
      <c r="BG6" s="367" t="s">
        <v>378</v>
      </c>
      <c r="BH6" s="366"/>
      <c r="BI6" s="366"/>
      <c r="BJ6" s="366"/>
      <c r="BK6" s="366"/>
      <c r="BL6" s="368"/>
      <c r="BM6" s="355"/>
    </row>
    <row r="7" spans="2:65" s="371" customFormat="1">
      <c r="B7" s="369"/>
      <c r="C7" s="370"/>
      <c r="O7" s="372"/>
      <c r="P7" s="355"/>
      <c r="Q7" s="369"/>
      <c r="R7" s="370"/>
      <c r="AE7" s="372"/>
      <c r="AF7" s="355"/>
      <c r="AG7" s="355"/>
      <c r="AH7" s="369"/>
      <c r="AI7" s="370"/>
      <c r="AV7" s="372"/>
      <c r="AW7" s="355"/>
      <c r="AX7" s="369"/>
      <c r="AY7" s="370"/>
      <c r="BL7" s="372"/>
      <c r="BM7" s="355"/>
    </row>
    <row r="8" spans="2:65" s="371" customFormat="1">
      <c r="B8" s="369"/>
      <c r="C8" s="370"/>
      <c r="O8" s="372"/>
      <c r="P8" s="355"/>
      <c r="Q8" s="369"/>
      <c r="R8" s="370"/>
      <c r="AE8" s="372"/>
      <c r="AF8" s="355"/>
      <c r="AG8" s="355"/>
      <c r="AH8" s="369"/>
      <c r="AI8" s="370"/>
      <c r="AV8" s="372"/>
      <c r="AW8" s="355"/>
      <c r="AX8" s="369"/>
      <c r="AY8" s="370"/>
      <c r="BL8" s="372"/>
      <c r="BM8" s="355"/>
    </row>
    <row r="9" spans="2:65" ht="52">
      <c r="B9" s="373"/>
      <c r="C9" s="374" t="s">
        <v>640</v>
      </c>
      <c r="E9" s="375" t="s">
        <v>379</v>
      </c>
      <c r="G9" s="375" t="s">
        <v>380</v>
      </c>
      <c r="J9" s="375" t="s">
        <v>381</v>
      </c>
      <c r="L9" s="375" t="s">
        <v>382</v>
      </c>
      <c r="N9" s="376" t="s">
        <v>684</v>
      </c>
      <c r="O9" s="372"/>
      <c r="P9" s="355"/>
      <c r="Q9" s="373"/>
      <c r="R9" s="374" t="s">
        <v>640</v>
      </c>
      <c r="T9" s="375" t="s">
        <v>379</v>
      </c>
      <c r="V9" s="375" t="s">
        <v>383</v>
      </c>
      <c r="X9" s="375" t="s">
        <v>384</v>
      </c>
      <c r="Z9" s="375" t="s">
        <v>385</v>
      </c>
      <c r="AB9" s="377" t="s">
        <v>386</v>
      </c>
      <c r="AD9" s="376" t="s">
        <v>684</v>
      </c>
      <c r="AE9" s="372"/>
      <c r="AF9" s="355"/>
      <c r="AG9" s="355"/>
      <c r="AH9" s="373"/>
      <c r="AI9" s="374" t="s">
        <v>640</v>
      </c>
      <c r="AK9" s="375" t="s">
        <v>387</v>
      </c>
      <c r="AM9" s="375" t="s">
        <v>388</v>
      </c>
      <c r="AO9" s="375" t="s">
        <v>384</v>
      </c>
      <c r="AQ9" s="375" t="s">
        <v>389</v>
      </c>
      <c r="AS9" s="377" t="s">
        <v>386</v>
      </c>
      <c r="AU9" s="376" t="s">
        <v>684</v>
      </c>
      <c r="AV9" s="372"/>
      <c r="AW9" s="355"/>
      <c r="AX9" s="373"/>
      <c r="AY9" s="374" t="s">
        <v>640</v>
      </c>
      <c r="BA9" s="375" t="s">
        <v>390</v>
      </c>
      <c r="BC9" s="375" t="s">
        <v>390</v>
      </c>
      <c r="BE9" s="375" t="s">
        <v>384</v>
      </c>
      <c r="BG9" s="375" t="s">
        <v>390</v>
      </c>
      <c r="BI9" s="377" t="s">
        <v>386</v>
      </c>
      <c r="BK9" s="376" t="s">
        <v>684</v>
      </c>
      <c r="BL9" s="372"/>
      <c r="BM9" s="355"/>
    </row>
    <row r="10" spans="2:65">
      <c r="B10" s="378"/>
      <c r="C10" s="379" t="s">
        <v>391</v>
      </c>
      <c r="E10" s="380"/>
      <c r="G10" s="380"/>
      <c r="J10" s="380"/>
      <c r="L10" s="380"/>
      <c r="N10" s="381"/>
      <c r="O10" s="372"/>
      <c r="P10" s="355"/>
      <c r="Q10" s="378"/>
      <c r="R10" s="379" t="s">
        <v>391</v>
      </c>
      <c r="T10" s="380"/>
      <c r="V10" s="380"/>
      <c r="X10" s="380"/>
      <c r="Z10" s="380"/>
      <c r="AB10" s="381"/>
      <c r="AD10" s="381"/>
      <c r="AE10" s="372"/>
      <c r="AF10" s="355"/>
      <c r="AG10" s="355"/>
      <c r="AH10" s="378"/>
      <c r="AI10" s="379" t="s">
        <v>391</v>
      </c>
      <c r="AK10" s="380"/>
      <c r="AM10" s="380"/>
      <c r="AO10" s="380"/>
      <c r="AQ10" s="380"/>
      <c r="AS10" s="381"/>
      <c r="AU10" s="381"/>
      <c r="AV10" s="372"/>
      <c r="AW10" s="355"/>
      <c r="AX10" s="378"/>
      <c r="AY10" s="379" t="s">
        <v>391</v>
      </c>
      <c r="BA10" s="380"/>
      <c r="BC10" s="380"/>
      <c r="BE10" s="380"/>
      <c r="BG10" s="380"/>
      <c r="BI10" s="381"/>
      <c r="BK10" s="381"/>
      <c r="BL10" s="372"/>
      <c r="BM10" s="355"/>
    </row>
    <row r="11" spans="2:65">
      <c r="B11" s="378"/>
      <c r="C11" s="382" t="s">
        <v>392</v>
      </c>
      <c r="E11" s="380"/>
      <c r="G11" s="380"/>
      <c r="J11" s="380"/>
      <c r="L11" s="380"/>
      <c r="N11" s="380"/>
      <c r="O11" s="372"/>
      <c r="P11" s="355"/>
      <c r="Q11" s="378"/>
      <c r="R11" s="382" t="s">
        <v>392</v>
      </c>
      <c r="T11" s="380"/>
      <c r="V11" s="380"/>
      <c r="X11" s="380"/>
      <c r="Z11" s="380"/>
      <c r="AB11" s="380"/>
      <c r="AD11" s="380"/>
      <c r="AE11" s="372"/>
      <c r="AF11" s="355"/>
      <c r="AG11" s="355"/>
      <c r="AH11" s="378"/>
      <c r="AI11" s="382" t="s">
        <v>392</v>
      </c>
      <c r="AK11" s="380"/>
      <c r="AM11" s="380"/>
      <c r="AO11" s="380"/>
      <c r="AQ11" s="380"/>
      <c r="AS11" s="380"/>
      <c r="AU11" s="380"/>
      <c r="AV11" s="372"/>
      <c r="AW11" s="355"/>
      <c r="AX11" s="378"/>
      <c r="AY11" s="382" t="s">
        <v>392</v>
      </c>
      <c r="BA11" s="380"/>
      <c r="BC11" s="380"/>
      <c r="BE11" s="380"/>
      <c r="BG11" s="380"/>
      <c r="BI11" s="380"/>
      <c r="BK11" s="380"/>
      <c r="BL11" s="372"/>
      <c r="BM11" s="355"/>
    </row>
    <row r="12" spans="2:65">
      <c r="B12" s="378"/>
      <c r="C12" s="383" t="s">
        <v>600</v>
      </c>
      <c r="E12" s="380">
        <v>644596745625</v>
      </c>
      <c r="F12" s="384"/>
      <c r="G12" s="380"/>
      <c r="J12" s="380">
        <v>630160388550</v>
      </c>
      <c r="K12" s="384"/>
      <c r="L12" s="380">
        <f>J12</f>
        <v>630160388550</v>
      </c>
      <c r="N12" s="380">
        <f>L12</f>
        <v>630160388550</v>
      </c>
      <c r="O12" s="372"/>
      <c r="P12" s="355"/>
      <c r="Q12" s="378"/>
      <c r="R12" s="383" t="s">
        <v>601</v>
      </c>
      <c r="T12" s="380">
        <v>2460937500</v>
      </c>
      <c r="U12" s="384"/>
      <c r="V12" s="380">
        <v>2411718750</v>
      </c>
      <c r="W12" s="384"/>
      <c r="X12" s="380">
        <v>0</v>
      </c>
      <c r="Z12" s="380">
        <f>V12</f>
        <v>2411718750</v>
      </c>
      <c r="AB12" s="380">
        <f>Z12</f>
        <v>2411718750</v>
      </c>
      <c r="AD12" s="380">
        <f>AB12</f>
        <v>2411718750</v>
      </c>
      <c r="AE12" s="372"/>
      <c r="AF12" s="355"/>
      <c r="AG12" s="355"/>
      <c r="AH12" s="378"/>
      <c r="AI12" s="383" t="s">
        <v>601</v>
      </c>
      <c r="AK12" s="380">
        <v>11812500</v>
      </c>
      <c r="AL12" s="384"/>
      <c r="AM12" s="380">
        <v>11576250</v>
      </c>
      <c r="AO12" s="380"/>
      <c r="AQ12" s="380">
        <f>SUM(AM12,AO12)</f>
        <v>11576250</v>
      </c>
      <c r="AS12" s="380">
        <f>AQ12</f>
        <v>11576250</v>
      </c>
      <c r="AU12" s="380">
        <f t="shared" ref="AU12:AU14" si="0">AS12-AM12</f>
        <v>0</v>
      </c>
      <c r="AV12" s="372"/>
      <c r="AW12" s="355"/>
      <c r="AX12" s="378"/>
      <c r="AY12" s="383" t="s">
        <v>601</v>
      </c>
      <c r="BA12" s="380">
        <v>236250000</v>
      </c>
      <c r="BB12" s="384"/>
      <c r="BC12" s="380"/>
      <c r="BE12" s="380"/>
      <c r="BG12" s="380">
        <f>SUM(BC12,BE12)</f>
        <v>0</v>
      </c>
      <c r="BI12" s="380">
        <f>BG12</f>
        <v>0</v>
      </c>
      <c r="BK12" s="380"/>
      <c r="BL12" s="372"/>
      <c r="BM12" s="355"/>
    </row>
    <row r="13" spans="2:65">
      <c r="B13" s="378"/>
      <c r="C13" s="383" t="s">
        <v>608</v>
      </c>
      <c r="E13" s="380">
        <v>7068600000</v>
      </c>
      <c r="F13" s="384"/>
      <c r="G13" s="380"/>
      <c r="J13" s="380"/>
      <c r="L13" s="380">
        <v>0</v>
      </c>
      <c r="N13" s="380"/>
      <c r="O13" s="372"/>
      <c r="P13" s="355"/>
      <c r="Q13" s="378"/>
      <c r="R13" s="383" t="s">
        <v>606</v>
      </c>
      <c r="T13" s="380">
        <v>2460937500</v>
      </c>
      <c r="U13" s="384"/>
      <c r="V13" s="380">
        <v>0</v>
      </c>
      <c r="W13" s="384"/>
      <c r="X13" s="380"/>
      <c r="Z13" s="380">
        <f t="shared" ref="Z13:Z18" si="1">SUM(V13,X13)</f>
        <v>0</v>
      </c>
      <c r="AB13" s="380">
        <f t="shared" ref="AB13:AB14" si="2">Z13</f>
        <v>0</v>
      </c>
      <c r="AD13" s="380"/>
      <c r="AE13" s="372"/>
      <c r="AF13" s="355"/>
      <c r="AG13" s="355"/>
      <c r="AH13" s="378"/>
      <c r="AI13" s="383" t="s">
        <v>606</v>
      </c>
      <c r="AK13" s="380">
        <v>11812500</v>
      </c>
      <c r="AL13" s="384"/>
      <c r="AM13" s="380">
        <v>0</v>
      </c>
      <c r="AO13" s="380"/>
      <c r="AQ13" s="380">
        <f t="shared" ref="AQ13:AQ18" si="3">SUM(AM13,AO13)</f>
        <v>0</v>
      </c>
      <c r="AS13" s="380">
        <f t="shared" ref="AS13:AS15" si="4">AQ13</f>
        <v>0</v>
      </c>
      <c r="AU13" s="380">
        <f t="shared" si="0"/>
        <v>0</v>
      </c>
      <c r="AV13" s="372"/>
      <c r="AW13" s="355"/>
      <c r="AX13" s="378"/>
      <c r="AY13" s="383" t="s">
        <v>606</v>
      </c>
      <c r="BA13" s="380">
        <v>236250000</v>
      </c>
      <c r="BB13" s="384"/>
      <c r="BC13" s="380">
        <v>0</v>
      </c>
      <c r="BE13" s="380"/>
      <c r="BG13" s="380">
        <f t="shared" ref="BG13:BG18" si="5">SUM(BC13,BE13)</f>
        <v>0</v>
      </c>
      <c r="BI13" s="380">
        <f t="shared" ref="BI13:BI15" si="6">BG13</f>
        <v>0</v>
      </c>
      <c r="BK13" s="380"/>
      <c r="BL13" s="372"/>
      <c r="BM13" s="355"/>
    </row>
    <row r="14" spans="2:65" ht="14.5">
      <c r="B14" s="378"/>
      <c r="C14" s="383"/>
      <c r="E14" s="380"/>
      <c r="G14" s="380"/>
      <c r="J14" s="380">
        <v>21504957075</v>
      </c>
      <c r="K14" s="384"/>
      <c r="L14" s="380">
        <f>J14</f>
        <v>21504957075</v>
      </c>
      <c r="N14" s="380">
        <f>L14</f>
        <v>21504957075</v>
      </c>
      <c r="O14" s="385" t="s">
        <v>394</v>
      </c>
      <c r="P14" s="355"/>
      <c r="Q14" s="378"/>
      <c r="R14" s="383"/>
      <c r="T14" s="380"/>
      <c r="V14" s="380">
        <v>2510156250</v>
      </c>
      <c r="W14" s="384"/>
      <c r="X14" s="380">
        <v>0</v>
      </c>
      <c r="Z14" s="380">
        <f>V14</f>
        <v>2510156250</v>
      </c>
      <c r="AB14" s="380">
        <f t="shared" si="2"/>
        <v>2510156250</v>
      </c>
      <c r="AD14" s="380">
        <f>AB14</f>
        <v>2510156250</v>
      </c>
      <c r="AE14" s="385"/>
      <c r="AF14" s="355"/>
      <c r="AG14" s="355"/>
      <c r="AH14" s="378"/>
      <c r="AI14" s="383"/>
      <c r="AK14" s="380"/>
      <c r="AM14" s="380">
        <v>12048750</v>
      </c>
      <c r="AO14" s="380"/>
      <c r="AQ14" s="380">
        <f t="shared" si="3"/>
        <v>12048750</v>
      </c>
      <c r="AS14" s="380">
        <f t="shared" si="4"/>
        <v>12048750</v>
      </c>
      <c r="AU14" s="380">
        <f t="shared" si="0"/>
        <v>0</v>
      </c>
      <c r="AV14" s="385"/>
      <c r="AW14" s="355"/>
      <c r="AX14" s="378"/>
      <c r="AY14" s="383"/>
      <c r="BA14" s="380"/>
      <c r="BC14" s="380">
        <f>BA3*51%</f>
        <v>240975000</v>
      </c>
      <c r="BE14" s="380"/>
      <c r="BG14" s="380">
        <f t="shared" si="5"/>
        <v>240975000</v>
      </c>
      <c r="BI14" s="380">
        <f t="shared" si="6"/>
        <v>240975000</v>
      </c>
      <c r="BK14" s="380"/>
      <c r="BL14" s="385"/>
      <c r="BM14" s="355"/>
    </row>
    <row r="15" spans="2:65" ht="14.5">
      <c r="B15" s="378"/>
      <c r="C15" s="383"/>
      <c r="E15" s="380"/>
      <c r="G15" s="380"/>
      <c r="J15" s="380"/>
      <c r="L15" s="380"/>
      <c r="N15" s="380"/>
      <c r="O15" s="385"/>
      <c r="P15" s="355"/>
      <c r="Q15" s="378"/>
      <c r="R15" s="383"/>
      <c r="T15" s="380"/>
      <c r="V15" s="380"/>
      <c r="X15" s="380"/>
      <c r="Z15" s="380"/>
      <c r="AB15" s="380"/>
      <c r="AD15" s="380"/>
      <c r="AE15" s="385"/>
      <c r="AF15" s="355"/>
      <c r="AG15" s="355"/>
      <c r="AH15" s="378"/>
      <c r="AI15" s="383"/>
      <c r="AK15" s="380"/>
      <c r="AM15" s="380">
        <v>0</v>
      </c>
      <c r="AO15" s="380"/>
      <c r="AQ15" s="380">
        <f t="shared" si="3"/>
        <v>0</v>
      </c>
      <c r="AS15" s="380">
        <f t="shared" si="4"/>
        <v>0</v>
      </c>
      <c r="AU15" s="380"/>
      <c r="AV15" s="385"/>
      <c r="AW15" s="355"/>
      <c r="AX15" s="378"/>
      <c r="AY15" s="383"/>
      <c r="BA15" s="380"/>
      <c r="BC15" s="380">
        <f>BA3-BC14</f>
        <v>231525000</v>
      </c>
      <c r="BE15" s="380"/>
      <c r="BG15" s="380">
        <f t="shared" si="5"/>
        <v>231525000</v>
      </c>
      <c r="BI15" s="380">
        <f t="shared" si="6"/>
        <v>231525000</v>
      </c>
      <c r="BK15" s="380"/>
      <c r="BL15" s="385"/>
      <c r="BM15" s="355"/>
    </row>
    <row r="16" spans="2:65">
      <c r="B16" s="378"/>
      <c r="C16" s="379" t="s">
        <v>396</v>
      </c>
      <c r="E16" s="380">
        <f>-'Consol SoFP 24'!L101</f>
        <v>-1115234309864.7766</v>
      </c>
      <c r="G16" s="380"/>
      <c r="J16" s="380">
        <f t="shared" ref="J16:J19" si="7">SUM(E16,G16,)</f>
        <v>-1115234309864.7766</v>
      </c>
      <c r="L16" s="380">
        <f>J16</f>
        <v>-1115234309864.7766</v>
      </c>
      <c r="N16" s="380">
        <f>L16</f>
        <v>-1115234309864.7766</v>
      </c>
      <c r="O16" s="372"/>
      <c r="P16" s="355"/>
      <c r="Q16" s="378"/>
      <c r="R16" s="379" t="s">
        <v>396</v>
      </c>
      <c r="T16" s="380">
        <f>V16</f>
        <v>11771490539.875502</v>
      </c>
      <c r="V16" s="380">
        <f>-'Consol SoFP 24'!S101</f>
        <v>11771490539.875502</v>
      </c>
      <c r="X16" s="380">
        <v>0</v>
      </c>
      <c r="Z16" s="380">
        <f t="shared" si="1"/>
        <v>11771490539.875502</v>
      </c>
      <c r="AB16" s="381">
        <f>-'Consol SoFP 24'!S101</f>
        <v>11771490539.875502</v>
      </c>
      <c r="AD16" s="380">
        <f>AB16-Z16</f>
        <v>0</v>
      </c>
      <c r="AE16" s="372"/>
      <c r="AF16" s="355"/>
      <c r="AG16" s="355"/>
      <c r="AH16" s="378"/>
      <c r="AI16" s="379" t="s">
        <v>396</v>
      </c>
      <c r="AK16" s="380">
        <f>AM16</f>
        <v>2395153721.5749998</v>
      </c>
      <c r="AM16" s="380">
        <f>-'Consol SoFP 24'!O101</f>
        <v>2395153721.5749998</v>
      </c>
      <c r="AO16" s="380"/>
      <c r="AQ16" s="380">
        <f t="shared" si="3"/>
        <v>2395153721.5749998</v>
      </c>
      <c r="AS16" s="381">
        <f>-'Consol SoFP 24'!O101</f>
        <v>2395153721.5749998</v>
      </c>
      <c r="AU16" s="380">
        <f>AS16-AM16</f>
        <v>0</v>
      </c>
      <c r="AV16" s="372"/>
      <c r="AW16" s="355"/>
      <c r="AX16" s="378"/>
      <c r="AY16" s="379" t="s">
        <v>396</v>
      </c>
      <c r="BA16" s="380">
        <f>-'Consol SoFP 24'!V101</f>
        <v>-98357763125</v>
      </c>
      <c r="BC16" s="380">
        <f>BA16</f>
        <v>-98357763125</v>
      </c>
      <c r="BE16" s="380"/>
      <c r="BG16" s="380">
        <f t="shared" si="5"/>
        <v>-98357763125</v>
      </c>
      <c r="BI16" s="381">
        <f>-'Consol SoFP 24'!V101</f>
        <v>-98357763125</v>
      </c>
      <c r="BK16" s="381"/>
      <c r="BL16" s="372"/>
      <c r="BM16" s="355"/>
    </row>
    <row r="17" spans="2:65">
      <c r="B17" s="378"/>
      <c r="C17" s="379" t="s">
        <v>397</v>
      </c>
      <c r="E17" s="380">
        <v>-138238407936.95999</v>
      </c>
      <c r="G17" s="380">
        <f>-'Consol SoFP 24'!J102/12*6</f>
        <v>50036194742.5</v>
      </c>
      <c r="J17" s="380">
        <f t="shared" si="7"/>
        <v>-88202213194.459991</v>
      </c>
      <c r="L17" s="380">
        <f>-'Consol SoFP 24'!L102</f>
        <v>-243676524429.64999</v>
      </c>
      <c r="N17" s="380">
        <f>L17-J17</f>
        <v>-155474311235.19</v>
      </c>
      <c r="O17" s="372"/>
      <c r="P17" s="355"/>
      <c r="Q17" s="378"/>
      <c r="R17" s="379" t="s">
        <v>397</v>
      </c>
      <c r="T17" s="380">
        <f>V17</f>
        <v>829188717.72000074</v>
      </c>
      <c r="V17" s="380">
        <v>829188717.72000074</v>
      </c>
      <c r="X17" s="380">
        <f>-'Consol SoFP 24'!Q102/12*6</f>
        <v>-19129895913.5</v>
      </c>
      <c r="Z17" s="380">
        <f t="shared" si="1"/>
        <v>-18300707195.779999</v>
      </c>
      <c r="AB17" s="381">
        <f>-'Consol SoFP 24'!S102</f>
        <v>-36098801827</v>
      </c>
      <c r="AD17" s="380">
        <f>AB17-Z17</f>
        <v>-17798094631.220001</v>
      </c>
      <c r="AE17" s="372"/>
      <c r="AF17" s="355"/>
      <c r="AG17" s="355"/>
      <c r="AH17" s="378"/>
      <c r="AI17" s="379" t="s">
        <v>397</v>
      </c>
      <c r="AK17" s="380">
        <f>AM17</f>
        <v>-3103597766.4100003</v>
      </c>
      <c r="AM17" s="380">
        <v>-3103597766.4100003</v>
      </c>
      <c r="AO17" s="380"/>
      <c r="AQ17" s="380">
        <f t="shared" si="3"/>
        <v>-3103597766.4100003</v>
      </c>
      <c r="AS17" s="381">
        <f>-'Consol SoFP 24'!O102</f>
        <v>-10891649906</v>
      </c>
      <c r="AU17" s="380">
        <f>AS17-AM17</f>
        <v>-7788052139.5900002</v>
      </c>
      <c r="AV17" s="372"/>
      <c r="AW17" s="355"/>
      <c r="AX17" s="378"/>
      <c r="AY17" s="379" t="s">
        <v>397</v>
      </c>
      <c r="BA17" s="380">
        <v>15256134970</v>
      </c>
      <c r="BC17" s="380">
        <f>BA17</f>
        <v>15256134970</v>
      </c>
      <c r="BE17" s="380"/>
      <c r="BG17" s="380">
        <f t="shared" si="5"/>
        <v>15256134970</v>
      </c>
      <c r="BI17" s="381">
        <f>-'Consol SoFP 24'!V102</f>
        <v>-9124405937.9247017</v>
      </c>
      <c r="BK17" s="380"/>
      <c r="BL17" s="372"/>
      <c r="BM17" s="355"/>
    </row>
    <row r="18" spans="2:65">
      <c r="B18" s="378"/>
      <c r="C18" s="379" t="s">
        <v>175</v>
      </c>
      <c r="E18" s="380">
        <f>-'Consol SoFP 24'!L104</f>
        <v>2578465447.4250002</v>
      </c>
      <c r="G18" s="380"/>
      <c r="J18" s="380">
        <f t="shared" si="7"/>
        <v>2578465447.4250002</v>
      </c>
      <c r="L18" s="380">
        <v>0</v>
      </c>
      <c r="N18" s="380">
        <f t="shared" ref="N18:N19" si="8">L18-J18</f>
        <v>-2578465447.4250002</v>
      </c>
      <c r="O18" s="372"/>
      <c r="P18" s="355"/>
      <c r="Q18" s="378"/>
      <c r="R18" s="379" t="s">
        <v>398</v>
      </c>
      <c r="T18" s="380">
        <v>0</v>
      </c>
      <c r="V18" s="380">
        <v>0</v>
      </c>
      <c r="X18" s="380"/>
      <c r="Z18" s="380">
        <f t="shared" si="1"/>
        <v>0</v>
      </c>
      <c r="AB18" s="380"/>
      <c r="AD18" s="380"/>
      <c r="AE18" s="372"/>
      <c r="AF18" s="355"/>
      <c r="AG18" s="355"/>
      <c r="AH18" s="378"/>
      <c r="AI18" s="379" t="s">
        <v>398</v>
      </c>
      <c r="AK18" s="380">
        <v>0</v>
      </c>
      <c r="AM18" s="380"/>
      <c r="AO18" s="380"/>
      <c r="AQ18" s="380">
        <f t="shared" si="3"/>
        <v>0</v>
      </c>
      <c r="AS18" s="380"/>
      <c r="AU18" s="380"/>
      <c r="AV18" s="372"/>
      <c r="AW18" s="355"/>
      <c r="AX18" s="378"/>
      <c r="AY18" s="379" t="s">
        <v>398</v>
      </c>
      <c r="BA18" s="380">
        <v>0</v>
      </c>
      <c r="BC18" s="380"/>
      <c r="BE18" s="380"/>
      <c r="BG18" s="380">
        <f t="shared" si="5"/>
        <v>0</v>
      </c>
      <c r="BI18" s="380"/>
      <c r="BK18" s="380"/>
      <c r="BL18" s="372"/>
      <c r="BM18" s="355"/>
    </row>
    <row r="19" spans="2:65">
      <c r="B19" s="378"/>
      <c r="C19" s="379" t="s">
        <v>399</v>
      </c>
      <c r="E19" s="380">
        <f>-'Consol SoFP 24'!L98</f>
        <v>11551896192.375</v>
      </c>
      <c r="G19" s="380"/>
      <c r="J19" s="380">
        <f t="shared" si="7"/>
        <v>11551896192.375</v>
      </c>
      <c r="L19" s="380">
        <f>J19</f>
        <v>11551896192.375</v>
      </c>
      <c r="N19" s="380">
        <f t="shared" si="8"/>
        <v>0</v>
      </c>
      <c r="O19" s="372"/>
      <c r="P19" s="355"/>
      <c r="Q19" s="378"/>
      <c r="R19" s="379" t="s">
        <v>399</v>
      </c>
      <c r="T19" s="380"/>
      <c r="V19" s="380"/>
      <c r="X19" s="380"/>
      <c r="Z19" s="380">
        <f>SUM(V19,X19)</f>
        <v>0</v>
      </c>
      <c r="AB19" s="380"/>
      <c r="AD19" s="380"/>
      <c r="AE19" s="372"/>
      <c r="AF19" s="355"/>
      <c r="AG19" s="355"/>
      <c r="AH19" s="378"/>
      <c r="AI19" s="379" t="s">
        <v>399</v>
      </c>
      <c r="AK19" s="380">
        <v>0</v>
      </c>
      <c r="AM19" s="380">
        <f>AK19</f>
        <v>0</v>
      </c>
      <c r="AO19" s="380"/>
      <c r="AQ19" s="380">
        <f>SUM(AM19,AO19)</f>
        <v>0</v>
      </c>
      <c r="AS19" s="380"/>
      <c r="AU19" s="380"/>
      <c r="AV19" s="372"/>
      <c r="AW19" s="355"/>
      <c r="AX19" s="378"/>
      <c r="AY19" s="379" t="s">
        <v>399</v>
      </c>
      <c r="BA19" s="380"/>
      <c r="BC19" s="380"/>
      <c r="BE19" s="380"/>
      <c r="BG19" s="380">
        <f>SUM(BC19,BE19)</f>
        <v>0</v>
      </c>
      <c r="BI19" s="380"/>
      <c r="BK19" s="380"/>
      <c r="BL19" s="372"/>
      <c r="BM19" s="355"/>
    </row>
    <row r="20" spans="2:65">
      <c r="B20" s="378"/>
      <c r="C20" s="386" t="s">
        <v>400</v>
      </c>
      <c r="E20" s="387">
        <f>SUM(E12:E19)</f>
        <v>-587677010536.93652</v>
      </c>
      <c r="G20" s="387">
        <f>SUM(G12:G19)</f>
        <v>50036194742.5</v>
      </c>
      <c r="J20" s="380">
        <f>SUM(E20,G20,)</f>
        <v>-537640815794.43652</v>
      </c>
      <c r="L20" s="387">
        <f>SUM(L11:L18)</f>
        <v>-707245488669.42664</v>
      </c>
      <c r="N20" s="387">
        <f>L20-J20</f>
        <v>-169604672874.99011</v>
      </c>
      <c r="O20" s="372"/>
      <c r="P20" s="355"/>
      <c r="Q20" s="378"/>
      <c r="R20" s="386" t="s">
        <v>400</v>
      </c>
      <c r="T20" s="387">
        <f>SUM(T12:T18)</f>
        <v>17522554257.595501</v>
      </c>
      <c r="V20" s="387">
        <f>SUM(V12:V18)</f>
        <v>17522554257.595501</v>
      </c>
      <c r="X20" s="387">
        <f>SUM(X12:X18)</f>
        <v>-19129895913.5</v>
      </c>
      <c r="Z20" s="387">
        <f>SUM(V20,X20)</f>
        <v>-1607341655.9044991</v>
      </c>
      <c r="AB20" s="387">
        <f>SUM(X20,Z20)</f>
        <v>-20737237569.404499</v>
      </c>
      <c r="AD20" s="387">
        <f>SUM(Z20,AB20)</f>
        <v>-22344579225.308998</v>
      </c>
      <c r="AE20" s="372"/>
      <c r="AF20" s="355"/>
      <c r="AG20" s="355"/>
      <c r="AH20" s="378"/>
      <c r="AI20" s="386" t="s">
        <v>400</v>
      </c>
      <c r="AK20" s="387">
        <f>SUM(AK11:AK18)</f>
        <v>-684819044.83500051</v>
      </c>
      <c r="AM20" s="387">
        <f>SUM(AM11:AM18)</f>
        <v>-684819044.83500051</v>
      </c>
      <c r="AO20" s="387"/>
      <c r="AQ20" s="387">
        <f>SUM(AM20,AO20)</f>
        <v>-684819044.83500051</v>
      </c>
      <c r="AS20" s="387"/>
      <c r="AU20" s="387"/>
      <c r="AV20" s="372"/>
      <c r="AW20" s="355"/>
      <c r="AX20" s="378"/>
      <c r="AY20" s="386" t="s">
        <v>400</v>
      </c>
      <c r="BA20" s="387">
        <f>SUM(BA12:BA19)</f>
        <v>-82629128155</v>
      </c>
      <c r="BC20" s="387">
        <f>SUM(BC12:BC19)</f>
        <v>-82629128155</v>
      </c>
      <c r="BE20" s="387">
        <f>SUM(BE12:BE19)</f>
        <v>0</v>
      </c>
      <c r="BG20" s="387">
        <f>SUM(BG12:BG19)</f>
        <v>-82629128155</v>
      </c>
      <c r="BI20" s="387">
        <f>SUM(BI12:BI19)</f>
        <v>-107009669062.9247</v>
      </c>
      <c r="BK20" s="387"/>
      <c r="BL20" s="372"/>
      <c r="BM20" s="355"/>
    </row>
    <row r="21" spans="2:65">
      <c r="B21" s="373"/>
      <c r="C21" s="379"/>
      <c r="E21" s="388"/>
      <c r="G21" s="388"/>
      <c r="J21" s="388"/>
      <c r="L21" s="388"/>
      <c r="N21" s="381">
        <v>0</v>
      </c>
      <c r="O21" s="372"/>
      <c r="P21" s="355"/>
      <c r="Q21" s="373"/>
      <c r="R21" s="379"/>
      <c r="T21" s="388"/>
      <c r="V21" s="388"/>
      <c r="X21" s="388"/>
      <c r="Z21" s="388"/>
      <c r="AB21" s="381">
        <v>0</v>
      </c>
      <c r="AD21" s="381">
        <v>0</v>
      </c>
      <c r="AE21" s="372"/>
      <c r="AF21" s="355"/>
      <c r="AG21" s="355"/>
      <c r="AH21" s="373"/>
      <c r="AI21" s="379"/>
      <c r="AK21" s="388"/>
      <c r="AM21" s="388"/>
      <c r="AO21" s="388"/>
      <c r="AQ21" s="388"/>
      <c r="AS21" s="381">
        <v>0</v>
      </c>
      <c r="AU21" s="381">
        <v>0</v>
      </c>
      <c r="AV21" s="372"/>
      <c r="AW21" s="355"/>
      <c r="AX21" s="373"/>
      <c r="AY21" s="379"/>
      <c r="BA21" s="388"/>
      <c r="BC21" s="388"/>
      <c r="BE21" s="388"/>
      <c r="BG21" s="388"/>
      <c r="BI21" s="381">
        <v>0</v>
      </c>
      <c r="BK21" s="381">
        <v>0</v>
      </c>
      <c r="BL21" s="372"/>
      <c r="BM21" s="355"/>
    </row>
    <row r="22" spans="2:65">
      <c r="B22" s="373"/>
      <c r="C22" s="379"/>
      <c r="E22" s="381"/>
      <c r="G22" s="381"/>
      <c r="J22" s="381"/>
      <c r="L22" s="381"/>
      <c r="N22" s="381"/>
      <c r="O22" s="372"/>
      <c r="P22" s="355"/>
      <c r="Q22" s="373"/>
      <c r="R22" s="379"/>
      <c r="T22" s="381"/>
      <c r="V22" s="381"/>
      <c r="X22" s="381"/>
      <c r="Z22" s="381"/>
      <c r="AB22" s="381"/>
      <c r="AD22" s="381"/>
      <c r="AE22" s="372"/>
      <c r="AF22" s="355"/>
      <c r="AG22" s="355"/>
      <c r="AH22" s="373"/>
      <c r="AI22" s="379"/>
      <c r="AK22" s="381"/>
      <c r="AM22" s="381"/>
      <c r="AO22" s="381"/>
      <c r="AQ22" s="381"/>
      <c r="AS22" s="381"/>
      <c r="AU22" s="381"/>
      <c r="AV22" s="372"/>
      <c r="AW22" s="355"/>
      <c r="AX22" s="373"/>
      <c r="AY22" s="379"/>
      <c r="BA22" s="381"/>
      <c r="BC22" s="381"/>
      <c r="BE22" s="381"/>
      <c r="BG22" s="381"/>
      <c r="BI22" s="381"/>
      <c r="BK22" s="381"/>
      <c r="BL22" s="372"/>
      <c r="BM22" s="355"/>
    </row>
    <row r="23" spans="2:65">
      <c r="B23" s="373"/>
      <c r="C23" s="389" t="s">
        <v>401</v>
      </c>
      <c r="E23" s="390">
        <v>0</v>
      </c>
      <c r="G23" s="390">
        <v>0</v>
      </c>
      <c r="J23" s="390"/>
      <c r="L23" s="390">
        <v>0</v>
      </c>
      <c r="N23" s="390">
        <f>L23</f>
        <v>0</v>
      </c>
      <c r="O23" s="372"/>
      <c r="P23" s="355"/>
      <c r="Q23" s="373"/>
      <c r="R23" s="389" t="s">
        <v>401</v>
      </c>
      <c r="T23" s="390">
        <v>0.5</v>
      </c>
      <c r="V23" s="390">
        <v>0</v>
      </c>
      <c r="X23" s="390">
        <v>0</v>
      </c>
      <c r="Z23" s="390">
        <v>0</v>
      </c>
      <c r="AB23" s="390">
        <v>0</v>
      </c>
      <c r="AD23" s="390">
        <v>0</v>
      </c>
      <c r="AE23" s="372"/>
      <c r="AF23" s="355"/>
      <c r="AG23" s="355"/>
      <c r="AH23" s="373"/>
      <c r="AI23" s="389" t="s">
        <v>401</v>
      </c>
      <c r="AK23" s="390">
        <v>0</v>
      </c>
      <c r="AM23" s="390">
        <v>0.51</v>
      </c>
      <c r="AO23" s="390">
        <v>0.51</v>
      </c>
      <c r="AQ23" s="390">
        <v>0.51</v>
      </c>
      <c r="AS23" s="390"/>
      <c r="AU23" s="390">
        <v>0.51</v>
      </c>
      <c r="AV23" s="372"/>
      <c r="AW23" s="355"/>
      <c r="AX23" s="373"/>
      <c r="AY23" s="389" t="s">
        <v>401</v>
      </c>
      <c r="BA23" s="390">
        <v>0</v>
      </c>
      <c r="BC23" s="390">
        <f>0</f>
        <v>0</v>
      </c>
      <c r="BE23" s="390">
        <f>BC23</f>
        <v>0</v>
      </c>
      <c r="BG23" s="390">
        <f>BE23</f>
        <v>0</v>
      </c>
      <c r="BI23" s="390">
        <f>BG23</f>
        <v>0</v>
      </c>
      <c r="BK23" s="390"/>
      <c r="BL23" s="372"/>
      <c r="BM23" s="355"/>
    </row>
    <row r="24" spans="2:65">
      <c r="B24" s="373"/>
      <c r="C24" s="391" t="s">
        <v>402</v>
      </c>
      <c r="E24" s="392">
        <v>0</v>
      </c>
      <c r="G24" s="393">
        <v>0</v>
      </c>
      <c r="J24" s="394">
        <f>L24</f>
        <v>3.3000001027175999E-2</v>
      </c>
      <c r="L24" s="393">
        <f>L14/SUM(L12:L14)</f>
        <v>3.3000001027175999E-2</v>
      </c>
      <c r="N24" s="392">
        <f>L24</f>
        <v>3.3000001027175999E-2</v>
      </c>
      <c r="O24" s="372"/>
      <c r="P24" s="355"/>
      <c r="Q24" s="373"/>
      <c r="R24" s="391" t="s">
        <v>402</v>
      </c>
      <c r="T24" s="392">
        <v>0</v>
      </c>
      <c r="V24" s="392">
        <v>0.51</v>
      </c>
      <c r="X24" s="392">
        <v>0.51</v>
      </c>
      <c r="Z24" s="392">
        <v>0.51</v>
      </c>
      <c r="AB24" s="392">
        <v>0.51</v>
      </c>
      <c r="AD24" s="392">
        <v>0.51</v>
      </c>
      <c r="AE24" s="372"/>
      <c r="AF24" s="355"/>
      <c r="AG24" s="355"/>
      <c r="AH24" s="373"/>
      <c r="AI24" s="391" t="s">
        <v>402</v>
      </c>
      <c r="AK24" s="392">
        <v>0</v>
      </c>
      <c r="AM24" s="392">
        <v>0</v>
      </c>
      <c r="AO24" s="392">
        <v>0</v>
      </c>
      <c r="AQ24" s="392">
        <v>0</v>
      </c>
      <c r="AS24" s="392"/>
      <c r="AU24" s="392">
        <v>0</v>
      </c>
      <c r="AV24" s="372"/>
      <c r="AW24" s="355"/>
      <c r="AX24" s="373"/>
      <c r="AY24" s="391" t="s">
        <v>402</v>
      </c>
      <c r="BA24" s="392">
        <v>0</v>
      </c>
      <c r="BC24" s="392">
        <v>0.51</v>
      </c>
      <c r="BE24" s="392">
        <f t="shared" ref="BE24:BE25" si="9">BC24</f>
        <v>0.51</v>
      </c>
      <c r="BG24" s="392">
        <f t="shared" ref="BG24:BI25" si="10">BE24</f>
        <v>0.51</v>
      </c>
      <c r="BI24" s="392">
        <f t="shared" si="10"/>
        <v>0.51</v>
      </c>
      <c r="BK24" s="392"/>
      <c r="BL24" s="372"/>
      <c r="BM24" s="355"/>
    </row>
    <row r="25" spans="2:65">
      <c r="B25" s="373"/>
      <c r="C25" s="395" t="s">
        <v>685</v>
      </c>
      <c r="E25" s="396">
        <f>E23+E24</f>
        <v>0</v>
      </c>
      <c r="G25" s="397">
        <f>G23+G24</f>
        <v>0</v>
      </c>
      <c r="J25" s="398">
        <f>J23+J24</f>
        <v>3.3000001027175999E-2</v>
      </c>
      <c r="L25" s="397">
        <f>L23+L24</f>
        <v>3.3000001027175999E-2</v>
      </c>
      <c r="N25" s="396">
        <f>L25</f>
        <v>3.3000001027175999E-2</v>
      </c>
      <c r="O25" s="372"/>
      <c r="P25" s="355"/>
      <c r="Q25" s="373"/>
      <c r="R25" s="395" t="s">
        <v>685</v>
      </c>
      <c r="T25" s="396">
        <f>T23+T24</f>
        <v>0.5</v>
      </c>
      <c r="V25" s="396">
        <f>V23+V24</f>
        <v>0.51</v>
      </c>
      <c r="X25" s="396">
        <f>X23+X24</f>
        <v>0.51</v>
      </c>
      <c r="Z25" s="396">
        <f>Z23+Z24</f>
        <v>0.51</v>
      </c>
      <c r="AB25" s="396">
        <f>AB23+AB24</f>
        <v>0.51</v>
      </c>
      <c r="AD25" s="396">
        <f>AD23+AD24</f>
        <v>0.51</v>
      </c>
      <c r="AE25" s="372"/>
      <c r="AF25" s="355"/>
      <c r="AG25" s="355"/>
      <c r="AH25" s="373"/>
      <c r="AI25" s="395" t="s">
        <v>685</v>
      </c>
      <c r="AK25" s="396">
        <f>AK23+AK24</f>
        <v>0</v>
      </c>
      <c r="AM25" s="396">
        <f>AM23+AM24</f>
        <v>0.51</v>
      </c>
      <c r="AO25" s="396">
        <f>AO23+AO24</f>
        <v>0.51</v>
      </c>
      <c r="AQ25" s="396">
        <f>AQ23+AQ24</f>
        <v>0.51</v>
      </c>
      <c r="AS25" s="396"/>
      <c r="AU25" s="396">
        <f>AU23+AU24</f>
        <v>0.51</v>
      </c>
      <c r="AV25" s="372"/>
      <c r="AW25" s="355"/>
      <c r="AX25" s="373"/>
      <c r="AY25" s="395" t="s">
        <v>685</v>
      </c>
      <c r="BA25" s="396">
        <f>BA23+BA24</f>
        <v>0</v>
      </c>
      <c r="BC25" s="396">
        <v>0.51</v>
      </c>
      <c r="BE25" s="396">
        <f t="shared" si="9"/>
        <v>0.51</v>
      </c>
      <c r="BG25" s="396">
        <f t="shared" si="10"/>
        <v>0.51</v>
      </c>
      <c r="BI25" s="396">
        <f t="shared" si="10"/>
        <v>0.51</v>
      </c>
      <c r="BK25" s="396"/>
      <c r="BL25" s="372"/>
      <c r="BM25" s="355"/>
    </row>
    <row r="26" spans="2:65">
      <c r="B26" s="373"/>
      <c r="C26" s="379"/>
      <c r="E26" s="381"/>
      <c r="G26" s="381"/>
      <c r="J26" s="381"/>
      <c r="L26" s="381"/>
      <c r="N26" s="381"/>
      <c r="O26" s="372"/>
      <c r="P26" s="355"/>
      <c r="Q26" s="373"/>
      <c r="R26" s="379"/>
      <c r="T26" s="381"/>
      <c r="V26" s="381"/>
      <c r="X26" s="381"/>
      <c r="Z26" s="381"/>
      <c r="AB26" s="381"/>
      <c r="AD26" s="381"/>
      <c r="AE26" s="372"/>
      <c r="AF26" s="355"/>
      <c r="AG26" s="355"/>
      <c r="AH26" s="373"/>
      <c r="AI26" s="379"/>
      <c r="AK26" s="381"/>
      <c r="AM26" s="381"/>
      <c r="AO26" s="381"/>
      <c r="AQ26" s="381"/>
      <c r="AS26" s="381"/>
      <c r="AU26" s="381"/>
      <c r="AV26" s="372"/>
      <c r="AW26" s="355"/>
      <c r="AX26" s="373"/>
      <c r="AY26" s="379"/>
      <c r="BA26" s="381"/>
      <c r="BC26" s="381"/>
      <c r="BE26" s="381"/>
      <c r="BG26" s="381"/>
      <c r="BI26" s="381"/>
      <c r="BK26" s="381"/>
      <c r="BL26" s="372"/>
      <c r="BM26" s="355"/>
    </row>
    <row r="27" spans="2:65">
      <c r="B27" s="373"/>
      <c r="E27" s="381"/>
      <c r="G27" s="381">
        <f>SUM(G16:G17)*G24</f>
        <v>0</v>
      </c>
      <c r="J27" s="381"/>
      <c r="L27" s="381">
        <f>SUM(L16:L17)*L24</f>
        <v>-44844058927.556671</v>
      </c>
      <c r="N27" s="387">
        <f>L27-J27</f>
        <v>-44844058927.556671</v>
      </c>
      <c r="O27" s="372"/>
      <c r="P27" s="355"/>
      <c r="Q27" s="373"/>
      <c r="T27" s="381"/>
      <c r="V27" s="381"/>
      <c r="X27" s="381"/>
      <c r="Z27" s="381"/>
      <c r="AB27" s="381"/>
      <c r="AD27" s="381"/>
      <c r="AE27" s="372"/>
      <c r="AF27" s="355"/>
      <c r="AG27" s="355"/>
      <c r="AH27" s="373"/>
      <c r="AK27" s="381"/>
      <c r="AM27" s="381"/>
      <c r="AO27" s="381"/>
      <c r="AQ27" s="381"/>
      <c r="AS27" s="381"/>
      <c r="AU27" s="381"/>
      <c r="AV27" s="372"/>
      <c r="AW27" s="355"/>
      <c r="AX27" s="373"/>
      <c r="BA27" s="381"/>
      <c r="BC27" s="381"/>
      <c r="BE27" s="381"/>
      <c r="BG27" s="381"/>
      <c r="BI27" s="381"/>
      <c r="BK27" s="381"/>
      <c r="BL27" s="372"/>
      <c r="BM27" s="355"/>
    </row>
    <row r="28" spans="2:65">
      <c r="B28" s="373"/>
      <c r="C28" s="389" t="s">
        <v>686</v>
      </c>
      <c r="E28" s="399"/>
      <c r="G28" s="399"/>
      <c r="J28" s="399"/>
      <c r="L28" s="399"/>
      <c r="N28" s="399"/>
      <c r="O28" s="372"/>
      <c r="P28" s="355"/>
      <c r="Q28" s="373"/>
      <c r="R28" s="389" t="s">
        <v>686</v>
      </c>
      <c r="T28" s="399"/>
      <c r="V28" s="399"/>
      <c r="X28" s="399"/>
      <c r="Z28" s="399"/>
      <c r="AB28" s="399"/>
      <c r="AD28" s="399"/>
      <c r="AE28" s="372"/>
      <c r="AF28" s="355"/>
      <c r="AG28" s="355"/>
      <c r="AH28" s="373"/>
      <c r="AI28" s="389" t="s">
        <v>686</v>
      </c>
      <c r="AK28" s="399"/>
      <c r="AM28" s="399"/>
      <c r="AO28" s="399"/>
      <c r="AQ28" s="399"/>
      <c r="AS28" s="399"/>
      <c r="AU28" s="399"/>
      <c r="AV28" s="372"/>
      <c r="AW28" s="355"/>
      <c r="AX28" s="373"/>
      <c r="AY28" s="389" t="s">
        <v>686</v>
      </c>
      <c r="BA28" s="399"/>
      <c r="BC28" s="399"/>
      <c r="BE28" s="399"/>
      <c r="BG28" s="399"/>
      <c r="BI28" s="399"/>
      <c r="BK28" s="399"/>
      <c r="BL28" s="372"/>
      <c r="BM28" s="355"/>
    </row>
    <row r="29" spans="2:65" ht="14.5">
      <c r="B29" s="373"/>
      <c r="C29" s="391" t="s">
        <v>391</v>
      </c>
      <c r="E29" s="381">
        <f>SUM(E12:E14)*E25</f>
        <v>0</v>
      </c>
      <c r="G29" s="381">
        <f>SUM(G12:G14)*G25</f>
        <v>0</v>
      </c>
      <c r="J29" s="381">
        <f>SUM(J12:J14)*J25</f>
        <v>21504957075.000004</v>
      </c>
      <c r="L29" s="381">
        <f>SUM(L12:L14)*L25</f>
        <v>21504957075.000004</v>
      </c>
      <c r="N29" s="380"/>
      <c r="O29" s="385" t="s">
        <v>394</v>
      </c>
      <c r="P29" s="355"/>
      <c r="Q29" s="373"/>
      <c r="R29" s="391" t="s">
        <v>391</v>
      </c>
      <c r="T29" s="381">
        <f>SUM(T12:T14)*T24</f>
        <v>0</v>
      </c>
      <c r="V29" s="381">
        <f>SUM(V12:V14)*V25</f>
        <v>2510156250</v>
      </c>
      <c r="X29" s="381">
        <f>SUM(X12:X14)*X25</f>
        <v>0</v>
      </c>
      <c r="Z29" s="381">
        <f>V29</f>
        <v>2510156250</v>
      </c>
      <c r="AB29" s="381">
        <f>Z29</f>
        <v>2510156250</v>
      </c>
      <c r="AD29" s="381">
        <f>AB29</f>
        <v>2510156250</v>
      </c>
      <c r="AE29" s="385"/>
      <c r="AF29" s="355"/>
      <c r="AG29" s="355"/>
      <c r="AH29" s="373"/>
      <c r="AI29" s="391" t="s">
        <v>391</v>
      </c>
      <c r="AK29" s="381">
        <f>SUM(AK12:AK14)*AK24</f>
        <v>0</v>
      </c>
      <c r="AM29" s="381">
        <f>AM39</f>
        <v>12048750</v>
      </c>
      <c r="AO29" s="381">
        <f>SUM(AO12:AO14)*AO25</f>
        <v>0</v>
      </c>
      <c r="AQ29" s="381">
        <f>AM29</f>
        <v>12048750</v>
      </c>
      <c r="AS29" s="381"/>
      <c r="AU29" s="381"/>
      <c r="AV29" s="385"/>
      <c r="AW29" s="355"/>
      <c r="AX29" s="373"/>
      <c r="AY29" s="391" t="s">
        <v>391</v>
      </c>
      <c r="BA29" s="381">
        <f>SUM(BA12:BA14)*BA24</f>
        <v>0</v>
      </c>
      <c r="BC29" s="381">
        <f>SUM(BC14:BC15)*BC24</f>
        <v>240975000</v>
      </c>
      <c r="BE29" s="381">
        <f>SUM(BE12:BE14)*BE25</f>
        <v>0</v>
      </c>
      <c r="BG29" s="381">
        <f>SUM(BC29,BE29)</f>
        <v>240975000</v>
      </c>
      <c r="BI29" s="381"/>
      <c r="BK29" s="381"/>
      <c r="BL29" s="385"/>
      <c r="BM29" s="355"/>
    </row>
    <row r="30" spans="2:65">
      <c r="B30" s="373"/>
      <c r="C30" s="391" t="s">
        <v>396</v>
      </c>
      <c r="E30" s="381">
        <f>E16*E25</f>
        <v>0</v>
      </c>
      <c r="G30" s="381">
        <f>G16*G25</f>
        <v>0</v>
      </c>
      <c r="J30" s="381">
        <f>J16*J25</f>
        <v>-36802733371.079544</v>
      </c>
      <c r="L30" s="381">
        <f>L16*L25</f>
        <v>-36802733371.079544</v>
      </c>
      <c r="N30" s="380"/>
      <c r="O30" s="372"/>
      <c r="P30" s="355"/>
      <c r="Q30" s="373"/>
      <c r="R30" s="391" t="s">
        <v>396</v>
      </c>
      <c r="T30" s="381">
        <f>T16*T24</f>
        <v>0</v>
      </c>
      <c r="V30" s="381">
        <f>V16*V25</f>
        <v>6003460175.3365059</v>
      </c>
      <c r="X30" s="381">
        <f>X16*X25</f>
        <v>0</v>
      </c>
      <c r="Z30" s="381">
        <f>Z16*Z25</f>
        <v>6003460175.3365059</v>
      </c>
      <c r="AB30" s="381">
        <f>AB16*AB25</f>
        <v>6003460175.3365059</v>
      </c>
      <c r="AD30" s="381">
        <f>AD16*AD25</f>
        <v>0</v>
      </c>
      <c r="AE30" s="372"/>
      <c r="AF30" s="355"/>
      <c r="AG30" s="355"/>
      <c r="AH30" s="373"/>
      <c r="AI30" s="391" t="s">
        <v>396</v>
      </c>
      <c r="AK30" s="381">
        <f>AK16*AK24</f>
        <v>0</v>
      </c>
      <c r="AM30" s="381">
        <f>AM16*AM23</f>
        <v>1221528398.0032499</v>
      </c>
      <c r="AO30" s="381">
        <f>AO16*AO25</f>
        <v>0</v>
      </c>
      <c r="AQ30" s="381">
        <f>AQ16*AQ23</f>
        <v>1221528398.0032499</v>
      </c>
      <c r="AS30" s="381"/>
      <c r="AU30" s="381"/>
      <c r="AV30" s="372"/>
      <c r="AW30" s="355"/>
      <c r="AX30" s="373"/>
      <c r="AY30" s="391" t="s">
        <v>396</v>
      </c>
      <c r="BA30" s="381">
        <f>BA16*BA24</f>
        <v>0</v>
      </c>
      <c r="BC30" s="381">
        <f>SUM(BC16*BC24)</f>
        <v>-50162459193.75</v>
      </c>
      <c r="BE30" s="381">
        <f>BE16*BE25</f>
        <v>0</v>
      </c>
      <c r="BG30" s="381">
        <f>SUM(BC30,BE30)</f>
        <v>-50162459193.75</v>
      </c>
      <c r="BI30" s="381"/>
      <c r="BK30" s="381"/>
      <c r="BL30" s="372"/>
      <c r="BM30" s="355"/>
    </row>
    <row r="31" spans="2:65">
      <c r="B31" s="373"/>
      <c r="C31" s="391" t="s">
        <v>403</v>
      </c>
      <c r="E31" s="381">
        <f>E17*E25</f>
        <v>0</v>
      </c>
      <c r="G31" s="381">
        <f>G17*G25</f>
        <v>0</v>
      </c>
      <c r="J31" s="381">
        <f>J17*J25</f>
        <v>-2910673126.016376</v>
      </c>
      <c r="L31" s="381">
        <f>L17*L25</f>
        <v>-8041325556.4771271</v>
      </c>
      <c r="N31" s="380"/>
      <c r="O31" s="372"/>
      <c r="P31" s="355"/>
      <c r="Q31" s="373"/>
      <c r="R31" s="391" t="s">
        <v>403</v>
      </c>
      <c r="T31" s="381">
        <f>T17*T24</f>
        <v>0</v>
      </c>
      <c r="V31" s="381">
        <f>V17*V25</f>
        <v>422886246.03720039</v>
      </c>
      <c r="X31" s="381">
        <f>X17*X25</f>
        <v>-9756246915.8850002</v>
      </c>
      <c r="Z31" s="381">
        <f>Z17*Z25</f>
        <v>-9333360669.8477993</v>
      </c>
      <c r="AB31" s="381">
        <f>AB17*AB25</f>
        <v>-18410388931.77</v>
      </c>
      <c r="AD31" s="381">
        <f>AD17*AD25</f>
        <v>-9077028261.9222012</v>
      </c>
      <c r="AE31" s="372"/>
      <c r="AF31" s="355"/>
      <c r="AG31" s="355"/>
      <c r="AH31" s="373"/>
      <c r="AI31" s="391" t="s">
        <v>403</v>
      </c>
      <c r="AK31" s="381">
        <f>AK17*AK24</f>
        <v>0</v>
      </c>
      <c r="AM31" s="381">
        <f>AM17*AM23</f>
        <v>-1582834860.8691001</v>
      </c>
      <c r="AO31" s="381">
        <f>AO17*AO25</f>
        <v>0</v>
      </c>
      <c r="AQ31" s="381">
        <f>AQ17*AQ25</f>
        <v>-1582834860.8691001</v>
      </c>
      <c r="AS31" s="381"/>
      <c r="AU31" s="381">
        <f>AU17*AU25</f>
        <v>-3971906591.1909003</v>
      </c>
      <c r="AV31" s="372"/>
      <c r="AW31" s="355"/>
      <c r="AX31" s="373"/>
      <c r="AY31" s="391" t="s">
        <v>403</v>
      </c>
      <c r="BA31" s="381">
        <f>BA17*BA24</f>
        <v>0</v>
      </c>
      <c r="BC31" s="381">
        <f>BC17*BC24</f>
        <v>7780628834.6999998</v>
      </c>
      <c r="BE31" s="381">
        <f>BE17*BE25</f>
        <v>0</v>
      </c>
      <c r="BG31" s="381">
        <f>SUM(BC31,BE31)</f>
        <v>7780628834.6999998</v>
      </c>
      <c r="BI31" s="381"/>
      <c r="BK31" s="381"/>
      <c r="BL31" s="372"/>
      <c r="BM31" s="355"/>
    </row>
    <row r="32" spans="2:65">
      <c r="B32" s="373"/>
      <c r="C32" s="379" t="s">
        <v>175</v>
      </c>
      <c r="E32" s="381">
        <f>E25*E20</f>
        <v>0</v>
      </c>
      <c r="G32" s="381">
        <f>G25*G18</f>
        <v>0</v>
      </c>
      <c r="J32" s="381">
        <f>J18*J25</f>
        <v>85089362.413562834</v>
      </c>
      <c r="L32" s="381">
        <f>J32</f>
        <v>85089362.413562834</v>
      </c>
      <c r="N32" s="380">
        <f t="shared" ref="N32:N35" si="11">L32-J32</f>
        <v>0</v>
      </c>
      <c r="O32" s="372"/>
      <c r="P32" s="355"/>
      <c r="Q32" s="373"/>
      <c r="R32" s="391" t="s">
        <v>398</v>
      </c>
      <c r="T32" s="381">
        <f t="shared" ref="T32" si="12">T25*T18</f>
        <v>0</v>
      </c>
      <c r="V32" s="381">
        <f t="shared" ref="V32:X32" si="13">V25*V18</f>
        <v>0</v>
      </c>
      <c r="X32" s="381">
        <f t="shared" si="13"/>
        <v>0</v>
      </c>
      <c r="Z32" s="381">
        <f t="shared" ref="Z32:AB32" si="14">Z25*Z18</f>
        <v>0</v>
      </c>
      <c r="AB32" s="381">
        <f t="shared" si="14"/>
        <v>0</v>
      </c>
      <c r="AD32" s="381">
        <f t="shared" ref="AD32" si="15">AD25*AD18</f>
        <v>0</v>
      </c>
      <c r="AE32" s="372"/>
      <c r="AF32" s="355"/>
      <c r="AG32" s="355"/>
      <c r="AH32" s="373"/>
      <c r="AI32" s="391" t="s">
        <v>398</v>
      </c>
      <c r="AK32" s="381">
        <f t="shared" ref="AK32" si="16">AK25*AK18</f>
        <v>0</v>
      </c>
      <c r="AM32" s="381">
        <f t="shared" ref="AM32" si="17">AM25*AM18</f>
        <v>0</v>
      </c>
      <c r="AO32" s="381">
        <f t="shared" ref="AO32" si="18">AO25*AO18</f>
        <v>0</v>
      </c>
      <c r="AQ32" s="381">
        <f t="shared" ref="AQ32" si="19">AQ25*AQ18</f>
        <v>0</v>
      </c>
      <c r="AS32" s="381"/>
      <c r="AU32" s="381"/>
      <c r="AV32" s="372"/>
      <c r="AW32" s="355"/>
      <c r="AX32" s="373"/>
      <c r="AY32" s="391" t="s">
        <v>398</v>
      </c>
      <c r="BA32" s="381">
        <f t="shared" ref="BA32" si="20">BA25*BA18</f>
        <v>0</v>
      </c>
      <c r="BC32" s="381">
        <f t="shared" ref="BC32" si="21">BC25*BC18</f>
        <v>0</v>
      </c>
      <c r="BE32" s="381">
        <f t="shared" ref="BE32" si="22">BE25*BE18</f>
        <v>0</v>
      </c>
      <c r="BG32" s="381">
        <f t="shared" ref="BG32" si="23">BG25*BG18</f>
        <v>0</v>
      </c>
      <c r="BI32" s="381"/>
      <c r="BK32" s="381"/>
      <c r="BL32" s="372"/>
      <c r="BM32" s="355"/>
    </row>
    <row r="33" spans="2:65">
      <c r="B33" s="373"/>
      <c r="C33" s="379" t="s">
        <v>399</v>
      </c>
      <c r="E33" s="381"/>
      <c r="G33" s="381"/>
      <c r="J33" s="381">
        <f>J19*J25</f>
        <v>381212586.2142055</v>
      </c>
      <c r="L33" s="381">
        <f>J33</f>
        <v>381212586.2142055</v>
      </c>
      <c r="N33" s="380"/>
      <c r="O33" s="372"/>
      <c r="P33" s="355"/>
      <c r="Q33" s="373"/>
      <c r="R33" s="391"/>
      <c r="T33" s="381"/>
      <c r="V33" s="381"/>
      <c r="X33" s="381"/>
      <c r="Z33" s="381"/>
      <c r="AB33" s="381"/>
      <c r="AD33" s="381"/>
      <c r="AE33" s="372"/>
      <c r="AF33" s="355"/>
      <c r="AG33" s="355"/>
      <c r="AH33" s="373"/>
      <c r="AI33" s="391"/>
      <c r="AK33" s="381"/>
      <c r="AM33" s="381"/>
      <c r="AO33" s="381"/>
      <c r="AQ33" s="381"/>
      <c r="AS33" s="381"/>
      <c r="AU33" s="381"/>
      <c r="AV33" s="372"/>
      <c r="AW33" s="355"/>
      <c r="AX33" s="373"/>
      <c r="AY33" s="391"/>
      <c r="BA33" s="381"/>
      <c r="BC33" s="381"/>
      <c r="BE33" s="381"/>
      <c r="BG33" s="381"/>
      <c r="BI33" s="381"/>
      <c r="BK33" s="381"/>
      <c r="BL33" s="372"/>
      <c r="BM33" s="355"/>
    </row>
    <row r="34" spans="2:65">
      <c r="B34" s="373"/>
      <c r="C34" s="391"/>
      <c r="E34" s="381"/>
      <c r="G34" s="381"/>
      <c r="J34" s="381"/>
      <c r="L34" s="381"/>
      <c r="N34" s="380"/>
      <c r="O34" s="372"/>
      <c r="P34" s="355"/>
      <c r="Q34" s="373"/>
      <c r="R34" s="391"/>
      <c r="T34" s="381"/>
      <c r="V34" s="381"/>
      <c r="X34" s="381"/>
      <c r="Z34" s="381"/>
      <c r="AB34" s="381"/>
      <c r="AD34" s="381"/>
      <c r="AE34" s="372"/>
      <c r="AF34" s="355"/>
      <c r="AG34" s="355"/>
      <c r="AH34" s="373"/>
      <c r="AI34" s="391"/>
      <c r="AK34" s="381"/>
      <c r="AM34" s="381"/>
      <c r="AO34" s="381"/>
      <c r="AQ34" s="381"/>
      <c r="AS34" s="381"/>
      <c r="AU34" s="381"/>
      <c r="AV34" s="372"/>
      <c r="AW34" s="355"/>
      <c r="AX34" s="373"/>
      <c r="AY34" s="391"/>
      <c r="BA34" s="381"/>
      <c r="BC34" s="381"/>
      <c r="BE34" s="381"/>
      <c r="BG34" s="381"/>
      <c r="BI34" s="381"/>
      <c r="BK34" s="381"/>
      <c r="BL34" s="372"/>
      <c r="BM34" s="355"/>
    </row>
    <row r="35" spans="2:65">
      <c r="B35" s="373"/>
      <c r="C35" s="391" t="s">
        <v>687</v>
      </c>
      <c r="E35" s="381">
        <f t="shared" ref="E35" si="24">SUM(E29:E32)</f>
        <v>0</v>
      </c>
      <c r="G35" s="381">
        <f>SUM(G29:G32)</f>
        <v>0</v>
      </c>
      <c r="J35" s="381">
        <f>SUM(J29:J33)</f>
        <v>-17742147473.468147</v>
      </c>
      <c r="L35" s="381">
        <f>SUM(L29:L32)</f>
        <v>-23254012490.143105</v>
      </c>
      <c r="N35" s="380">
        <f t="shared" si="11"/>
        <v>-5511865016.6749573</v>
      </c>
      <c r="O35" s="372"/>
      <c r="P35" s="355"/>
      <c r="Q35" s="373"/>
      <c r="R35" s="391" t="s">
        <v>687</v>
      </c>
      <c r="T35" s="381">
        <f t="shared" ref="T35" si="25">SUM(T29:T32)</f>
        <v>0</v>
      </c>
      <c r="V35" s="381">
        <f t="shared" ref="V35:X35" si="26">SUM(V29:V32)</f>
        <v>8936502671.3737068</v>
      </c>
      <c r="X35" s="381">
        <f t="shared" si="26"/>
        <v>-9756246915.8850002</v>
      </c>
      <c r="Z35" s="381">
        <f>SUM(Z29:Z32)</f>
        <v>-819744244.51129341</v>
      </c>
      <c r="AB35" s="381"/>
      <c r="AD35" s="381"/>
      <c r="AE35" s="372"/>
      <c r="AF35" s="355"/>
      <c r="AG35" s="355"/>
      <c r="AH35" s="373"/>
      <c r="AI35" s="391" t="s">
        <v>687</v>
      </c>
      <c r="AK35" s="381">
        <f t="shared" ref="AK35" si="27">SUM(AK29:AK32)</f>
        <v>0</v>
      </c>
      <c r="AM35" s="381">
        <f t="shared" ref="AM35" si="28">SUM(AM29:AM32)</f>
        <v>-349257712.86585021</v>
      </c>
      <c r="AO35" s="381">
        <f t="shared" ref="AO35" si="29">SUM(AO29:AO32)</f>
        <v>0</v>
      </c>
      <c r="AQ35" s="381">
        <f>SUM(AQ29:AQ32)</f>
        <v>-349257712.86585021</v>
      </c>
      <c r="AS35" s="381"/>
      <c r="AU35" s="381"/>
      <c r="AV35" s="372"/>
      <c r="AW35" s="355"/>
      <c r="AX35" s="373"/>
      <c r="AY35" s="391" t="s">
        <v>687</v>
      </c>
      <c r="BA35" s="381">
        <f t="shared" ref="BA35" si="30">SUM(BA29:BA32)</f>
        <v>0</v>
      </c>
      <c r="BC35" s="381">
        <f t="shared" ref="BC35" si="31">SUM(BC29:BC32)</f>
        <v>-42140855359.050003</v>
      </c>
      <c r="BE35" s="381">
        <f t="shared" ref="BE35" si="32">SUM(BE29:BE32)</f>
        <v>0</v>
      </c>
      <c r="BG35" s="381">
        <f>SUM(BG29:BG32)</f>
        <v>-42140855359.050003</v>
      </c>
      <c r="BI35" s="381"/>
      <c r="BK35" s="381"/>
      <c r="BL35" s="372"/>
      <c r="BM35" s="355"/>
    </row>
    <row r="36" spans="2:65">
      <c r="B36" s="373"/>
      <c r="C36" s="391" t="s">
        <v>404</v>
      </c>
      <c r="E36" s="381"/>
      <c r="G36" s="381"/>
      <c r="J36" s="381"/>
      <c r="L36" s="381"/>
      <c r="N36" s="381"/>
      <c r="O36" s="372"/>
      <c r="P36" s="355"/>
      <c r="Q36" s="373"/>
      <c r="R36" s="391" t="s">
        <v>404</v>
      </c>
      <c r="T36" s="381"/>
      <c r="V36" s="381"/>
      <c r="X36" s="381"/>
      <c r="Z36" s="381"/>
      <c r="AB36" s="381"/>
      <c r="AD36" s="381"/>
      <c r="AE36" s="372"/>
      <c r="AF36" s="355"/>
      <c r="AG36" s="355"/>
      <c r="AH36" s="373"/>
      <c r="AI36" s="391" t="s">
        <v>404</v>
      </c>
      <c r="AK36" s="381"/>
      <c r="AM36" s="381"/>
      <c r="AO36" s="381"/>
      <c r="AQ36" s="381"/>
      <c r="AS36" s="381"/>
      <c r="AU36" s="381"/>
      <c r="AV36" s="372"/>
      <c r="AW36" s="355"/>
      <c r="AX36" s="373"/>
      <c r="AY36" s="391" t="s">
        <v>404</v>
      </c>
      <c r="BA36" s="381"/>
      <c r="BC36" s="381"/>
      <c r="BE36" s="381"/>
      <c r="BG36" s="381"/>
      <c r="BI36" s="381"/>
      <c r="BK36" s="381"/>
      <c r="BL36" s="372"/>
      <c r="BM36" s="355"/>
    </row>
    <row r="37" spans="2:65">
      <c r="B37" s="373"/>
      <c r="C37" s="391" t="s">
        <v>347</v>
      </c>
      <c r="E37" s="381"/>
      <c r="G37" s="381"/>
      <c r="J37" s="381"/>
      <c r="L37" s="381"/>
      <c r="N37" s="381"/>
      <c r="O37" s="372"/>
      <c r="P37" s="355"/>
      <c r="Q37" s="373"/>
      <c r="R37" s="391" t="s">
        <v>347</v>
      </c>
      <c r="T37" s="381"/>
      <c r="V37" s="381"/>
      <c r="X37" s="381"/>
      <c r="Z37" s="381"/>
      <c r="AB37" s="381"/>
      <c r="AD37" s="381"/>
      <c r="AE37" s="372"/>
      <c r="AF37" s="355"/>
      <c r="AG37" s="355"/>
      <c r="AH37" s="373"/>
      <c r="AI37" s="391" t="s">
        <v>347</v>
      </c>
      <c r="AK37" s="381"/>
      <c r="AM37" s="381"/>
      <c r="AO37" s="381"/>
      <c r="AQ37" s="381"/>
      <c r="AS37" s="381"/>
      <c r="AU37" s="381"/>
      <c r="AV37" s="372"/>
      <c r="AW37" s="355"/>
      <c r="AX37" s="373"/>
      <c r="AY37" s="391" t="s">
        <v>347</v>
      </c>
      <c r="BA37" s="381"/>
      <c r="BC37" s="381"/>
      <c r="BE37" s="381"/>
      <c r="BG37" s="381"/>
      <c r="BI37" s="381"/>
      <c r="BK37" s="381"/>
      <c r="BL37" s="372"/>
      <c r="BM37" s="355"/>
    </row>
    <row r="38" spans="2:65">
      <c r="B38" s="373"/>
      <c r="C38" s="391"/>
      <c r="E38" s="381"/>
      <c r="G38" s="381"/>
      <c r="J38" s="381"/>
      <c r="L38" s="381"/>
      <c r="N38" s="381"/>
      <c r="O38" s="372"/>
      <c r="P38" s="355"/>
      <c r="Q38" s="373"/>
      <c r="R38" s="391"/>
      <c r="T38" s="381"/>
      <c r="V38" s="381"/>
      <c r="X38" s="381"/>
      <c r="Z38" s="381"/>
      <c r="AB38" s="381"/>
      <c r="AD38" s="381"/>
      <c r="AE38" s="372"/>
      <c r="AF38" s="355"/>
      <c r="AG38" s="355"/>
      <c r="AH38" s="373"/>
      <c r="AI38" s="391"/>
      <c r="AK38" s="381"/>
      <c r="AM38" s="381"/>
      <c r="AO38" s="381"/>
      <c r="AQ38" s="381"/>
      <c r="AS38" s="381"/>
      <c r="AU38" s="381"/>
      <c r="AV38" s="372"/>
      <c r="AW38" s="355"/>
      <c r="AX38" s="373"/>
      <c r="AY38" s="391"/>
      <c r="BA38" s="381"/>
      <c r="BC38" s="381"/>
      <c r="BE38" s="381"/>
      <c r="BG38" s="381"/>
      <c r="BI38" s="381"/>
      <c r="BK38" s="381"/>
      <c r="BL38" s="372"/>
      <c r="BM38" s="355"/>
    </row>
    <row r="39" spans="2:65">
      <c r="B39" s="373"/>
      <c r="C39" s="391" t="s">
        <v>405</v>
      </c>
      <c r="E39" s="381">
        <v>0</v>
      </c>
      <c r="G39" s="381">
        <f>G14</f>
        <v>0</v>
      </c>
      <c r="J39" s="381">
        <f>J14</f>
        <v>21504957075</v>
      </c>
      <c r="L39" s="381">
        <f>L14</f>
        <v>21504957075</v>
      </c>
      <c r="N39" s="381"/>
      <c r="O39" s="372"/>
      <c r="P39" s="355"/>
      <c r="Q39" s="373"/>
      <c r="R39" s="391" t="s">
        <v>406</v>
      </c>
      <c r="T39" s="381">
        <v>0</v>
      </c>
      <c r="V39" s="381">
        <f>V14</f>
        <v>2510156250</v>
      </c>
      <c r="X39" s="381">
        <f>X14</f>
        <v>0</v>
      </c>
      <c r="Z39" s="381">
        <f>Z29</f>
        <v>2510156250</v>
      </c>
      <c r="AB39" s="381"/>
      <c r="AD39" s="381"/>
      <c r="AE39" s="372"/>
      <c r="AF39" s="355"/>
      <c r="AG39" s="355"/>
      <c r="AH39" s="373"/>
      <c r="AI39" s="391" t="s">
        <v>406</v>
      </c>
      <c r="AK39" s="381">
        <v>0</v>
      </c>
      <c r="AM39" s="381">
        <f>AM14</f>
        <v>12048750</v>
      </c>
      <c r="AO39" s="381">
        <f>AO14</f>
        <v>0</v>
      </c>
      <c r="AQ39" s="381">
        <f>AQ14</f>
        <v>12048750</v>
      </c>
      <c r="AS39" s="381"/>
      <c r="AU39" s="381"/>
      <c r="AV39" s="372"/>
      <c r="AW39" s="355"/>
      <c r="AX39" s="373"/>
      <c r="AY39" s="391" t="s">
        <v>406</v>
      </c>
      <c r="BA39" s="381">
        <v>0</v>
      </c>
      <c r="BC39" s="381">
        <f>SUM(BC14:BC15)*BC24</f>
        <v>240975000</v>
      </c>
      <c r="BE39" s="381">
        <f>BE14</f>
        <v>0</v>
      </c>
      <c r="BG39" s="381">
        <f>BC39</f>
        <v>240975000</v>
      </c>
      <c r="BI39" s="381"/>
      <c r="BK39" s="381"/>
      <c r="BL39" s="372"/>
      <c r="BM39" s="355"/>
    </row>
    <row r="40" spans="2:65">
      <c r="B40" s="373"/>
      <c r="C40" s="391"/>
      <c r="E40" s="381"/>
      <c r="G40" s="381"/>
      <c r="J40" s="381"/>
      <c r="L40" s="381"/>
      <c r="N40" s="381"/>
      <c r="O40" s="372"/>
      <c r="P40" s="355"/>
      <c r="Q40" s="373"/>
      <c r="R40" s="391"/>
      <c r="T40" s="381"/>
      <c r="V40" s="381"/>
      <c r="X40" s="381"/>
      <c r="Z40" s="381"/>
      <c r="AB40" s="381"/>
      <c r="AD40" s="381"/>
      <c r="AE40" s="372"/>
      <c r="AF40" s="355"/>
      <c r="AG40" s="355"/>
      <c r="AH40" s="373"/>
      <c r="AI40" s="391"/>
      <c r="AK40" s="381"/>
      <c r="AM40" s="381"/>
      <c r="AO40" s="381"/>
      <c r="AQ40" s="381"/>
      <c r="AS40" s="381"/>
      <c r="AU40" s="381"/>
      <c r="AV40" s="372"/>
      <c r="AW40" s="355"/>
      <c r="AX40" s="373"/>
      <c r="AY40" s="391"/>
      <c r="BA40" s="381"/>
      <c r="BC40" s="381"/>
      <c r="BE40" s="381"/>
      <c r="BG40" s="381"/>
      <c r="BI40" s="381"/>
      <c r="BK40" s="381"/>
      <c r="BL40" s="372"/>
      <c r="BM40" s="355"/>
    </row>
    <row r="41" spans="2:65">
      <c r="B41" s="373"/>
      <c r="C41" s="374" t="s">
        <v>739</v>
      </c>
      <c r="E41" s="400">
        <v>0</v>
      </c>
      <c r="G41" s="400">
        <f>SUM(G35-G39)</f>
        <v>0</v>
      </c>
      <c r="J41" s="400">
        <f>SUM(J35-J39)</f>
        <v>-39247104548.468147</v>
      </c>
      <c r="L41" s="400">
        <f>SUM(L35-L39)</f>
        <v>-44758969565.143105</v>
      </c>
      <c r="N41" s="381"/>
      <c r="O41" s="372"/>
      <c r="P41" s="355"/>
      <c r="Q41" s="373"/>
      <c r="R41" s="374" t="s">
        <v>794</v>
      </c>
      <c r="T41" s="400">
        <v>0</v>
      </c>
      <c r="U41" s="374"/>
      <c r="V41" s="400">
        <f>SUM(V35-V39)</f>
        <v>6426346421.3737068</v>
      </c>
      <c r="W41" s="374"/>
      <c r="X41" s="400">
        <f>SUM(X35-X39)</f>
        <v>-9756246915.8850002</v>
      </c>
      <c r="Y41" s="374"/>
      <c r="Z41" s="400">
        <f>SUM(Z35-Z39)</f>
        <v>-3329900494.5112934</v>
      </c>
      <c r="AA41" s="374"/>
      <c r="AB41" s="374"/>
      <c r="AC41" s="374"/>
      <c r="AD41" s="374"/>
      <c r="AE41" s="372"/>
      <c r="AF41" s="355"/>
      <c r="AG41" s="355"/>
      <c r="AH41" s="373"/>
      <c r="AI41" s="374" t="s">
        <v>794</v>
      </c>
      <c r="AK41" s="400">
        <v>0</v>
      </c>
      <c r="AL41" s="374"/>
      <c r="AM41" s="400">
        <f>SUM(AM35-AM39)</f>
        <v>-361306462.86585021</v>
      </c>
      <c r="AN41" s="374"/>
      <c r="AO41" s="400">
        <f>SUM(AO35-AO39)</f>
        <v>0</v>
      </c>
      <c r="AP41" s="374"/>
      <c r="AQ41" s="400">
        <f>SUM(AQ35-AQ39)</f>
        <v>-361306462.86585021</v>
      </c>
      <c r="AR41" s="374"/>
      <c r="AS41" s="374"/>
      <c r="AT41" s="374"/>
      <c r="AU41" s="374"/>
      <c r="AV41" s="372"/>
      <c r="AW41" s="355"/>
      <c r="AX41" s="373"/>
      <c r="AY41" s="374" t="s">
        <v>794</v>
      </c>
      <c r="BA41" s="400">
        <v>0</v>
      </c>
      <c r="BB41" s="374"/>
      <c r="BC41" s="400">
        <f>SUM(BC35-BC39)</f>
        <v>-42381830359.050003</v>
      </c>
      <c r="BD41" s="374"/>
      <c r="BE41" s="400">
        <f>SUM(BE35-BE39)</f>
        <v>0</v>
      </c>
      <c r="BF41" s="374"/>
      <c r="BG41" s="400">
        <f>SUM(BG35-BG39)</f>
        <v>-42381830359.050003</v>
      </c>
      <c r="BH41" s="374"/>
      <c r="BI41" s="374"/>
      <c r="BJ41" s="374"/>
      <c r="BK41" s="374"/>
      <c r="BL41" s="372"/>
      <c r="BM41" s="355"/>
    </row>
    <row r="42" spans="2:65">
      <c r="B42" s="373"/>
      <c r="C42" s="379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72"/>
      <c r="P42" s="355"/>
      <c r="Q42" s="373"/>
      <c r="R42" s="379"/>
      <c r="S42" s="381"/>
      <c r="T42" s="381"/>
      <c r="U42" s="381"/>
      <c r="V42" s="381"/>
      <c r="W42" s="381"/>
      <c r="X42" s="381"/>
      <c r="Y42" s="381"/>
      <c r="Z42" s="381"/>
      <c r="AA42" s="381"/>
      <c r="AB42" s="381"/>
      <c r="AC42" s="381"/>
      <c r="AD42" s="381"/>
      <c r="AE42" s="372"/>
      <c r="AF42" s="355"/>
      <c r="AG42" s="355"/>
      <c r="AH42" s="373"/>
      <c r="AI42" s="379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72"/>
      <c r="AW42" s="355"/>
      <c r="AX42" s="373"/>
      <c r="AY42" s="379"/>
      <c r="AZ42" s="381"/>
      <c r="BA42" s="381"/>
      <c r="BB42" s="381"/>
      <c r="BC42" s="381"/>
      <c r="BD42" s="381"/>
      <c r="BE42" s="381"/>
      <c r="BF42" s="381"/>
      <c r="BG42" s="381"/>
      <c r="BH42" s="381"/>
      <c r="BI42" s="381"/>
      <c r="BJ42" s="381"/>
      <c r="BK42" s="381"/>
      <c r="BL42" s="372"/>
      <c r="BM42" s="355"/>
    </row>
    <row r="43" spans="2:65" ht="14.5" thickBot="1">
      <c r="B43" s="401"/>
      <c r="C43" s="402"/>
      <c r="D43" s="403"/>
      <c r="E43" s="403"/>
      <c r="F43" s="403"/>
      <c r="G43" s="403">
        <f>G35-G39</f>
        <v>0</v>
      </c>
      <c r="H43" s="403"/>
      <c r="I43" s="403"/>
      <c r="J43" s="403"/>
      <c r="K43" s="403"/>
      <c r="L43" s="403"/>
      <c r="M43" s="403"/>
      <c r="N43" s="403"/>
      <c r="O43" s="404"/>
      <c r="P43" s="355"/>
      <c r="Q43" s="401"/>
      <c r="R43" s="402"/>
      <c r="S43" s="403"/>
      <c r="T43" s="403"/>
      <c r="U43" s="403"/>
      <c r="V43" s="403"/>
      <c r="W43" s="403"/>
      <c r="X43" s="403"/>
      <c r="Y43" s="403"/>
      <c r="Z43" s="403"/>
      <c r="AA43" s="403"/>
      <c r="AB43" s="403"/>
      <c r="AC43" s="403"/>
      <c r="AD43" s="403"/>
      <c r="AE43" s="404"/>
      <c r="AF43" s="355"/>
      <c r="AG43" s="355"/>
      <c r="AH43" s="401"/>
      <c r="AI43" s="402"/>
      <c r="AJ43" s="403"/>
      <c r="AK43" s="403"/>
      <c r="AL43" s="403"/>
      <c r="AM43" s="403"/>
      <c r="AN43" s="403"/>
      <c r="AO43" s="403"/>
      <c r="AP43" s="403"/>
      <c r="AQ43" s="403"/>
      <c r="AR43" s="403"/>
      <c r="AS43" s="403"/>
      <c r="AT43" s="403"/>
      <c r="AU43" s="403"/>
      <c r="AV43" s="404"/>
      <c r="AW43" s="355"/>
      <c r="AX43" s="401"/>
      <c r="AY43" s="402"/>
      <c r="AZ43" s="403"/>
      <c r="BA43" s="403"/>
      <c r="BB43" s="403"/>
      <c r="BC43" s="403"/>
      <c r="BD43" s="403"/>
      <c r="BE43" s="403"/>
      <c r="BF43" s="403"/>
      <c r="BG43" s="403"/>
      <c r="BH43" s="403"/>
      <c r="BI43" s="403"/>
      <c r="BJ43" s="403"/>
      <c r="BK43" s="403"/>
      <c r="BL43" s="404"/>
      <c r="BM43" s="355"/>
    </row>
    <row r="44" spans="2:65">
      <c r="B44" s="360"/>
      <c r="C44" s="361"/>
      <c r="P44" s="355"/>
      <c r="Q44" s="360"/>
      <c r="R44" s="361"/>
      <c r="AF44" s="355"/>
      <c r="AG44" s="355"/>
      <c r="AH44" s="360"/>
      <c r="AI44" s="361"/>
      <c r="AW44" s="355"/>
      <c r="AX44" s="360"/>
      <c r="AY44" s="361"/>
      <c r="BM44" s="355"/>
    </row>
    <row r="45" spans="2:65">
      <c r="B45" s="360"/>
      <c r="C45" s="361"/>
      <c r="P45" s="355"/>
      <c r="Q45" s="360"/>
      <c r="R45" s="361"/>
      <c r="AF45" s="355"/>
      <c r="AG45" s="355"/>
      <c r="AH45" s="360"/>
      <c r="AI45" s="361"/>
      <c r="AW45" s="355"/>
      <c r="AX45" s="360"/>
      <c r="AY45" s="361"/>
      <c r="BM45" s="355"/>
    </row>
    <row r="46" spans="2:65">
      <c r="B46" s="360"/>
      <c r="C46" s="361"/>
      <c r="P46" s="355"/>
      <c r="Q46" s="405"/>
      <c r="R46" s="406">
        <v>625000000</v>
      </c>
      <c r="T46" s="356" t="s">
        <v>407</v>
      </c>
      <c r="AF46" s="355"/>
      <c r="AG46" s="355"/>
      <c r="AH46" s="405"/>
      <c r="AI46" s="406"/>
      <c r="AW46" s="355"/>
      <c r="AX46" s="405"/>
      <c r="AY46" s="406"/>
      <c r="BM46" s="355"/>
    </row>
    <row r="47" spans="2:65">
      <c r="B47" s="360"/>
      <c r="C47" s="361"/>
      <c r="P47" s="355"/>
      <c r="Q47" s="405"/>
      <c r="R47" s="407">
        <f>T3</f>
        <v>4921875000</v>
      </c>
      <c r="T47" s="359" t="s">
        <v>408</v>
      </c>
      <c r="AF47" s="355"/>
      <c r="AG47" s="355"/>
      <c r="AH47" s="405"/>
      <c r="AI47" s="407"/>
      <c r="AK47" s="359"/>
      <c r="AW47" s="355"/>
      <c r="AX47" s="405"/>
      <c r="AY47" s="407"/>
      <c r="BA47" s="359"/>
      <c r="BM47" s="355"/>
    </row>
    <row r="48" spans="2:65">
      <c r="B48" s="360"/>
      <c r="C48" s="361"/>
      <c r="P48" s="355"/>
      <c r="Q48" s="360"/>
      <c r="R48" s="408">
        <f>R47-R46</f>
        <v>4296875000</v>
      </c>
      <c r="T48" s="356" t="s">
        <v>409</v>
      </c>
      <c r="AF48" s="355"/>
      <c r="AG48" s="355"/>
      <c r="AH48" s="360"/>
      <c r="AI48" s="408"/>
      <c r="AW48" s="355"/>
      <c r="AX48" s="360"/>
      <c r="AY48" s="408"/>
      <c r="BM48" s="355"/>
    </row>
    <row r="49" spans="2:65">
      <c r="B49" s="360"/>
      <c r="C49" s="361"/>
      <c r="P49" s="355"/>
      <c r="Q49" s="360"/>
      <c r="R49" s="361"/>
      <c r="AF49" s="355"/>
      <c r="AG49" s="355"/>
      <c r="AH49" s="360"/>
      <c r="AI49" s="361"/>
      <c r="AW49" s="355"/>
      <c r="AX49" s="360"/>
      <c r="AY49" s="361"/>
      <c r="BM49" s="355"/>
    </row>
    <row r="50" spans="2:65">
      <c r="P50" s="355"/>
      <c r="AF50" s="355"/>
      <c r="AG50" s="355"/>
      <c r="AW50" s="355"/>
      <c r="BM50" s="355"/>
    </row>
    <row r="51" spans="2:65">
      <c r="P51" s="355"/>
      <c r="AF51" s="355"/>
      <c r="AG51" s="355"/>
      <c r="AW51" s="355"/>
      <c r="BM51" s="3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4</vt:i4>
      </vt:variant>
    </vt:vector>
  </HeadingPairs>
  <TitlesOfParts>
    <vt:vector size="37" baseType="lpstr">
      <vt:lpstr>Face Report</vt:lpstr>
      <vt:lpstr>SOFP</vt:lpstr>
      <vt:lpstr>SOPL</vt:lpstr>
      <vt:lpstr>SOCE</vt:lpstr>
      <vt:lpstr>CF 24</vt:lpstr>
      <vt:lpstr>CF 23 as Restated</vt:lpstr>
      <vt:lpstr>WP Consol</vt:lpstr>
      <vt:lpstr>Control</vt:lpstr>
      <vt:lpstr>Consol SoFP 24</vt:lpstr>
      <vt:lpstr>Consol SoPL-OCI 24</vt:lpstr>
      <vt:lpstr>Consol SoFP 23 &amp; 22</vt:lpstr>
      <vt:lpstr>Consol SoPL-OCI 23 &amp; 22</vt:lpstr>
      <vt:lpstr>SoCE Consol </vt:lpstr>
      <vt:lpstr>CF 2024</vt:lpstr>
      <vt:lpstr>Supplementary CF 24</vt:lpstr>
      <vt:lpstr>CF 23 Restated</vt:lpstr>
      <vt:lpstr>Supplementary CF 23</vt:lpstr>
      <vt:lpstr>Proforma Adjustment</vt:lpstr>
      <vt:lpstr>Capital Proforma Control</vt:lpstr>
      <vt:lpstr>NCI Detail &amp; Movement</vt:lpstr>
      <vt:lpstr>Adjustment Consolaa</vt:lpstr>
      <vt:lpstr>Elimination 2024</vt:lpstr>
      <vt:lpstr>Elimination 23</vt:lpstr>
      <vt:lpstr>Elimination 22</vt:lpstr>
      <vt:lpstr>Interco Matrix BS</vt:lpstr>
      <vt:lpstr>BS RP Disclosure 2024</vt:lpstr>
      <vt:lpstr>-BS-RP Disclosure 2023</vt:lpstr>
      <vt:lpstr>Interco Matrix BS 2022</vt:lpstr>
      <vt:lpstr>BS RP Disclosure 2022</vt:lpstr>
      <vt:lpstr>Detail Elimination BS</vt:lpstr>
      <vt:lpstr>Adjustment Consol</vt:lpstr>
      <vt:lpstr>Equity &amp; Adjustment Consol</vt:lpstr>
      <vt:lpstr>WP Investment</vt:lpstr>
      <vt:lpstr>'Consol SoFP 24'!Print_Area</vt:lpstr>
      <vt:lpstr>'Consol SoPL-OCI 24'!Print_Area</vt:lpstr>
      <vt:lpstr>'Consol SoFP 24'!Print_Titles</vt:lpstr>
      <vt:lpstr>'Consol SoPL-OCI 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2025-07-27T05:29:47Z</dcterms:created>
  <dcterms:modified xsi:type="dcterms:W3CDTF">2025-12-23T08:53:40Z</dcterms:modified>
</cp:coreProperties>
</file>